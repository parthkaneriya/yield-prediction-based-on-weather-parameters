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IELD FORECAST\2015_16\RABI_2015\WHEAT\STATISTICAL\F3\"/>
    </mc:Choice>
  </mc:AlternateContent>
  <bookViews>
    <workbookView xWindow="360" yWindow="420" windowWidth="14895" windowHeight="7755" activeTab="2"/>
  </bookViews>
  <sheets>
    <sheet name="WEATHER INDICES" sheetId="2" r:id="rId1"/>
    <sheet name="TIME TREND" sheetId="4" r:id="rId2"/>
    <sheet name="VALIDATION" sheetId="3" r:id="rId3"/>
    <sheet name="SPSS" sheetId="7" r:id="rId4"/>
  </sheets>
  <calcPr calcId="152511"/>
</workbook>
</file>

<file path=xl/calcChain.xml><?xml version="1.0" encoding="utf-8"?>
<calcChain xmlns="http://schemas.openxmlformats.org/spreadsheetml/2006/main">
  <c r="C32" i="3" l="1"/>
  <c r="C33" i="3"/>
  <c r="C30" i="3" l="1"/>
  <c r="D31" i="3"/>
  <c r="C31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E28" i="4" l="1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D1006" i="2" l="1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V1005" i="2"/>
  <c r="W1005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V969" i="2"/>
  <c r="W969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D465" i="2"/>
  <c r="E465" i="2"/>
  <c r="Y465" i="2" s="1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Z465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D285" i="2"/>
  <c r="E285" i="2"/>
  <c r="F285" i="2"/>
  <c r="Y285" i="2" s="1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Y249" i="2"/>
  <c r="Z249" i="2"/>
  <c r="Y213" i="2"/>
  <c r="Z213" i="2"/>
  <c r="Y177" i="2"/>
  <c r="Z177" i="2"/>
  <c r="Y141" i="2"/>
  <c r="Z141" i="2"/>
  <c r="Y105" i="2"/>
  <c r="Z105" i="2"/>
  <c r="Y69" i="2"/>
  <c r="Z69" i="2"/>
  <c r="Y33" i="2"/>
  <c r="Z33" i="2"/>
  <c r="Z285" i="2" l="1"/>
  <c r="Y321" i="2" l="1"/>
  <c r="Y501" i="2"/>
  <c r="Y537" i="2"/>
  <c r="Y645" i="2"/>
  <c r="Y681" i="2"/>
  <c r="Y717" i="2"/>
  <c r="Y753" i="2"/>
  <c r="Y825" i="2"/>
  <c r="Y861" i="2"/>
  <c r="Y933" i="2"/>
  <c r="Y969" i="2"/>
  <c r="Y1005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D250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D214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D178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D142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D106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D70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D34" i="2"/>
  <c r="Y789" i="2" l="1"/>
  <c r="Y609" i="2"/>
  <c r="Y573" i="2"/>
  <c r="Y393" i="2"/>
  <c r="Y357" i="2"/>
  <c r="Y429" i="2"/>
  <c r="Y897" i="2"/>
  <c r="T999" i="2" l="1"/>
  <c r="U999" i="2"/>
  <c r="V999" i="2"/>
  <c r="W999" i="2"/>
  <c r="T963" i="2"/>
  <c r="U963" i="2"/>
  <c r="V963" i="2"/>
  <c r="W963" i="2"/>
  <c r="T927" i="2"/>
  <c r="U927" i="2"/>
  <c r="V927" i="2"/>
  <c r="W927" i="2"/>
  <c r="T891" i="2"/>
  <c r="U891" i="2"/>
  <c r="V891" i="2"/>
  <c r="W891" i="2"/>
  <c r="T853" i="2"/>
  <c r="U853" i="2"/>
  <c r="V853" i="2"/>
  <c r="W853" i="2"/>
  <c r="T854" i="2"/>
  <c r="U854" i="2"/>
  <c r="V854" i="2"/>
  <c r="W854" i="2"/>
  <c r="T855" i="2"/>
  <c r="U855" i="2"/>
  <c r="V855" i="2"/>
  <c r="W855" i="2"/>
  <c r="T815" i="2"/>
  <c r="U815" i="2"/>
  <c r="V815" i="2"/>
  <c r="W815" i="2"/>
  <c r="T816" i="2"/>
  <c r="U816" i="2"/>
  <c r="V816" i="2"/>
  <c r="W816" i="2"/>
  <c r="T817" i="2"/>
  <c r="U817" i="2"/>
  <c r="V817" i="2"/>
  <c r="W817" i="2"/>
  <c r="T818" i="2"/>
  <c r="U818" i="2"/>
  <c r="V818" i="2"/>
  <c r="W818" i="2"/>
  <c r="T819" i="2"/>
  <c r="U819" i="2"/>
  <c r="V819" i="2"/>
  <c r="W819" i="2"/>
  <c r="T781" i="2"/>
  <c r="U781" i="2"/>
  <c r="V781" i="2"/>
  <c r="W781" i="2"/>
  <c r="T782" i="2"/>
  <c r="U782" i="2"/>
  <c r="V782" i="2"/>
  <c r="W782" i="2"/>
  <c r="T783" i="2"/>
  <c r="U783" i="2"/>
  <c r="V783" i="2"/>
  <c r="W783" i="2"/>
  <c r="T746" i="2"/>
  <c r="U746" i="2"/>
  <c r="V746" i="2"/>
  <c r="W746" i="2"/>
  <c r="T747" i="2"/>
  <c r="U747" i="2"/>
  <c r="V747" i="2"/>
  <c r="W747" i="2"/>
  <c r="T708" i="2"/>
  <c r="U708" i="2"/>
  <c r="V708" i="2"/>
  <c r="W708" i="2"/>
  <c r="T709" i="2"/>
  <c r="U709" i="2"/>
  <c r="V709" i="2"/>
  <c r="W709" i="2"/>
  <c r="T710" i="2"/>
  <c r="U710" i="2"/>
  <c r="V710" i="2"/>
  <c r="W710" i="2"/>
  <c r="T711" i="2"/>
  <c r="U711" i="2"/>
  <c r="V711" i="2"/>
  <c r="W711" i="2"/>
  <c r="T671" i="2"/>
  <c r="U671" i="2"/>
  <c r="V671" i="2"/>
  <c r="W671" i="2"/>
  <c r="T672" i="2"/>
  <c r="U672" i="2"/>
  <c r="V672" i="2"/>
  <c r="W672" i="2"/>
  <c r="T673" i="2"/>
  <c r="U673" i="2"/>
  <c r="V673" i="2"/>
  <c r="W673" i="2"/>
  <c r="T674" i="2"/>
  <c r="U674" i="2"/>
  <c r="V674" i="2"/>
  <c r="W674" i="2"/>
  <c r="T675" i="2"/>
  <c r="U675" i="2"/>
  <c r="V675" i="2"/>
  <c r="W675" i="2"/>
  <c r="T638" i="2"/>
  <c r="U638" i="2"/>
  <c r="V638" i="2"/>
  <c r="W638" i="2"/>
  <c r="T639" i="2"/>
  <c r="U639" i="2"/>
  <c r="V639" i="2"/>
  <c r="W639" i="2"/>
  <c r="T602" i="2"/>
  <c r="U602" i="2"/>
  <c r="V602" i="2"/>
  <c r="W602" i="2"/>
  <c r="T603" i="2"/>
  <c r="U603" i="2"/>
  <c r="V603" i="2"/>
  <c r="W603" i="2"/>
  <c r="T566" i="2"/>
  <c r="U566" i="2"/>
  <c r="V566" i="2"/>
  <c r="W566" i="2"/>
  <c r="T567" i="2"/>
  <c r="U567" i="2"/>
  <c r="V567" i="2"/>
  <c r="W567" i="2"/>
  <c r="T530" i="2"/>
  <c r="U530" i="2"/>
  <c r="V530" i="2"/>
  <c r="W530" i="2"/>
  <c r="T531" i="2"/>
  <c r="U531" i="2"/>
  <c r="V531" i="2"/>
  <c r="W531" i="2"/>
  <c r="T493" i="2"/>
  <c r="U493" i="2"/>
  <c r="V493" i="2"/>
  <c r="W493" i="2"/>
  <c r="T494" i="2"/>
  <c r="U494" i="2"/>
  <c r="V494" i="2"/>
  <c r="W494" i="2"/>
  <c r="T495" i="2"/>
  <c r="U495" i="2"/>
  <c r="V495" i="2"/>
  <c r="W495" i="2"/>
  <c r="T458" i="2"/>
  <c r="U458" i="2"/>
  <c r="V458" i="2"/>
  <c r="W458" i="2"/>
  <c r="T459" i="2"/>
  <c r="U459" i="2"/>
  <c r="V459" i="2"/>
  <c r="W459" i="2"/>
  <c r="T422" i="2"/>
  <c r="U422" i="2"/>
  <c r="V422" i="2"/>
  <c r="W422" i="2"/>
  <c r="T423" i="2"/>
  <c r="U423" i="2"/>
  <c r="V423" i="2"/>
  <c r="W423" i="2"/>
  <c r="T387" i="2"/>
  <c r="U387" i="2"/>
  <c r="V387" i="2"/>
  <c r="W387" i="2"/>
  <c r="T351" i="2"/>
  <c r="U351" i="2"/>
  <c r="V351" i="2"/>
  <c r="W351" i="2"/>
  <c r="T315" i="2"/>
  <c r="U315" i="2"/>
  <c r="V315" i="2"/>
  <c r="W315" i="2"/>
  <c r="T279" i="2"/>
  <c r="U279" i="2"/>
  <c r="V279" i="2"/>
  <c r="W279" i="2"/>
  <c r="Y248" i="2" l="1"/>
  <c r="Y247" i="2"/>
  <c r="Y246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2" i="2"/>
  <c r="Y211" i="2"/>
  <c r="Y210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76" i="2"/>
  <c r="Y175" i="2"/>
  <c r="Y174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0" i="2"/>
  <c r="Y139" i="2"/>
  <c r="Y138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4" i="2"/>
  <c r="Y103" i="2"/>
  <c r="Y102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68" i="2"/>
  <c r="Y67" i="2"/>
  <c r="Y66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30" i="2"/>
  <c r="Y31" i="2"/>
  <c r="Y32" i="2"/>
  <c r="Y2" i="2"/>
  <c r="T254" i="2" l="1"/>
  <c r="U254" i="2"/>
  <c r="V254" i="2"/>
  <c r="W254" i="2"/>
  <c r="T255" i="2"/>
  <c r="U255" i="2"/>
  <c r="V255" i="2"/>
  <c r="W255" i="2"/>
  <c r="T256" i="2"/>
  <c r="U256" i="2"/>
  <c r="V256" i="2"/>
  <c r="W256" i="2"/>
  <c r="T257" i="2"/>
  <c r="U257" i="2"/>
  <c r="V257" i="2"/>
  <c r="W257" i="2"/>
  <c r="T258" i="2"/>
  <c r="U258" i="2"/>
  <c r="V258" i="2"/>
  <c r="W258" i="2"/>
  <c r="T259" i="2"/>
  <c r="U259" i="2"/>
  <c r="V259" i="2"/>
  <c r="W259" i="2"/>
  <c r="T260" i="2"/>
  <c r="U260" i="2"/>
  <c r="V260" i="2"/>
  <c r="W260" i="2"/>
  <c r="T261" i="2"/>
  <c r="U261" i="2"/>
  <c r="V261" i="2"/>
  <c r="W261" i="2"/>
  <c r="T262" i="2"/>
  <c r="U262" i="2"/>
  <c r="V262" i="2"/>
  <c r="W262" i="2"/>
  <c r="T263" i="2"/>
  <c r="U263" i="2"/>
  <c r="V263" i="2"/>
  <c r="W263" i="2"/>
  <c r="T264" i="2"/>
  <c r="U264" i="2"/>
  <c r="V264" i="2"/>
  <c r="W264" i="2"/>
  <c r="T265" i="2"/>
  <c r="U265" i="2"/>
  <c r="V265" i="2"/>
  <c r="W265" i="2"/>
  <c r="T266" i="2"/>
  <c r="U266" i="2"/>
  <c r="V266" i="2"/>
  <c r="W266" i="2"/>
  <c r="T267" i="2"/>
  <c r="U267" i="2"/>
  <c r="V267" i="2"/>
  <c r="W267" i="2"/>
  <c r="T268" i="2"/>
  <c r="U268" i="2"/>
  <c r="V268" i="2"/>
  <c r="W268" i="2"/>
  <c r="T269" i="2"/>
  <c r="U269" i="2"/>
  <c r="V269" i="2"/>
  <c r="W269" i="2"/>
  <c r="T270" i="2"/>
  <c r="U270" i="2"/>
  <c r="V270" i="2"/>
  <c r="W270" i="2"/>
  <c r="T271" i="2"/>
  <c r="U271" i="2"/>
  <c r="V271" i="2"/>
  <c r="W271" i="2"/>
  <c r="T272" i="2"/>
  <c r="U272" i="2"/>
  <c r="V272" i="2"/>
  <c r="W272" i="2"/>
  <c r="T273" i="2"/>
  <c r="U273" i="2"/>
  <c r="V273" i="2"/>
  <c r="W273" i="2"/>
  <c r="T274" i="2"/>
  <c r="U274" i="2"/>
  <c r="V274" i="2"/>
  <c r="W274" i="2"/>
  <c r="T275" i="2"/>
  <c r="U275" i="2"/>
  <c r="V275" i="2"/>
  <c r="W275" i="2"/>
  <c r="T276" i="2"/>
  <c r="U276" i="2"/>
  <c r="V276" i="2"/>
  <c r="W276" i="2"/>
  <c r="T277" i="2"/>
  <c r="U277" i="2"/>
  <c r="V277" i="2"/>
  <c r="W277" i="2"/>
  <c r="T278" i="2"/>
  <c r="U278" i="2"/>
  <c r="V278" i="2"/>
  <c r="W278" i="2"/>
  <c r="T280" i="2"/>
  <c r="U280" i="2"/>
  <c r="V280" i="2"/>
  <c r="W280" i="2"/>
  <c r="T282" i="2"/>
  <c r="U282" i="2"/>
  <c r="V282" i="2"/>
  <c r="W282" i="2"/>
  <c r="T283" i="2"/>
  <c r="U283" i="2"/>
  <c r="V283" i="2"/>
  <c r="W283" i="2"/>
  <c r="T284" i="2"/>
  <c r="U284" i="2"/>
  <c r="V284" i="2"/>
  <c r="W284" i="2"/>
  <c r="T290" i="2"/>
  <c r="U290" i="2"/>
  <c r="V290" i="2"/>
  <c r="W290" i="2"/>
  <c r="T291" i="2"/>
  <c r="U291" i="2"/>
  <c r="V291" i="2"/>
  <c r="W291" i="2"/>
  <c r="T292" i="2"/>
  <c r="U292" i="2"/>
  <c r="V292" i="2"/>
  <c r="W292" i="2"/>
  <c r="T293" i="2"/>
  <c r="U293" i="2"/>
  <c r="V293" i="2"/>
  <c r="W293" i="2"/>
  <c r="T294" i="2"/>
  <c r="U294" i="2"/>
  <c r="V294" i="2"/>
  <c r="W294" i="2"/>
  <c r="T295" i="2"/>
  <c r="U295" i="2"/>
  <c r="V295" i="2"/>
  <c r="W295" i="2"/>
  <c r="T296" i="2"/>
  <c r="U296" i="2"/>
  <c r="V296" i="2"/>
  <c r="W296" i="2"/>
  <c r="T297" i="2"/>
  <c r="U297" i="2"/>
  <c r="V297" i="2"/>
  <c r="W297" i="2"/>
  <c r="T298" i="2"/>
  <c r="U298" i="2"/>
  <c r="V298" i="2"/>
  <c r="W298" i="2"/>
  <c r="T299" i="2"/>
  <c r="U299" i="2"/>
  <c r="V299" i="2"/>
  <c r="W299" i="2"/>
  <c r="T300" i="2"/>
  <c r="U300" i="2"/>
  <c r="V300" i="2"/>
  <c r="W300" i="2"/>
  <c r="T301" i="2"/>
  <c r="U301" i="2"/>
  <c r="V301" i="2"/>
  <c r="W301" i="2"/>
  <c r="T302" i="2"/>
  <c r="U302" i="2"/>
  <c r="V302" i="2"/>
  <c r="W302" i="2"/>
  <c r="T303" i="2"/>
  <c r="U303" i="2"/>
  <c r="V303" i="2"/>
  <c r="W303" i="2"/>
  <c r="T304" i="2"/>
  <c r="U304" i="2"/>
  <c r="V304" i="2"/>
  <c r="W304" i="2"/>
  <c r="T305" i="2"/>
  <c r="U305" i="2"/>
  <c r="V305" i="2"/>
  <c r="W305" i="2"/>
  <c r="T306" i="2"/>
  <c r="U306" i="2"/>
  <c r="V306" i="2"/>
  <c r="W306" i="2"/>
  <c r="T307" i="2"/>
  <c r="U307" i="2"/>
  <c r="V307" i="2"/>
  <c r="W307" i="2"/>
  <c r="T308" i="2"/>
  <c r="U308" i="2"/>
  <c r="V308" i="2"/>
  <c r="W308" i="2"/>
  <c r="T309" i="2"/>
  <c r="U309" i="2"/>
  <c r="V309" i="2"/>
  <c r="W309" i="2"/>
  <c r="T310" i="2"/>
  <c r="U310" i="2"/>
  <c r="V310" i="2"/>
  <c r="W310" i="2"/>
  <c r="T311" i="2"/>
  <c r="U311" i="2"/>
  <c r="V311" i="2"/>
  <c r="W311" i="2"/>
  <c r="T312" i="2"/>
  <c r="U312" i="2"/>
  <c r="V312" i="2"/>
  <c r="W312" i="2"/>
  <c r="T313" i="2"/>
  <c r="U313" i="2"/>
  <c r="V313" i="2"/>
  <c r="W313" i="2"/>
  <c r="T314" i="2"/>
  <c r="U314" i="2"/>
  <c r="V314" i="2"/>
  <c r="W314" i="2"/>
  <c r="T316" i="2"/>
  <c r="U316" i="2"/>
  <c r="V316" i="2"/>
  <c r="W316" i="2"/>
  <c r="T318" i="2"/>
  <c r="U318" i="2"/>
  <c r="V318" i="2"/>
  <c r="W318" i="2"/>
  <c r="T319" i="2"/>
  <c r="U319" i="2"/>
  <c r="V319" i="2"/>
  <c r="W319" i="2"/>
  <c r="T320" i="2"/>
  <c r="U320" i="2"/>
  <c r="V320" i="2"/>
  <c r="W320" i="2"/>
  <c r="T326" i="2"/>
  <c r="U326" i="2"/>
  <c r="V326" i="2"/>
  <c r="W326" i="2"/>
  <c r="T327" i="2"/>
  <c r="U327" i="2"/>
  <c r="V327" i="2"/>
  <c r="W327" i="2"/>
  <c r="T328" i="2"/>
  <c r="U328" i="2"/>
  <c r="V328" i="2"/>
  <c r="W328" i="2"/>
  <c r="T329" i="2"/>
  <c r="U329" i="2"/>
  <c r="V329" i="2"/>
  <c r="W329" i="2"/>
  <c r="T330" i="2"/>
  <c r="U330" i="2"/>
  <c r="V330" i="2"/>
  <c r="W330" i="2"/>
  <c r="T331" i="2"/>
  <c r="U331" i="2"/>
  <c r="V331" i="2"/>
  <c r="W331" i="2"/>
  <c r="T332" i="2"/>
  <c r="U332" i="2"/>
  <c r="V332" i="2"/>
  <c r="W332" i="2"/>
  <c r="T333" i="2"/>
  <c r="U333" i="2"/>
  <c r="V333" i="2"/>
  <c r="W333" i="2"/>
  <c r="T334" i="2"/>
  <c r="U334" i="2"/>
  <c r="V334" i="2"/>
  <c r="W334" i="2"/>
  <c r="T335" i="2"/>
  <c r="U335" i="2"/>
  <c r="V335" i="2"/>
  <c r="W335" i="2"/>
  <c r="T336" i="2"/>
  <c r="U336" i="2"/>
  <c r="V336" i="2"/>
  <c r="W336" i="2"/>
  <c r="T337" i="2"/>
  <c r="U337" i="2"/>
  <c r="V337" i="2"/>
  <c r="W337" i="2"/>
  <c r="T338" i="2"/>
  <c r="U338" i="2"/>
  <c r="V338" i="2"/>
  <c r="W338" i="2"/>
  <c r="T339" i="2"/>
  <c r="U339" i="2"/>
  <c r="V339" i="2"/>
  <c r="W339" i="2"/>
  <c r="T340" i="2"/>
  <c r="U340" i="2"/>
  <c r="V340" i="2"/>
  <c r="W340" i="2"/>
  <c r="T341" i="2"/>
  <c r="U341" i="2"/>
  <c r="V341" i="2"/>
  <c r="W341" i="2"/>
  <c r="T342" i="2"/>
  <c r="U342" i="2"/>
  <c r="V342" i="2"/>
  <c r="W342" i="2"/>
  <c r="T343" i="2"/>
  <c r="U343" i="2"/>
  <c r="V343" i="2"/>
  <c r="W343" i="2"/>
  <c r="T344" i="2"/>
  <c r="U344" i="2"/>
  <c r="V344" i="2"/>
  <c r="W344" i="2"/>
  <c r="T345" i="2"/>
  <c r="U345" i="2"/>
  <c r="V345" i="2"/>
  <c r="W345" i="2"/>
  <c r="T346" i="2"/>
  <c r="U346" i="2"/>
  <c r="V346" i="2"/>
  <c r="W346" i="2"/>
  <c r="T347" i="2"/>
  <c r="U347" i="2"/>
  <c r="V347" i="2"/>
  <c r="W347" i="2"/>
  <c r="T348" i="2"/>
  <c r="U348" i="2"/>
  <c r="V348" i="2"/>
  <c r="W348" i="2"/>
  <c r="T349" i="2"/>
  <c r="U349" i="2"/>
  <c r="V349" i="2"/>
  <c r="W349" i="2"/>
  <c r="T350" i="2"/>
  <c r="U350" i="2"/>
  <c r="V350" i="2"/>
  <c r="W350" i="2"/>
  <c r="T352" i="2"/>
  <c r="U352" i="2"/>
  <c r="V352" i="2"/>
  <c r="W352" i="2"/>
  <c r="T354" i="2"/>
  <c r="U354" i="2"/>
  <c r="V354" i="2"/>
  <c r="W354" i="2"/>
  <c r="T355" i="2"/>
  <c r="U355" i="2"/>
  <c r="V355" i="2"/>
  <c r="W355" i="2"/>
  <c r="T362" i="2"/>
  <c r="U362" i="2"/>
  <c r="V362" i="2"/>
  <c r="W362" i="2"/>
  <c r="T363" i="2"/>
  <c r="U363" i="2"/>
  <c r="V363" i="2"/>
  <c r="W363" i="2"/>
  <c r="T364" i="2"/>
  <c r="U364" i="2"/>
  <c r="V364" i="2"/>
  <c r="W364" i="2"/>
  <c r="T365" i="2"/>
  <c r="U365" i="2"/>
  <c r="V365" i="2"/>
  <c r="W365" i="2"/>
  <c r="T366" i="2"/>
  <c r="U366" i="2"/>
  <c r="V366" i="2"/>
  <c r="W366" i="2"/>
  <c r="T367" i="2"/>
  <c r="U367" i="2"/>
  <c r="V367" i="2"/>
  <c r="W367" i="2"/>
  <c r="T368" i="2"/>
  <c r="U368" i="2"/>
  <c r="V368" i="2"/>
  <c r="W368" i="2"/>
  <c r="T369" i="2"/>
  <c r="U369" i="2"/>
  <c r="V369" i="2"/>
  <c r="W369" i="2"/>
  <c r="T370" i="2"/>
  <c r="U370" i="2"/>
  <c r="V370" i="2"/>
  <c r="W370" i="2"/>
  <c r="T371" i="2"/>
  <c r="U371" i="2"/>
  <c r="V371" i="2"/>
  <c r="W371" i="2"/>
  <c r="T372" i="2"/>
  <c r="U372" i="2"/>
  <c r="V372" i="2"/>
  <c r="W372" i="2"/>
  <c r="T373" i="2"/>
  <c r="U373" i="2"/>
  <c r="V373" i="2"/>
  <c r="W373" i="2"/>
  <c r="T374" i="2"/>
  <c r="U374" i="2"/>
  <c r="V374" i="2"/>
  <c r="W374" i="2"/>
  <c r="T375" i="2"/>
  <c r="U375" i="2"/>
  <c r="V375" i="2"/>
  <c r="W375" i="2"/>
  <c r="T376" i="2"/>
  <c r="U376" i="2"/>
  <c r="V376" i="2"/>
  <c r="W376" i="2"/>
  <c r="T377" i="2"/>
  <c r="U377" i="2"/>
  <c r="V377" i="2"/>
  <c r="W377" i="2"/>
  <c r="T378" i="2"/>
  <c r="U378" i="2"/>
  <c r="V378" i="2"/>
  <c r="W378" i="2"/>
  <c r="T379" i="2"/>
  <c r="U379" i="2"/>
  <c r="V379" i="2"/>
  <c r="W379" i="2"/>
  <c r="T380" i="2"/>
  <c r="U380" i="2"/>
  <c r="V380" i="2"/>
  <c r="W380" i="2"/>
  <c r="T381" i="2"/>
  <c r="U381" i="2"/>
  <c r="V381" i="2"/>
  <c r="W381" i="2"/>
  <c r="T382" i="2"/>
  <c r="U382" i="2"/>
  <c r="V382" i="2"/>
  <c r="W382" i="2"/>
  <c r="T383" i="2"/>
  <c r="U383" i="2"/>
  <c r="V383" i="2"/>
  <c r="W383" i="2"/>
  <c r="T384" i="2"/>
  <c r="U384" i="2"/>
  <c r="V384" i="2"/>
  <c r="W384" i="2"/>
  <c r="T385" i="2"/>
  <c r="U385" i="2"/>
  <c r="V385" i="2"/>
  <c r="W385" i="2"/>
  <c r="T386" i="2"/>
  <c r="U386" i="2"/>
  <c r="V386" i="2"/>
  <c r="W386" i="2"/>
  <c r="T388" i="2"/>
  <c r="U388" i="2"/>
  <c r="V388" i="2"/>
  <c r="W388" i="2"/>
  <c r="T390" i="2"/>
  <c r="U390" i="2"/>
  <c r="V390" i="2"/>
  <c r="W390" i="2"/>
  <c r="T391" i="2"/>
  <c r="U391" i="2"/>
  <c r="V391" i="2"/>
  <c r="W391" i="2"/>
  <c r="T398" i="2"/>
  <c r="U398" i="2"/>
  <c r="V398" i="2"/>
  <c r="W398" i="2"/>
  <c r="T399" i="2"/>
  <c r="U399" i="2"/>
  <c r="V399" i="2"/>
  <c r="W399" i="2"/>
  <c r="T400" i="2"/>
  <c r="U400" i="2"/>
  <c r="V400" i="2"/>
  <c r="W400" i="2"/>
  <c r="T401" i="2"/>
  <c r="U401" i="2"/>
  <c r="V401" i="2"/>
  <c r="W401" i="2"/>
  <c r="T402" i="2"/>
  <c r="U402" i="2"/>
  <c r="V402" i="2"/>
  <c r="W402" i="2"/>
  <c r="T403" i="2"/>
  <c r="U403" i="2"/>
  <c r="V403" i="2"/>
  <c r="W403" i="2"/>
  <c r="T404" i="2"/>
  <c r="U404" i="2"/>
  <c r="V404" i="2"/>
  <c r="W404" i="2"/>
  <c r="T405" i="2"/>
  <c r="U405" i="2"/>
  <c r="V405" i="2"/>
  <c r="W405" i="2"/>
  <c r="T406" i="2"/>
  <c r="U406" i="2"/>
  <c r="V406" i="2"/>
  <c r="W406" i="2"/>
  <c r="T407" i="2"/>
  <c r="U407" i="2"/>
  <c r="V407" i="2"/>
  <c r="W407" i="2"/>
  <c r="T408" i="2"/>
  <c r="U408" i="2"/>
  <c r="V408" i="2"/>
  <c r="W408" i="2"/>
  <c r="T409" i="2"/>
  <c r="U409" i="2"/>
  <c r="V409" i="2"/>
  <c r="W409" i="2"/>
  <c r="T410" i="2"/>
  <c r="U410" i="2"/>
  <c r="V410" i="2"/>
  <c r="W410" i="2"/>
  <c r="T411" i="2"/>
  <c r="U411" i="2"/>
  <c r="V411" i="2"/>
  <c r="W411" i="2"/>
  <c r="T412" i="2"/>
  <c r="U412" i="2"/>
  <c r="V412" i="2"/>
  <c r="W412" i="2"/>
  <c r="T413" i="2"/>
  <c r="U413" i="2"/>
  <c r="V413" i="2"/>
  <c r="W413" i="2"/>
  <c r="T414" i="2"/>
  <c r="U414" i="2"/>
  <c r="V414" i="2"/>
  <c r="W414" i="2"/>
  <c r="T415" i="2"/>
  <c r="U415" i="2"/>
  <c r="V415" i="2"/>
  <c r="W415" i="2"/>
  <c r="T416" i="2"/>
  <c r="U416" i="2"/>
  <c r="V416" i="2"/>
  <c r="W416" i="2"/>
  <c r="T417" i="2"/>
  <c r="U417" i="2"/>
  <c r="V417" i="2"/>
  <c r="W417" i="2"/>
  <c r="T418" i="2"/>
  <c r="U418" i="2"/>
  <c r="V418" i="2"/>
  <c r="W418" i="2"/>
  <c r="T419" i="2"/>
  <c r="U419" i="2"/>
  <c r="V419" i="2"/>
  <c r="W419" i="2"/>
  <c r="T420" i="2"/>
  <c r="U420" i="2"/>
  <c r="V420" i="2"/>
  <c r="W420" i="2"/>
  <c r="T421" i="2"/>
  <c r="U421" i="2"/>
  <c r="V421" i="2"/>
  <c r="W421" i="2"/>
  <c r="T424" i="2"/>
  <c r="U424" i="2"/>
  <c r="V424" i="2"/>
  <c r="W424" i="2"/>
  <c r="T426" i="2"/>
  <c r="U426" i="2"/>
  <c r="V426" i="2"/>
  <c r="W426" i="2"/>
  <c r="T427" i="2"/>
  <c r="U427" i="2"/>
  <c r="V427" i="2"/>
  <c r="W427" i="2"/>
  <c r="T428" i="2"/>
  <c r="U428" i="2"/>
  <c r="V428" i="2"/>
  <c r="W428" i="2"/>
  <c r="T434" i="2"/>
  <c r="U434" i="2"/>
  <c r="V434" i="2"/>
  <c r="W434" i="2"/>
  <c r="T435" i="2"/>
  <c r="U435" i="2"/>
  <c r="V435" i="2"/>
  <c r="W435" i="2"/>
  <c r="T436" i="2"/>
  <c r="U436" i="2"/>
  <c r="V436" i="2"/>
  <c r="W436" i="2"/>
  <c r="T437" i="2"/>
  <c r="U437" i="2"/>
  <c r="V437" i="2"/>
  <c r="W437" i="2"/>
  <c r="T438" i="2"/>
  <c r="U438" i="2"/>
  <c r="V438" i="2"/>
  <c r="W438" i="2"/>
  <c r="T439" i="2"/>
  <c r="U439" i="2"/>
  <c r="V439" i="2"/>
  <c r="W439" i="2"/>
  <c r="T440" i="2"/>
  <c r="U440" i="2"/>
  <c r="V440" i="2"/>
  <c r="W440" i="2"/>
  <c r="T441" i="2"/>
  <c r="U441" i="2"/>
  <c r="V441" i="2"/>
  <c r="W441" i="2"/>
  <c r="T442" i="2"/>
  <c r="U442" i="2"/>
  <c r="V442" i="2"/>
  <c r="W442" i="2"/>
  <c r="T443" i="2"/>
  <c r="U443" i="2"/>
  <c r="V443" i="2"/>
  <c r="W443" i="2"/>
  <c r="T444" i="2"/>
  <c r="U444" i="2"/>
  <c r="V444" i="2"/>
  <c r="W444" i="2"/>
  <c r="T445" i="2"/>
  <c r="U445" i="2"/>
  <c r="V445" i="2"/>
  <c r="W445" i="2"/>
  <c r="T446" i="2"/>
  <c r="U446" i="2"/>
  <c r="V446" i="2"/>
  <c r="W446" i="2"/>
  <c r="T447" i="2"/>
  <c r="U447" i="2"/>
  <c r="V447" i="2"/>
  <c r="W447" i="2"/>
  <c r="T448" i="2"/>
  <c r="U448" i="2"/>
  <c r="V448" i="2"/>
  <c r="W448" i="2"/>
  <c r="T449" i="2"/>
  <c r="U449" i="2"/>
  <c r="V449" i="2"/>
  <c r="W449" i="2"/>
  <c r="T450" i="2"/>
  <c r="U450" i="2"/>
  <c r="V450" i="2"/>
  <c r="W450" i="2"/>
  <c r="T451" i="2"/>
  <c r="U451" i="2"/>
  <c r="V451" i="2"/>
  <c r="W451" i="2"/>
  <c r="T452" i="2"/>
  <c r="U452" i="2"/>
  <c r="V452" i="2"/>
  <c r="W452" i="2"/>
  <c r="T453" i="2"/>
  <c r="U453" i="2"/>
  <c r="V453" i="2"/>
  <c r="W453" i="2"/>
  <c r="T454" i="2"/>
  <c r="U454" i="2"/>
  <c r="V454" i="2"/>
  <c r="W454" i="2"/>
  <c r="T455" i="2"/>
  <c r="U455" i="2"/>
  <c r="V455" i="2"/>
  <c r="W455" i="2"/>
  <c r="T456" i="2"/>
  <c r="U456" i="2"/>
  <c r="V456" i="2"/>
  <c r="W456" i="2"/>
  <c r="T457" i="2"/>
  <c r="U457" i="2"/>
  <c r="V457" i="2"/>
  <c r="W457" i="2"/>
  <c r="T460" i="2"/>
  <c r="U460" i="2"/>
  <c r="V460" i="2"/>
  <c r="W460" i="2"/>
  <c r="T462" i="2"/>
  <c r="U462" i="2"/>
  <c r="V462" i="2"/>
  <c r="W462" i="2"/>
  <c r="T463" i="2"/>
  <c r="U463" i="2"/>
  <c r="V463" i="2"/>
  <c r="W463" i="2"/>
  <c r="T464" i="2"/>
  <c r="U464" i="2"/>
  <c r="V464" i="2"/>
  <c r="W464" i="2"/>
  <c r="T470" i="2"/>
  <c r="U470" i="2"/>
  <c r="V470" i="2"/>
  <c r="W470" i="2"/>
  <c r="T471" i="2"/>
  <c r="U471" i="2"/>
  <c r="V471" i="2"/>
  <c r="W471" i="2"/>
  <c r="T472" i="2"/>
  <c r="U472" i="2"/>
  <c r="V472" i="2"/>
  <c r="W472" i="2"/>
  <c r="T473" i="2"/>
  <c r="U473" i="2"/>
  <c r="V473" i="2"/>
  <c r="W473" i="2"/>
  <c r="T474" i="2"/>
  <c r="U474" i="2"/>
  <c r="V474" i="2"/>
  <c r="W474" i="2"/>
  <c r="T475" i="2"/>
  <c r="U475" i="2"/>
  <c r="V475" i="2"/>
  <c r="W475" i="2"/>
  <c r="T476" i="2"/>
  <c r="U476" i="2"/>
  <c r="V476" i="2"/>
  <c r="W476" i="2"/>
  <c r="T477" i="2"/>
  <c r="U477" i="2"/>
  <c r="V477" i="2"/>
  <c r="W477" i="2"/>
  <c r="T478" i="2"/>
  <c r="U478" i="2"/>
  <c r="V478" i="2"/>
  <c r="W478" i="2"/>
  <c r="T479" i="2"/>
  <c r="U479" i="2"/>
  <c r="V479" i="2"/>
  <c r="W479" i="2"/>
  <c r="T480" i="2"/>
  <c r="U480" i="2"/>
  <c r="V480" i="2"/>
  <c r="W480" i="2"/>
  <c r="T481" i="2"/>
  <c r="U481" i="2"/>
  <c r="V481" i="2"/>
  <c r="W481" i="2"/>
  <c r="T482" i="2"/>
  <c r="U482" i="2"/>
  <c r="V482" i="2"/>
  <c r="W482" i="2"/>
  <c r="T483" i="2"/>
  <c r="U483" i="2"/>
  <c r="V483" i="2"/>
  <c r="W483" i="2"/>
  <c r="T484" i="2"/>
  <c r="U484" i="2"/>
  <c r="V484" i="2"/>
  <c r="W484" i="2"/>
  <c r="T485" i="2"/>
  <c r="U485" i="2"/>
  <c r="V485" i="2"/>
  <c r="W485" i="2"/>
  <c r="T486" i="2"/>
  <c r="U486" i="2"/>
  <c r="V486" i="2"/>
  <c r="W486" i="2"/>
  <c r="T487" i="2"/>
  <c r="U487" i="2"/>
  <c r="V487" i="2"/>
  <c r="W487" i="2"/>
  <c r="T488" i="2"/>
  <c r="U488" i="2"/>
  <c r="V488" i="2"/>
  <c r="W488" i="2"/>
  <c r="T489" i="2"/>
  <c r="U489" i="2"/>
  <c r="V489" i="2"/>
  <c r="W489" i="2"/>
  <c r="T490" i="2"/>
  <c r="U490" i="2"/>
  <c r="V490" i="2"/>
  <c r="W490" i="2"/>
  <c r="T491" i="2"/>
  <c r="U491" i="2"/>
  <c r="V491" i="2"/>
  <c r="W491" i="2"/>
  <c r="T492" i="2"/>
  <c r="U492" i="2"/>
  <c r="V492" i="2"/>
  <c r="W492" i="2"/>
  <c r="T496" i="2"/>
  <c r="U496" i="2"/>
  <c r="V496" i="2"/>
  <c r="W496" i="2"/>
  <c r="T498" i="2"/>
  <c r="U498" i="2"/>
  <c r="V498" i="2"/>
  <c r="W498" i="2"/>
  <c r="T499" i="2"/>
  <c r="U499" i="2"/>
  <c r="V499" i="2"/>
  <c r="W499" i="2"/>
  <c r="T500" i="2"/>
  <c r="U500" i="2"/>
  <c r="V500" i="2"/>
  <c r="W500" i="2"/>
  <c r="T506" i="2"/>
  <c r="U506" i="2"/>
  <c r="V506" i="2"/>
  <c r="W506" i="2"/>
  <c r="T507" i="2"/>
  <c r="U507" i="2"/>
  <c r="V507" i="2"/>
  <c r="W507" i="2"/>
  <c r="T508" i="2"/>
  <c r="U508" i="2"/>
  <c r="V508" i="2"/>
  <c r="W508" i="2"/>
  <c r="T509" i="2"/>
  <c r="U509" i="2"/>
  <c r="V509" i="2"/>
  <c r="W509" i="2"/>
  <c r="T510" i="2"/>
  <c r="U510" i="2"/>
  <c r="V510" i="2"/>
  <c r="W510" i="2"/>
  <c r="T511" i="2"/>
  <c r="U511" i="2"/>
  <c r="V511" i="2"/>
  <c r="W511" i="2"/>
  <c r="T512" i="2"/>
  <c r="U512" i="2"/>
  <c r="V512" i="2"/>
  <c r="W512" i="2"/>
  <c r="T513" i="2"/>
  <c r="U513" i="2"/>
  <c r="V513" i="2"/>
  <c r="W513" i="2"/>
  <c r="T514" i="2"/>
  <c r="U514" i="2"/>
  <c r="V514" i="2"/>
  <c r="W514" i="2"/>
  <c r="T515" i="2"/>
  <c r="U515" i="2"/>
  <c r="V515" i="2"/>
  <c r="W515" i="2"/>
  <c r="T516" i="2"/>
  <c r="U516" i="2"/>
  <c r="V516" i="2"/>
  <c r="W516" i="2"/>
  <c r="T517" i="2"/>
  <c r="U517" i="2"/>
  <c r="V517" i="2"/>
  <c r="W517" i="2"/>
  <c r="T518" i="2"/>
  <c r="U518" i="2"/>
  <c r="V518" i="2"/>
  <c r="W518" i="2"/>
  <c r="T519" i="2"/>
  <c r="U519" i="2"/>
  <c r="V519" i="2"/>
  <c r="W519" i="2"/>
  <c r="T520" i="2"/>
  <c r="U520" i="2"/>
  <c r="V520" i="2"/>
  <c r="W520" i="2"/>
  <c r="T521" i="2"/>
  <c r="U521" i="2"/>
  <c r="V521" i="2"/>
  <c r="W521" i="2"/>
  <c r="T522" i="2"/>
  <c r="U522" i="2"/>
  <c r="V522" i="2"/>
  <c r="W522" i="2"/>
  <c r="T523" i="2"/>
  <c r="U523" i="2"/>
  <c r="V523" i="2"/>
  <c r="W523" i="2"/>
  <c r="T524" i="2"/>
  <c r="U524" i="2"/>
  <c r="V524" i="2"/>
  <c r="W524" i="2"/>
  <c r="T525" i="2"/>
  <c r="U525" i="2"/>
  <c r="V525" i="2"/>
  <c r="W525" i="2"/>
  <c r="T526" i="2"/>
  <c r="U526" i="2"/>
  <c r="V526" i="2"/>
  <c r="W526" i="2"/>
  <c r="T527" i="2"/>
  <c r="U527" i="2"/>
  <c r="V527" i="2"/>
  <c r="W527" i="2"/>
  <c r="T528" i="2"/>
  <c r="U528" i="2"/>
  <c r="V528" i="2"/>
  <c r="W528" i="2"/>
  <c r="T529" i="2"/>
  <c r="U529" i="2"/>
  <c r="V529" i="2"/>
  <c r="W529" i="2"/>
  <c r="T532" i="2"/>
  <c r="U532" i="2"/>
  <c r="V532" i="2"/>
  <c r="W532" i="2"/>
  <c r="T534" i="2"/>
  <c r="U534" i="2"/>
  <c r="V534" i="2"/>
  <c r="W534" i="2"/>
  <c r="T535" i="2"/>
  <c r="U535" i="2"/>
  <c r="V535" i="2"/>
  <c r="W535" i="2"/>
  <c r="T536" i="2"/>
  <c r="U536" i="2"/>
  <c r="V536" i="2"/>
  <c r="W536" i="2"/>
  <c r="T542" i="2"/>
  <c r="U542" i="2"/>
  <c r="V542" i="2"/>
  <c r="W542" i="2"/>
  <c r="T543" i="2"/>
  <c r="U543" i="2"/>
  <c r="V543" i="2"/>
  <c r="W543" i="2"/>
  <c r="T544" i="2"/>
  <c r="U544" i="2"/>
  <c r="V544" i="2"/>
  <c r="W544" i="2"/>
  <c r="T545" i="2"/>
  <c r="U545" i="2"/>
  <c r="V545" i="2"/>
  <c r="W545" i="2"/>
  <c r="T546" i="2"/>
  <c r="U546" i="2"/>
  <c r="V546" i="2"/>
  <c r="W546" i="2"/>
  <c r="T547" i="2"/>
  <c r="U547" i="2"/>
  <c r="V547" i="2"/>
  <c r="W547" i="2"/>
  <c r="T548" i="2"/>
  <c r="U548" i="2"/>
  <c r="V548" i="2"/>
  <c r="W548" i="2"/>
  <c r="T549" i="2"/>
  <c r="U549" i="2"/>
  <c r="V549" i="2"/>
  <c r="W549" i="2"/>
  <c r="T550" i="2"/>
  <c r="U550" i="2"/>
  <c r="V550" i="2"/>
  <c r="W550" i="2"/>
  <c r="T551" i="2"/>
  <c r="U551" i="2"/>
  <c r="V551" i="2"/>
  <c r="W551" i="2"/>
  <c r="T552" i="2"/>
  <c r="U552" i="2"/>
  <c r="V552" i="2"/>
  <c r="W552" i="2"/>
  <c r="T553" i="2"/>
  <c r="U553" i="2"/>
  <c r="V553" i="2"/>
  <c r="W553" i="2"/>
  <c r="T554" i="2"/>
  <c r="U554" i="2"/>
  <c r="V554" i="2"/>
  <c r="W554" i="2"/>
  <c r="T555" i="2"/>
  <c r="U555" i="2"/>
  <c r="V555" i="2"/>
  <c r="W555" i="2"/>
  <c r="T556" i="2"/>
  <c r="U556" i="2"/>
  <c r="V556" i="2"/>
  <c r="W556" i="2"/>
  <c r="T557" i="2"/>
  <c r="U557" i="2"/>
  <c r="V557" i="2"/>
  <c r="W557" i="2"/>
  <c r="T558" i="2"/>
  <c r="U558" i="2"/>
  <c r="V558" i="2"/>
  <c r="W558" i="2"/>
  <c r="T559" i="2"/>
  <c r="U559" i="2"/>
  <c r="V559" i="2"/>
  <c r="W559" i="2"/>
  <c r="T560" i="2"/>
  <c r="U560" i="2"/>
  <c r="V560" i="2"/>
  <c r="W560" i="2"/>
  <c r="T561" i="2"/>
  <c r="U561" i="2"/>
  <c r="V561" i="2"/>
  <c r="W561" i="2"/>
  <c r="T562" i="2"/>
  <c r="U562" i="2"/>
  <c r="V562" i="2"/>
  <c r="W562" i="2"/>
  <c r="T563" i="2"/>
  <c r="U563" i="2"/>
  <c r="V563" i="2"/>
  <c r="W563" i="2"/>
  <c r="T564" i="2"/>
  <c r="U564" i="2"/>
  <c r="V564" i="2"/>
  <c r="W564" i="2"/>
  <c r="T565" i="2"/>
  <c r="U565" i="2"/>
  <c r="V565" i="2"/>
  <c r="W565" i="2"/>
  <c r="T568" i="2"/>
  <c r="U568" i="2"/>
  <c r="V568" i="2"/>
  <c r="W568" i="2"/>
  <c r="T570" i="2"/>
  <c r="U570" i="2"/>
  <c r="V570" i="2"/>
  <c r="W570" i="2"/>
  <c r="T571" i="2"/>
  <c r="U571" i="2"/>
  <c r="V571" i="2"/>
  <c r="W571" i="2"/>
  <c r="T572" i="2"/>
  <c r="U572" i="2"/>
  <c r="V572" i="2"/>
  <c r="W572" i="2"/>
  <c r="T578" i="2"/>
  <c r="U578" i="2"/>
  <c r="V578" i="2"/>
  <c r="W578" i="2"/>
  <c r="T579" i="2"/>
  <c r="U579" i="2"/>
  <c r="V579" i="2"/>
  <c r="W579" i="2"/>
  <c r="T580" i="2"/>
  <c r="U580" i="2"/>
  <c r="V580" i="2"/>
  <c r="W580" i="2"/>
  <c r="T581" i="2"/>
  <c r="U581" i="2"/>
  <c r="V581" i="2"/>
  <c r="W581" i="2"/>
  <c r="T582" i="2"/>
  <c r="U582" i="2"/>
  <c r="V582" i="2"/>
  <c r="W582" i="2"/>
  <c r="T583" i="2"/>
  <c r="U583" i="2"/>
  <c r="V583" i="2"/>
  <c r="W583" i="2"/>
  <c r="T584" i="2"/>
  <c r="U584" i="2"/>
  <c r="V584" i="2"/>
  <c r="W584" i="2"/>
  <c r="T585" i="2"/>
  <c r="U585" i="2"/>
  <c r="V585" i="2"/>
  <c r="W585" i="2"/>
  <c r="T586" i="2"/>
  <c r="U586" i="2"/>
  <c r="V586" i="2"/>
  <c r="W586" i="2"/>
  <c r="T587" i="2"/>
  <c r="U587" i="2"/>
  <c r="V587" i="2"/>
  <c r="W587" i="2"/>
  <c r="T588" i="2"/>
  <c r="U588" i="2"/>
  <c r="V588" i="2"/>
  <c r="W588" i="2"/>
  <c r="T589" i="2"/>
  <c r="U589" i="2"/>
  <c r="V589" i="2"/>
  <c r="W589" i="2"/>
  <c r="T590" i="2"/>
  <c r="U590" i="2"/>
  <c r="V590" i="2"/>
  <c r="W590" i="2"/>
  <c r="T591" i="2"/>
  <c r="U591" i="2"/>
  <c r="V591" i="2"/>
  <c r="W591" i="2"/>
  <c r="T592" i="2"/>
  <c r="U592" i="2"/>
  <c r="V592" i="2"/>
  <c r="W592" i="2"/>
  <c r="T593" i="2"/>
  <c r="U593" i="2"/>
  <c r="V593" i="2"/>
  <c r="W593" i="2"/>
  <c r="T594" i="2"/>
  <c r="U594" i="2"/>
  <c r="V594" i="2"/>
  <c r="W594" i="2"/>
  <c r="T595" i="2"/>
  <c r="U595" i="2"/>
  <c r="V595" i="2"/>
  <c r="W595" i="2"/>
  <c r="T596" i="2"/>
  <c r="U596" i="2"/>
  <c r="V596" i="2"/>
  <c r="W596" i="2"/>
  <c r="T597" i="2"/>
  <c r="U597" i="2"/>
  <c r="V597" i="2"/>
  <c r="W597" i="2"/>
  <c r="T598" i="2"/>
  <c r="U598" i="2"/>
  <c r="V598" i="2"/>
  <c r="W598" i="2"/>
  <c r="T599" i="2"/>
  <c r="U599" i="2"/>
  <c r="V599" i="2"/>
  <c r="W599" i="2"/>
  <c r="T600" i="2"/>
  <c r="U600" i="2"/>
  <c r="V600" i="2"/>
  <c r="W600" i="2"/>
  <c r="T601" i="2"/>
  <c r="U601" i="2"/>
  <c r="V601" i="2"/>
  <c r="W601" i="2"/>
  <c r="T604" i="2"/>
  <c r="U604" i="2"/>
  <c r="V604" i="2"/>
  <c r="W604" i="2"/>
  <c r="T606" i="2"/>
  <c r="U606" i="2"/>
  <c r="V606" i="2"/>
  <c r="W606" i="2"/>
  <c r="T607" i="2"/>
  <c r="U607" i="2"/>
  <c r="V607" i="2"/>
  <c r="W607" i="2"/>
  <c r="T608" i="2"/>
  <c r="U608" i="2"/>
  <c r="V608" i="2"/>
  <c r="W608" i="2"/>
  <c r="T614" i="2"/>
  <c r="U614" i="2"/>
  <c r="V614" i="2"/>
  <c r="W614" i="2"/>
  <c r="T615" i="2"/>
  <c r="U615" i="2"/>
  <c r="V615" i="2"/>
  <c r="W615" i="2"/>
  <c r="T616" i="2"/>
  <c r="U616" i="2"/>
  <c r="V616" i="2"/>
  <c r="W616" i="2"/>
  <c r="T617" i="2"/>
  <c r="U617" i="2"/>
  <c r="V617" i="2"/>
  <c r="W617" i="2"/>
  <c r="T618" i="2"/>
  <c r="U618" i="2"/>
  <c r="V618" i="2"/>
  <c r="W618" i="2"/>
  <c r="T619" i="2"/>
  <c r="U619" i="2"/>
  <c r="V619" i="2"/>
  <c r="W619" i="2"/>
  <c r="T620" i="2"/>
  <c r="U620" i="2"/>
  <c r="V620" i="2"/>
  <c r="W620" i="2"/>
  <c r="T621" i="2"/>
  <c r="U621" i="2"/>
  <c r="V621" i="2"/>
  <c r="W621" i="2"/>
  <c r="T622" i="2"/>
  <c r="U622" i="2"/>
  <c r="V622" i="2"/>
  <c r="W622" i="2"/>
  <c r="T623" i="2"/>
  <c r="U623" i="2"/>
  <c r="V623" i="2"/>
  <c r="W623" i="2"/>
  <c r="T624" i="2"/>
  <c r="U624" i="2"/>
  <c r="V624" i="2"/>
  <c r="W624" i="2"/>
  <c r="T625" i="2"/>
  <c r="U625" i="2"/>
  <c r="V625" i="2"/>
  <c r="W625" i="2"/>
  <c r="T626" i="2"/>
  <c r="U626" i="2"/>
  <c r="V626" i="2"/>
  <c r="W626" i="2"/>
  <c r="T627" i="2"/>
  <c r="U627" i="2"/>
  <c r="V627" i="2"/>
  <c r="W627" i="2"/>
  <c r="T628" i="2"/>
  <c r="U628" i="2"/>
  <c r="V628" i="2"/>
  <c r="W628" i="2"/>
  <c r="T629" i="2"/>
  <c r="U629" i="2"/>
  <c r="V629" i="2"/>
  <c r="W629" i="2"/>
  <c r="T630" i="2"/>
  <c r="U630" i="2"/>
  <c r="V630" i="2"/>
  <c r="W630" i="2"/>
  <c r="T631" i="2"/>
  <c r="U631" i="2"/>
  <c r="V631" i="2"/>
  <c r="W631" i="2"/>
  <c r="T632" i="2"/>
  <c r="U632" i="2"/>
  <c r="V632" i="2"/>
  <c r="W632" i="2"/>
  <c r="T633" i="2"/>
  <c r="U633" i="2"/>
  <c r="V633" i="2"/>
  <c r="W633" i="2"/>
  <c r="T634" i="2"/>
  <c r="U634" i="2"/>
  <c r="V634" i="2"/>
  <c r="W634" i="2"/>
  <c r="T635" i="2"/>
  <c r="U635" i="2"/>
  <c r="V635" i="2"/>
  <c r="W635" i="2"/>
  <c r="T636" i="2"/>
  <c r="U636" i="2"/>
  <c r="V636" i="2"/>
  <c r="W636" i="2"/>
  <c r="T637" i="2"/>
  <c r="U637" i="2"/>
  <c r="V637" i="2"/>
  <c r="W637" i="2"/>
  <c r="T640" i="2"/>
  <c r="U640" i="2"/>
  <c r="V640" i="2"/>
  <c r="W640" i="2"/>
  <c r="T642" i="2"/>
  <c r="U642" i="2"/>
  <c r="V642" i="2"/>
  <c r="W642" i="2"/>
  <c r="T643" i="2"/>
  <c r="U643" i="2"/>
  <c r="V643" i="2"/>
  <c r="W643" i="2"/>
  <c r="T644" i="2"/>
  <c r="U644" i="2"/>
  <c r="V644" i="2"/>
  <c r="W644" i="2"/>
  <c r="T650" i="2"/>
  <c r="U650" i="2"/>
  <c r="V650" i="2"/>
  <c r="W650" i="2"/>
  <c r="T651" i="2"/>
  <c r="U651" i="2"/>
  <c r="V651" i="2"/>
  <c r="W651" i="2"/>
  <c r="T652" i="2"/>
  <c r="U652" i="2"/>
  <c r="V652" i="2"/>
  <c r="W652" i="2"/>
  <c r="T653" i="2"/>
  <c r="U653" i="2"/>
  <c r="V653" i="2"/>
  <c r="W653" i="2"/>
  <c r="T654" i="2"/>
  <c r="U654" i="2"/>
  <c r="V654" i="2"/>
  <c r="W654" i="2"/>
  <c r="T655" i="2"/>
  <c r="U655" i="2"/>
  <c r="V655" i="2"/>
  <c r="W655" i="2"/>
  <c r="T656" i="2"/>
  <c r="U656" i="2"/>
  <c r="V656" i="2"/>
  <c r="W656" i="2"/>
  <c r="T657" i="2"/>
  <c r="U657" i="2"/>
  <c r="V657" i="2"/>
  <c r="W657" i="2"/>
  <c r="T658" i="2"/>
  <c r="U658" i="2"/>
  <c r="V658" i="2"/>
  <c r="W658" i="2"/>
  <c r="T659" i="2"/>
  <c r="U659" i="2"/>
  <c r="V659" i="2"/>
  <c r="W659" i="2"/>
  <c r="T660" i="2"/>
  <c r="U660" i="2"/>
  <c r="V660" i="2"/>
  <c r="W660" i="2"/>
  <c r="T661" i="2"/>
  <c r="U661" i="2"/>
  <c r="V661" i="2"/>
  <c r="W661" i="2"/>
  <c r="T662" i="2"/>
  <c r="U662" i="2"/>
  <c r="V662" i="2"/>
  <c r="W662" i="2"/>
  <c r="T663" i="2"/>
  <c r="U663" i="2"/>
  <c r="V663" i="2"/>
  <c r="W663" i="2"/>
  <c r="T664" i="2"/>
  <c r="U664" i="2"/>
  <c r="V664" i="2"/>
  <c r="W664" i="2"/>
  <c r="T665" i="2"/>
  <c r="U665" i="2"/>
  <c r="V665" i="2"/>
  <c r="W665" i="2"/>
  <c r="T666" i="2"/>
  <c r="U666" i="2"/>
  <c r="V666" i="2"/>
  <c r="W666" i="2"/>
  <c r="T667" i="2"/>
  <c r="U667" i="2"/>
  <c r="V667" i="2"/>
  <c r="W667" i="2"/>
  <c r="T668" i="2"/>
  <c r="U668" i="2"/>
  <c r="V668" i="2"/>
  <c r="W668" i="2"/>
  <c r="T669" i="2"/>
  <c r="U669" i="2"/>
  <c r="V669" i="2"/>
  <c r="W669" i="2"/>
  <c r="T670" i="2"/>
  <c r="U670" i="2"/>
  <c r="V670" i="2"/>
  <c r="W670" i="2"/>
  <c r="T676" i="2"/>
  <c r="U676" i="2"/>
  <c r="V676" i="2"/>
  <c r="W676" i="2"/>
  <c r="T678" i="2"/>
  <c r="U678" i="2"/>
  <c r="V678" i="2"/>
  <c r="W678" i="2"/>
  <c r="T679" i="2"/>
  <c r="U679" i="2"/>
  <c r="V679" i="2"/>
  <c r="W679" i="2"/>
  <c r="T680" i="2"/>
  <c r="U680" i="2"/>
  <c r="V680" i="2"/>
  <c r="W680" i="2"/>
  <c r="T686" i="2"/>
  <c r="U686" i="2"/>
  <c r="V686" i="2"/>
  <c r="W686" i="2"/>
  <c r="T687" i="2"/>
  <c r="U687" i="2"/>
  <c r="V687" i="2"/>
  <c r="W687" i="2"/>
  <c r="T688" i="2"/>
  <c r="U688" i="2"/>
  <c r="V688" i="2"/>
  <c r="W688" i="2"/>
  <c r="T689" i="2"/>
  <c r="U689" i="2"/>
  <c r="V689" i="2"/>
  <c r="W689" i="2"/>
  <c r="T690" i="2"/>
  <c r="U690" i="2"/>
  <c r="V690" i="2"/>
  <c r="W690" i="2"/>
  <c r="T691" i="2"/>
  <c r="U691" i="2"/>
  <c r="V691" i="2"/>
  <c r="W691" i="2"/>
  <c r="T692" i="2"/>
  <c r="U692" i="2"/>
  <c r="V692" i="2"/>
  <c r="W692" i="2"/>
  <c r="T693" i="2"/>
  <c r="U693" i="2"/>
  <c r="V693" i="2"/>
  <c r="W693" i="2"/>
  <c r="T694" i="2"/>
  <c r="U694" i="2"/>
  <c r="V694" i="2"/>
  <c r="W694" i="2"/>
  <c r="T695" i="2"/>
  <c r="U695" i="2"/>
  <c r="V695" i="2"/>
  <c r="W695" i="2"/>
  <c r="T696" i="2"/>
  <c r="U696" i="2"/>
  <c r="V696" i="2"/>
  <c r="W696" i="2"/>
  <c r="T697" i="2"/>
  <c r="U697" i="2"/>
  <c r="V697" i="2"/>
  <c r="W697" i="2"/>
  <c r="T698" i="2"/>
  <c r="U698" i="2"/>
  <c r="V698" i="2"/>
  <c r="W698" i="2"/>
  <c r="T699" i="2"/>
  <c r="U699" i="2"/>
  <c r="V699" i="2"/>
  <c r="W699" i="2"/>
  <c r="T700" i="2"/>
  <c r="U700" i="2"/>
  <c r="V700" i="2"/>
  <c r="W700" i="2"/>
  <c r="T701" i="2"/>
  <c r="U701" i="2"/>
  <c r="V701" i="2"/>
  <c r="W701" i="2"/>
  <c r="T702" i="2"/>
  <c r="U702" i="2"/>
  <c r="V702" i="2"/>
  <c r="W702" i="2"/>
  <c r="T703" i="2"/>
  <c r="U703" i="2"/>
  <c r="V703" i="2"/>
  <c r="W703" i="2"/>
  <c r="T704" i="2"/>
  <c r="U704" i="2"/>
  <c r="V704" i="2"/>
  <c r="W704" i="2"/>
  <c r="T705" i="2"/>
  <c r="U705" i="2"/>
  <c r="V705" i="2"/>
  <c r="W705" i="2"/>
  <c r="T706" i="2"/>
  <c r="U706" i="2"/>
  <c r="V706" i="2"/>
  <c r="W706" i="2"/>
  <c r="T707" i="2"/>
  <c r="U707" i="2"/>
  <c r="V707" i="2"/>
  <c r="W707" i="2"/>
  <c r="T712" i="2"/>
  <c r="U712" i="2"/>
  <c r="V712" i="2"/>
  <c r="W712" i="2"/>
  <c r="T714" i="2"/>
  <c r="U714" i="2"/>
  <c r="V714" i="2"/>
  <c r="W714" i="2"/>
  <c r="T715" i="2"/>
  <c r="U715" i="2"/>
  <c r="V715" i="2"/>
  <c r="W715" i="2"/>
  <c r="T716" i="2"/>
  <c r="U716" i="2"/>
  <c r="V716" i="2"/>
  <c r="W716" i="2"/>
  <c r="T722" i="2"/>
  <c r="U722" i="2"/>
  <c r="V722" i="2"/>
  <c r="W722" i="2"/>
  <c r="T723" i="2"/>
  <c r="U723" i="2"/>
  <c r="V723" i="2"/>
  <c r="W723" i="2"/>
  <c r="T724" i="2"/>
  <c r="U724" i="2"/>
  <c r="V724" i="2"/>
  <c r="W724" i="2"/>
  <c r="T725" i="2"/>
  <c r="U725" i="2"/>
  <c r="V725" i="2"/>
  <c r="W725" i="2"/>
  <c r="T726" i="2"/>
  <c r="U726" i="2"/>
  <c r="V726" i="2"/>
  <c r="W726" i="2"/>
  <c r="T727" i="2"/>
  <c r="U727" i="2"/>
  <c r="V727" i="2"/>
  <c r="W727" i="2"/>
  <c r="T728" i="2"/>
  <c r="U728" i="2"/>
  <c r="V728" i="2"/>
  <c r="W728" i="2"/>
  <c r="T729" i="2"/>
  <c r="U729" i="2"/>
  <c r="V729" i="2"/>
  <c r="W729" i="2"/>
  <c r="T730" i="2"/>
  <c r="U730" i="2"/>
  <c r="V730" i="2"/>
  <c r="W730" i="2"/>
  <c r="T731" i="2"/>
  <c r="U731" i="2"/>
  <c r="V731" i="2"/>
  <c r="W731" i="2"/>
  <c r="T732" i="2"/>
  <c r="U732" i="2"/>
  <c r="V732" i="2"/>
  <c r="W732" i="2"/>
  <c r="T733" i="2"/>
  <c r="U733" i="2"/>
  <c r="V733" i="2"/>
  <c r="W733" i="2"/>
  <c r="T734" i="2"/>
  <c r="U734" i="2"/>
  <c r="V734" i="2"/>
  <c r="W734" i="2"/>
  <c r="T735" i="2"/>
  <c r="U735" i="2"/>
  <c r="V735" i="2"/>
  <c r="W735" i="2"/>
  <c r="T736" i="2"/>
  <c r="U736" i="2"/>
  <c r="V736" i="2"/>
  <c r="W736" i="2"/>
  <c r="T737" i="2"/>
  <c r="U737" i="2"/>
  <c r="V737" i="2"/>
  <c r="W737" i="2"/>
  <c r="T738" i="2"/>
  <c r="U738" i="2"/>
  <c r="V738" i="2"/>
  <c r="W738" i="2"/>
  <c r="T739" i="2"/>
  <c r="U739" i="2"/>
  <c r="V739" i="2"/>
  <c r="W739" i="2"/>
  <c r="T740" i="2"/>
  <c r="U740" i="2"/>
  <c r="V740" i="2"/>
  <c r="W740" i="2"/>
  <c r="T741" i="2"/>
  <c r="U741" i="2"/>
  <c r="V741" i="2"/>
  <c r="W741" i="2"/>
  <c r="T742" i="2"/>
  <c r="U742" i="2"/>
  <c r="V742" i="2"/>
  <c r="W742" i="2"/>
  <c r="T743" i="2"/>
  <c r="U743" i="2"/>
  <c r="V743" i="2"/>
  <c r="W743" i="2"/>
  <c r="T744" i="2"/>
  <c r="U744" i="2"/>
  <c r="V744" i="2"/>
  <c r="W744" i="2"/>
  <c r="T745" i="2"/>
  <c r="U745" i="2"/>
  <c r="V745" i="2"/>
  <c r="W745" i="2"/>
  <c r="T748" i="2"/>
  <c r="U748" i="2"/>
  <c r="V748" i="2"/>
  <c r="W748" i="2"/>
  <c r="T750" i="2"/>
  <c r="U750" i="2"/>
  <c r="V750" i="2"/>
  <c r="W750" i="2"/>
  <c r="T751" i="2"/>
  <c r="U751" i="2"/>
  <c r="V751" i="2"/>
  <c r="W751" i="2"/>
  <c r="T752" i="2"/>
  <c r="U752" i="2"/>
  <c r="V752" i="2"/>
  <c r="W752" i="2"/>
  <c r="T758" i="2"/>
  <c r="U758" i="2"/>
  <c r="V758" i="2"/>
  <c r="W758" i="2"/>
  <c r="T759" i="2"/>
  <c r="U759" i="2"/>
  <c r="V759" i="2"/>
  <c r="W759" i="2"/>
  <c r="T760" i="2"/>
  <c r="U760" i="2"/>
  <c r="V760" i="2"/>
  <c r="W760" i="2"/>
  <c r="T761" i="2"/>
  <c r="U761" i="2"/>
  <c r="V761" i="2"/>
  <c r="W761" i="2"/>
  <c r="T762" i="2"/>
  <c r="U762" i="2"/>
  <c r="V762" i="2"/>
  <c r="W762" i="2"/>
  <c r="T763" i="2"/>
  <c r="U763" i="2"/>
  <c r="V763" i="2"/>
  <c r="W763" i="2"/>
  <c r="T764" i="2"/>
  <c r="U764" i="2"/>
  <c r="V764" i="2"/>
  <c r="W764" i="2"/>
  <c r="T765" i="2"/>
  <c r="U765" i="2"/>
  <c r="V765" i="2"/>
  <c r="W765" i="2"/>
  <c r="T766" i="2"/>
  <c r="U766" i="2"/>
  <c r="V766" i="2"/>
  <c r="W766" i="2"/>
  <c r="T767" i="2"/>
  <c r="U767" i="2"/>
  <c r="V767" i="2"/>
  <c r="W767" i="2"/>
  <c r="T768" i="2"/>
  <c r="U768" i="2"/>
  <c r="V768" i="2"/>
  <c r="W768" i="2"/>
  <c r="T769" i="2"/>
  <c r="U769" i="2"/>
  <c r="V769" i="2"/>
  <c r="W769" i="2"/>
  <c r="T770" i="2"/>
  <c r="U770" i="2"/>
  <c r="V770" i="2"/>
  <c r="W770" i="2"/>
  <c r="T771" i="2"/>
  <c r="U771" i="2"/>
  <c r="V771" i="2"/>
  <c r="W771" i="2"/>
  <c r="T772" i="2"/>
  <c r="U772" i="2"/>
  <c r="V772" i="2"/>
  <c r="W772" i="2"/>
  <c r="T773" i="2"/>
  <c r="U773" i="2"/>
  <c r="V773" i="2"/>
  <c r="W773" i="2"/>
  <c r="T774" i="2"/>
  <c r="U774" i="2"/>
  <c r="V774" i="2"/>
  <c r="W774" i="2"/>
  <c r="T775" i="2"/>
  <c r="U775" i="2"/>
  <c r="V775" i="2"/>
  <c r="W775" i="2"/>
  <c r="T776" i="2"/>
  <c r="U776" i="2"/>
  <c r="V776" i="2"/>
  <c r="W776" i="2"/>
  <c r="T777" i="2"/>
  <c r="U777" i="2"/>
  <c r="V777" i="2"/>
  <c r="W777" i="2"/>
  <c r="T778" i="2"/>
  <c r="U778" i="2"/>
  <c r="V778" i="2"/>
  <c r="W778" i="2"/>
  <c r="T779" i="2"/>
  <c r="U779" i="2"/>
  <c r="V779" i="2"/>
  <c r="W779" i="2"/>
  <c r="T780" i="2"/>
  <c r="U780" i="2"/>
  <c r="V780" i="2"/>
  <c r="W780" i="2"/>
  <c r="T784" i="2"/>
  <c r="U784" i="2"/>
  <c r="V784" i="2"/>
  <c r="W784" i="2"/>
  <c r="T786" i="2"/>
  <c r="U786" i="2"/>
  <c r="V786" i="2"/>
  <c r="W786" i="2"/>
  <c r="T787" i="2"/>
  <c r="U787" i="2"/>
  <c r="V787" i="2"/>
  <c r="W787" i="2"/>
  <c r="T788" i="2"/>
  <c r="U788" i="2"/>
  <c r="V788" i="2"/>
  <c r="W788" i="2"/>
  <c r="T794" i="2"/>
  <c r="U794" i="2"/>
  <c r="V794" i="2"/>
  <c r="W794" i="2"/>
  <c r="T795" i="2"/>
  <c r="U795" i="2"/>
  <c r="V795" i="2"/>
  <c r="W795" i="2"/>
  <c r="T796" i="2"/>
  <c r="U796" i="2"/>
  <c r="V796" i="2"/>
  <c r="W796" i="2"/>
  <c r="T797" i="2"/>
  <c r="U797" i="2"/>
  <c r="V797" i="2"/>
  <c r="W797" i="2"/>
  <c r="T798" i="2"/>
  <c r="U798" i="2"/>
  <c r="V798" i="2"/>
  <c r="W798" i="2"/>
  <c r="T799" i="2"/>
  <c r="U799" i="2"/>
  <c r="V799" i="2"/>
  <c r="W799" i="2"/>
  <c r="T800" i="2"/>
  <c r="U800" i="2"/>
  <c r="V800" i="2"/>
  <c r="W800" i="2"/>
  <c r="T801" i="2"/>
  <c r="U801" i="2"/>
  <c r="V801" i="2"/>
  <c r="W801" i="2"/>
  <c r="T802" i="2"/>
  <c r="U802" i="2"/>
  <c r="V802" i="2"/>
  <c r="W802" i="2"/>
  <c r="T803" i="2"/>
  <c r="U803" i="2"/>
  <c r="V803" i="2"/>
  <c r="W803" i="2"/>
  <c r="T804" i="2"/>
  <c r="U804" i="2"/>
  <c r="V804" i="2"/>
  <c r="W804" i="2"/>
  <c r="T805" i="2"/>
  <c r="U805" i="2"/>
  <c r="V805" i="2"/>
  <c r="W805" i="2"/>
  <c r="T806" i="2"/>
  <c r="U806" i="2"/>
  <c r="V806" i="2"/>
  <c r="W806" i="2"/>
  <c r="T807" i="2"/>
  <c r="U807" i="2"/>
  <c r="V807" i="2"/>
  <c r="W807" i="2"/>
  <c r="T808" i="2"/>
  <c r="U808" i="2"/>
  <c r="V808" i="2"/>
  <c r="W808" i="2"/>
  <c r="T809" i="2"/>
  <c r="U809" i="2"/>
  <c r="V809" i="2"/>
  <c r="W809" i="2"/>
  <c r="T810" i="2"/>
  <c r="U810" i="2"/>
  <c r="V810" i="2"/>
  <c r="W810" i="2"/>
  <c r="T811" i="2"/>
  <c r="U811" i="2"/>
  <c r="V811" i="2"/>
  <c r="W811" i="2"/>
  <c r="T812" i="2"/>
  <c r="U812" i="2"/>
  <c r="V812" i="2"/>
  <c r="W812" i="2"/>
  <c r="T813" i="2"/>
  <c r="U813" i="2"/>
  <c r="V813" i="2"/>
  <c r="W813" i="2"/>
  <c r="T814" i="2"/>
  <c r="U814" i="2"/>
  <c r="V814" i="2"/>
  <c r="W814" i="2"/>
  <c r="T820" i="2"/>
  <c r="U820" i="2"/>
  <c r="V820" i="2"/>
  <c r="W820" i="2"/>
  <c r="T822" i="2"/>
  <c r="U822" i="2"/>
  <c r="V822" i="2"/>
  <c r="W822" i="2"/>
  <c r="T823" i="2"/>
  <c r="U823" i="2"/>
  <c r="V823" i="2"/>
  <c r="W823" i="2"/>
  <c r="T824" i="2"/>
  <c r="U824" i="2"/>
  <c r="V824" i="2"/>
  <c r="W824" i="2"/>
  <c r="T830" i="2"/>
  <c r="U830" i="2"/>
  <c r="V830" i="2"/>
  <c r="W830" i="2"/>
  <c r="T831" i="2"/>
  <c r="U831" i="2"/>
  <c r="V831" i="2"/>
  <c r="W831" i="2"/>
  <c r="T832" i="2"/>
  <c r="U832" i="2"/>
  <c r="V832" i="2"/>
  <c r="W832" i="2"/>
  <c r="T833" i="2"/>
  <c r="U833" i="2"/>
  <c r="V833" i="2"/>
  <c r="W833" i="2"/>
  <c r="T834" i="2"/>
  <c r="U834" i="2"/>
  <c r="V834" i="2"/>
  <c r="W834" i="2"/>
  <c r="T835" i="2"/>
  <c r="U835" i="2"/>
  <c r="V835" i="2"/>
  <c r="W835" i="2"/>
  <c r="T836" i="2"/>
  <c r="U836" i="2"/>
  <c r="V836" i="2"/>
  <c r="W836" i="2"/>
  <c r="T837" i="2"/>
  <c r="U837" i="2"/>
  <c r="V837" i="2"/>
  <c r="W837" i="2"/>
  <c r="T838" i="2"/>
  <c r="U838" i="2"/>
  <c r="V838" i="2"/>
  <c r="W838" i="2"/>
  <c r="T839" i="2"/>
  <c r="U839" i="2"/>
  <c r="V839" i="2"/>
  <c r="W839" i="2"/>
  <c r="T840" i="2"/>
  <c r="U840" i="2"/>
  <c r="V840" i="2"/>
  <c r="W840" i="2"/>
  <c r="T841" i="2"/>
  <c r="U841" i="2"/>
  <c r="V841" i="2"/>
  <c r="W841" i="2"/>
  <c r="T842" i="2"/>
  <c r="U842" i="2"/>
  <c r="V842" i="2"/>
  <c r="W842" i="2"/>
  <c r="T843" i="2"/>
  <c r="U843" i="2"/>
  <c r="V843" i="2"/>
  <c r="W843" i="2"/>
  <c r="T844" i="2"/>
  <c r="U844" i="2"/>
  <c r="V844" i="2"/>
  <c r="W844" i="2"/>
  <c r="T845" i="2"/>
  <c r="U845" i="2"/>
  <c r="V845" i="2"/>
  <c r="W845" i="2"/>
  <c r="T846" i="2"/>
  <c r="U846" i="2"/>
  <c r="V846" i="2"/>
  <c r="W846" i="2"/>
  <c r="T847" i="2"/>
  <c r="U847" i="2"/>
  <c r="V847" i="2"/>
  <c r="W847" i="2"/>
  <c r="T848" i="2"/>
  <c r="U848" i="2"/>
  <c r="V848" i="2"/>
  <c r="W848" i="2"/>
  <c r="T849" i="2"/>
  <c r="U849" i="2"/>
  <c r="V849" i="2"/>
  <c r="W849" i="2"/>
  <c r="T850" i="2"/>
  <c r="U850" i="2"/>
  <c r="V850" i="2"/>
  <c r="W850" i="2"/>
  <c r="T851" i="2"/>
  <c r="U851" i="2"/>
  <c r="V851" i="2"/>
  <c r="W851" i="2"/>
  <c r="T852" i="2"/>
  <c r="U852" i="2"/>
  <c r="V852" i="2"/>
  <c r="W852" i="2"/>
  <c r="T856" i="2"/>
  <c r="U856" i="2"/>
  <c r="V856" i="2"/>
  <c r="W856" i="2"/>
  <c r="T858" i="2"/>
  <c r="U858" i="2"/>
  <c r="V858" i="2"/>
  <c r="W858" i="2"/>
  <c r="T859" i="2"/>
  <c r="U859" i="2"/>
  <c r="V859" i="2"/>
  <c r="W859" i="2"/>
  <c r="T860" i="2"/>
  <c r="U860" i="2"/>
  <c r="V860" i="2"/>
  <c r="W860" i="2"/>
  <c r="T866" i="2"/>
  <c r="U866" i="2"/>
  <c r="V866" i="2"/>
  <c r="W866" i="2"/>
  <c r="T867" i="2"/>
  <c r="U867" i="2"/>
  <c r="V867" i="2"/>
  <c r="W867" i="2"/>
  <c r="T868" i="2"/>
  <c r="U868" i="2"/>
  <c r="V868" i="2"/>
  <c r="W868" i="2"/>
  <c r="T869" i="2"/>
  <c r="U869" i="2"/>
  <c r="V869" i="2"/>
  <c r="W869" i="2"/>
  <c r="T870" i="2"/>
  <c r="U870" i="2"/>
  <c r="V870" i="2"/>
  <c r="W870" i="2"/>
  <c r="T871" i="2"/>
  <c r="U871" i="2"/>
  <c r="V871" i="2"/>
  <c r="W871" i="2"/>
  <c r="T872" i="2"/>
  <c r="U872" i="2"/>
  <c r="V872" i="2"/>
  <c r="W872" i="2"/>
  <c r="T873" i="2"/>
  <c r="U873" i="2"/>
  <c r="V873" i="2"/>
  <c r="W873" i="2"/>
  <c r="T874" i="2"/>
  <c r="U874" i="2"/>
  <c r="V874" i="2"/>
  <c r="W874" i="2"/>
  <c r="T875" i="2"/>
  <c r="U875" i="2"/>
  <c r="V875" i="2"/>
  <c r="W875" i="2"/>
  <c r="T876" i="2"/>
  <c r="U876" i="2"/>
  <c r="V876" i="2"/>
  <c r="W876" i="2"/>
  <c r="T877" i="2"/>
  <c r="U877" i="2"/>
  <c r="V877" i="2"/>
  <c r="W877" i="2"/>
  <c r="T878" i="2"/>
  <c r="U878" i="2"/>
  <c r="V878" i="2"/>
  <c r="W878" i="2"/>
  <c r="T879" i="2"/>
  <c r="U879" i="2"/>
  <c r="V879" i="2"/>
  <c r="W879" i="2"/>
  <c r="T880" i="2"/>
  <c r="U880" i="2"/>
  <c r="V880" i="2"/>
  <c r="W880" i="2"/>
  <c r="T881" i="2"/>
  <c r="U881" i="2"/>
  <c r="V881" i="2"/>
  <c r="W881" i="2"/>
  <c r="T882" i="2"/>
  <c r="U882" i="2"/>
  <c r="V882" i="2"/>
  <c r="W882" i="2"/>
  <c r="T883" i="2"/>
  <c r="U883" i="2"/>
  <c r="V883" i="2"/>
  <c r="W883" i="2"/>
  <c r="T884" i="2"/>
  <c r="U884" i="2"/>
  <c r="V884" i="2"/>
  <c r="W884" i="2"/>
  <c r="T885" i="2"/>
  <c r="U885" i="2"/>
  <c r="V885" i="2"/>
  <c r="W885" i="2"/>
  <c r="T886" i="2"/>
  <c r="U886" i="2"/>
  <c r="V886" i="2"/>
  <c r="W886" i="2"/>
  <c r="T887" i="2"/>
  <c r="U887" i="2"/>
  <c r="V887" i="2"/>
  <c r="W887" i="2"/>
  <c r="T888" i="2"/>
  <c r="U888" i="2"/>
  <c r="V888" i="2"/>
  <c r="W888" i="2"/>
  <c r="T889" i="2"/>
  <c r="U889" i="2"/>
  <c r="V889" i="2"/>
  <c r="W889" i="2"/>
  <c r="T890" i="2"/>
  <c r="U890" i="2"/>
  <c r="V890" i="2"/>
  <c r="W890" i="2"/>
  <c r="T892" i="2"/>
  <c r="U892" i="2"/>
  <c r="V892" i="2"/>
  <c r="W892" i="2"/>
  <c r="T894" i="2"/>
  <c r="U894" i="2"/>
  <c r="V894" i="2"/>
  <c r="W894" i="2"/>
  <c r="T895" i="2"/>
  <c r="U895" i="2"/>
  <c r="V895" i="2"/>
  <c r="W895" i="2"/>
  <c r="T896" i="2"/>
  <c r="U896" i="2"/>
  <c r="V896" i="2"/>
  <c r="W896" i="2"/>
  <c r="T902" i="2"/>
  <c r="U902" i="2"/>
  <c r="V902" i="2"/>
  <c r="W902" i="2"/>
  <c r="T903" i="2"/>
  <c r="U903" i="2"/>
  <c r="V903" i="2"/>
  <c r="W903" i="2"/>
  <c r="T904" i="2"/>
  <c r="U904" i="2"/>
  <c r="V904" i="2"/>
  <c r="W904" i="2"/>
  <c r="T905" i="2"/>
  <c r="U905" i="2"/>
  <c r="V905" i="2"/>
  <c r="W905" i="2"/>
  <c r="T906" i="2"/>
  <c r="U906" i="2"/>
  <c r="V906" i="2"/>
  <c r="W906" i="2"/>
  <c r="T907" i="2"/>
  <c r="U907" i="2"/>
  <c r="V907" i="2"/>
  <c r="W907" i="2"/>
  <c r="T908" i="2"/>
  <c r="U908" i="2"/>
  <c r="V908" i="2"/>
  <c r="W908" i="2"/>
  <c r="T909" i="2"/>
  <c r="U909" i="2"/>
  <c r="V909" i="2"/>
  <c r="W909" i="2"/>
  <c r="T910" i="2"/>
  <c r="U910" i="2"/>
  <c r="V910" i="2"/>
  <c r="W910" i="2"/>
  <c r="T911" i="2"/>
  <c r="U911" i="2"/>
  <c r="V911" i="2"/>
  <c r="W911" i="2"/>
  <c r="T912" i="2"/>
  <c r="U912" i="2"/>
  <c r="V912" i="2"/>
  <c r="W912" i="2"/>
  <c r="T913" i="2"/>
  <c r="U913" i="2"/>
  <c r="V913" i="2"/>
  <c r="W913" i="2"/>
  <c r="T914" i="2"/>
  <c r="U914" i="2"/>
  <c r="V914" i="2"/>
  <c r="W914" i="2"/>
  <c r="T915" i="2"/>
  <c r="U915" i="2"/>
  <c r="V915" i="2"/>
  <c r="W915" i="2"/>
  <c r="T916" i="2"/>
  <c r="U916" i="2"/>
  <c r="V916" i="2"/>
  <c r="W916" i="2"/>
  <c r="T917" i="2"/>
  <c r="U917" i="2"/>
  <c r="V917" i="2"/>
  <c r="W917" i="2"/>
  <c r="T918" i="2"/>
  <c r="U918" i="2"/>
  <c r="V918" i="2"/>
  <c r="W918" i="2"/>
  <c r="T919" i="2"/>
  <c r="U919" i="2"/>
  <c r="V919" i="2"/>
  <c r="W919" i="2"/>
  <c r="T920" i="2"/>
  <c r="U920" i="2"/>
  <c r="V920" i="2"/>
  <c r="W920" i="2"/>
  <c r="T921" i="2"/>
  <c r="U921" i="2"/>
  <c r="V921" i="2"/>
  <c r="W921" i="2"/>
  <c r="T922" i="2"/>
  <c r="U922" i="2"/>
  <c r="V922" i="2"/>
  <c r="W922" i="2"/>
  <c r="T923" i="2"/>
  <c r="U923" i="2"/>
  <c r="V923" i="2"/>
  <c r="W923" i="2"/>
  <c r="T924" i="2"/>
  <c r="U924" i="2"/>
  <c r="V924" i="2"/>
  <c r="W924" i="2"/>
  <c r="T925" i="2"/>
  <c r="U925" i="2"/>
  <c r="V925" i="2"/>
  <c r="W925" i="2"/>
  <c r="T926" i="2"/>
  <c r="U926" i="2"/>
  <c r="V926" i="2"/>
  <c r="W926" i="2"/>
  <c r="T928" i="2"/>
  <c r="U928" i="2"/>
  <c r="V928" i="2"/>
  <c r="W928" i="2"/>
  <c r="T930" i="2"/>
  <c r="U930" i="2"/>
  <c r="V930" i="2"/>
  <c r="W930" i="2"/>
  <c r="T931" i="2"/>
  <c r="U931" i="2"/>
  <c r="V931" i="2"/>
  <c r="W931" i="2"/>
  <c r="T932" i="2"/>
  <c r="U932" i="2"/>
  <c r="V932" i="2"/>
  <c r="W932" i="2"/>
  <c r="T938" i="2"/>
  <c r="U938" i="2"/>
  <c r="V938" i="2"/>
  <c r="W938" i="2"/>
  <c r="T939" i="2"/>
  <c r="U939" i="2"/>
  <c r="V939" i="2"/>
  <c r="W939" i="2"/>
  <c r="T940" i="2"/>
  <c r="U940" i="2"/>
  <c r="V940" i="2"/>
  <c r="W940" i="2"/>
  <c r="T941" i="2"/>
  <c r="U941" i="2"/>
  <c r="V941" i="2"/>
  <c r="W941" i="2"/>
  <c r="T942" i="2"/>
  <c r="U942" i="2"/>
  <c r="V942" i="2"/>
  <c r="W942" i="2"/>
  <c r="T943" i="2"/>
  <c r="U943" i="2"/>
  <c r="V943" i="2"/>
  <c r="W943" i="2"/>
  <c r="T944" i="2"/>
  <c r="U944" i="2"/>
  <c r="V944" i="2"/>
  <c r="W944" i="2"/>
  <c r="T945" i="2"/>
  <c r="U945" i="2"/>
  <c r="V945" i="2"/>
  <c r="W945" i="2"/>
  <c r="T946" i="2"/>
  <c r="U946" i="2"/>
  <c r="V946" i="2"/>
  <c r="W946" i="2"/>
  <c r="T947" i="2"/>
  <c r="U947" i="2"/>
  <c r="V947" i="2"/>
  <c r="W947" i="2"/>
  <c r="T948" i="2"/>
  <c r="U948" i="2"/>
  <c r="V948" i="2"/>
  <c r="W948" i="2"/>
  <c r="T949" i="2"/>
  <c r="U949" i="2"/>
  <c r="V949" i="2"/>
  <c r="W949" i="2"/>
  <c r="T950" i="2"/>
  <c r="U950" i="2"/>
  <c r="V950" i="2"/>
  <c r="W950" i="2"/>
  <c r="T951" i="2"/>
  <c r="U951" i="2"/>
  <c r="V951" i="2"/>
  <c r="W951" i="2"/>
  <c r="T952" i="2"/>
  <c r="U952" i="2"/>
  <c r="V952" i="2"/>
  <c r="W952" i="2"/>
  <c r="T953" i="2"/>
  <c r="U953" i="2"/>
  <c r="V953" i="2"/>
  <c r="W953" i="2"/>
  <c r="T954" i="2"/>
  <c r="U954" i="2"/>
  <c r="V954" i="2"/>
  <c r="W954" i="2"/>
  <c r="T955" i="2"/>
  <c r="U955" i="2"/>
  <c r="V955" i="2"/>
  <c r="W955" i="2"/>
  <c r="T956" i="2"/>
  <c r="U956" i="2"/>
  <c r="V956" i="2"/>
  <c r="W956" i="2"/>
  <c r="T957" i="2"/>
  <c r="U957" i="2"/>
  <c r="V957" i="2"/>
  <c r="W957" i="2"/>
  <c r="T958" i="2"/>
  <c r="U958" i="2"/>
  <c r="V958" i="2"/>
  <c r="W958" i="2"/>
  <c r="T959" i="2"/>
  <c r="U959" i="2"/>
  <c r="V959" i="2"/>
  <c r="W959" i="2"/>
  <c r="T960" i="2"/>
  <c r="U960" i="2"/>
  <c r="V960" i="2"/>
  <c r="W960" i="2"/>
  <c r="T961" i="2"/>
  <c r="U961" i="2"/>
  <c r="V961" i="2"/>
  <c r="W961" i="2"/>
  <c r="T962" i="2"/>
  <c r="U962" i="2"/>
  <c r="V962" i="2"/>
  <c r="W962" i="2"/>
  <c r="T964" i="2"/>
  <c r="U964" i="2"/>
  <c r="V964" i="2"/>
  <c r="W964" i="2"/>
  <c r="T966" i="2"/>
  <c r="U966" i="2"/>
  <c r="V966" i="2"/>
  <c r="W966" i="2"/>
  <c r="T967" i="2"/>
  <c r="U967" i="2"/>
  <c r="V967" i="2"/>
  <c r="W967" i="2"/>
  <c r="T968" i="2"/>
  <c r="U968" i="2"/>
  <c r="V968" i="2"/>
  <c r="W968" i="2"/>
  <c r="T974" i="2"/>
  <c r="U974" i="2"/>
  <c r="V974" i="2"/>
  <c r="W974" i="2"/>
  <c r="T975" i="2"/>
  <c r="U975" i="2"/>
  <c r="V975" i="2"/>
  <c r="W975" i="2"/>
  <c r="T976" i="2"/>
  <c r="U976" i="2"/>
  <c r="V976" i="2"/>
  <c r="W976" i="2"/>
  <c r="T977" i="2"/>
  <c r="U977" i="2"/>
  <c r="V977" i="2"/>
  <c r="W977" i="2"/>
  <c r="T978" i="2"/>
  <c r="U978" i="2"/>
  <c r="V978" i="2"/>
  <c r="W978" i="2"/>
  <c r="T979" i="2"/>
  <c r="U979" i="2"/>
  <c r="V979" i="2"/>
  <c r="W979" i="2"/>
  <c r="T980" i="2"/>
  <c r="U980" i="2"/>
  <c r="V980" i="2"/>
  <c r="W980" i="2"/>
  <c r="T981" i="2"/>
  <c r="U981" i="2"/>
  <c r="V981" i="2"/>
  <c r="W981" i="2"/>
  <c r="T982" i="2"/>
  <c r="U982" i="2"/>
  <c r="V982" i="2"/>
  <c r="W982" i="2"/>
  <c r="T983" i="2"/>
  <c r="U983" i="2"/>
  <c r="V983" i="2"/>
  <c r="W983" i="2"/>
  <c r="T984" i="2"/>
  <c r="U984" i="2"/>
  <c r="V984" i="2"/>
  <c r="W984" i="2"/>
  <c r="T985" i="2"/>
  <c r="U985" i="2"/>
  <c r="V985" i="2"/>
  <c r="W985" i="2"/>
  <c r="T986" i="2"/>
  <c r="U986" i="2"/>
  <c r="V986" i="2"/>
  <c r="W986" i="2"/>
  <c r="T987" i="2"/>
  <c r="U987" i="2"/>
  <c r="V987" i="2"/>
  <c r="W987" i="2"/>
  <c r="T988" i="2"/>
  <c r="U988" i="2"/>
  <c r="V988" i="2"/>
  <c r="W988" i="2"/>
  <c r="T989" i="2"/>
  <c r="U989" i="2"/>
  <c r="V989" i="2"/>
  <c r="W989" i="2"/>
  <c r="T990" i="2"/>
  <c r="U990" i="2"/>
  <c r="V990" i="2"/>
  <c r="W990" i="2"/>
  <c r="T991" i="2"/>
  <c r="U991" i="2"/>
  <c r="V991" i="2"/>
  <c r="W991" i="2"/>
  <c r="T992" i="2"/>
  <c r="U992" i="2"/>
  <c r="V992" i="2"/>
  <c r="W992" i="2"/>
  <c r="T993" i="2"/>
  <c r="U993" i="2"/>
  <c r="V993" i="2"/>
  <c r="W993" i="2"/>
  <c r="T994" i="2"/>
  <c r="U994" i="2"/>
  <c r="V994" i="2"/>
  <c r="W994" i="2"/>
  <c r="T995" i="2"/>
  <c r="U995" i="2"/>
  <c r="V995" i="2"/>
  <c r="W995" i="2"/>
  <c r="T996" i="2"/>
  <c r="U996" i="2"/>
  <c r="V996" i="2"/>
  <c r="W996" i="2"/>
  <c r="T997" i="2"/>
  <c r="U997" i="2"/>
  <c r="V997" i="2"/>
  <c r="W997" i="2"/>
  <c r="T998" i="2"/>
  <c r="U998" i="2"/>
  <c r="V998" i="2"/>
  <c r="W998" i="2"/>
  <c r="T1000" i="2"/>
  <c r="U1000" i="2"/>
  <c r="V1000" i="2"/>
  <c r="W1000" i="2"/>
  <c r="T1002" i="2"/>
  <c r="U1002" i="2"/>
  <c r="V1002" i="2"/>
  <c r="W1002" i="2"/>
  <c r="T1003" i="2"/>
  <c r="U1003" i="2"/>
  <c r="V1003" i="2"/>
  <c r="W1003" i="2"/>
  <c r="T1004" i="2"/>
  <c r="U1004" i="2"/>
  <c r="V1004" i="2"/>
  <c r="W1004" i="2"/>
  <c r="W1006" i="2" l="1"/>
  <c r="W970" i="2"/>
  <c r="W934" i="2"/>
  <c r="W898" i="2"/>
  <c r="W862" i="2"/>
  <c r="W826" i="2"/>
  <c r="W790" i="2"/>
  <c r="W754" i="2"/>
  <c r="W718" i="2"/>
  <c r="W682" i="2"/>
  <c r="W646" i="2"/>
  <c r="W610" i="2"/>
  <c r="W574" i="2"/>
  <c r="W538" i="2"/>
  <c r="W502" i="2"/>
  <c r="W466" i="2"/>
  <c r="W430" i="2"/>
  <c r="W394" i="2"/>
  <c r="W358" i="2"/>
  <c r="W322" i="2"/>
  <c r="W286" i="2"/>
  <c r="V1006" i="2"/>
  <c r="V970" i="2"/>
  <c r="V934" i="2"/>
  <c r="V898" i="2"/>
  <c r="V862" i="2"/>
  <c r="V826" i="2"/>
  <c r="V790" i="2"/>
  <c r="V754" i="2"/>
  <c r="V718" i="2"/>
  <c r="V682" i="2"/>
  <c r="V646" i="2"/>
  <c r="V610" i="2"/>
  <c r="V574" i="2"/>
  <c r="V538" i="2"/>
  <c r="V502" i="2"/>
  <c r="V466" i="2"/>
  <c r="V430" i="2"/>
  <c r="V394" i="2"/>
  <c r="V358" i="2"/>
  <c r="V322" i="2"/>
  <c r="V286" i="2"/>
  <c r="U1006" i="2"/>
  <c r="U970" i="2"/>
  <c r="U934" i="2"/>
  <c r="U898" i="2"/>
  <c r="U862" i="2"/>
  <c r="U826" i="2"/>
  <c r="U790" i="2"/>
  <c r="U754" i="2"/>
  <c r="U718" i="2"/>
  <c r="U682" i="2"/>
  <c r="U646" i="2"/>
  <c r="U610" i="2"/>
  <c r="U574" i="2"/>
  <c r="U538" i="2"/>
  <c r="U502" i="2"/>
  <c r="U466" i="2"/>
  <c r="U430" i="2"/>
  <c r="U394" i="2"/>
  <c r="U358" i="2"/>
  <c r="U322" i="2"/>
  <c r="U286" i="2"/>
  <c r="T1006" i="2"/>
  <c r="T970" i="2"/>
  <c r="T934" i="2"/>
  <c r="T898" i="2"/>
  <c r="T862" i="2"/>
  <c r="T826" i="2"/>
  <c r="T790" i="2"/>
  <c r="T754" i="2"/>
  <c r="T718" i="2"/>
  <c r="T682" i="2"/>
  <c r="T646" i="2"/>
  <c r="T610" i="2"/>
  <c r="T574" i="2"/>
  <c r="T538" i="2"/>
  <c r="T502" i="2"/>
  <c r="T466" i="2"/>
  <c r="T430" i="2"/>
  <c r="T394" i="2"/>
  <c r="T358" i="2"/>
  <c r="T322" i="2"/>
  <c r="T286" i="2"/>
  <c r="P254" i="2"/>
  <c r="Q254" i="2"/>
  <c r="R254" i="2"/>
  <c r="S254" i="2"/>
  <c r="P255" i="2"/>
  <c r="Q255" i="2"/>
  <c r="R255" i="2"/>
  <c r="S255" i="2"/>
  <c r="P256" i="2"/>
  <c r="Q256" i="2"/>
  <c r="R256" i="2"/>
  <c r="S256" i="2"/>
  <c r="P257" i="2"/>
  <c r="Q257" i="2"/>
  <c r="R257" i="2"/>
  <c r="S257" i="2"/>
  <c r="P258" i="2"/>
  <c r="Q258" i="2"/>
  <c r="R258" i="2"/>
  <c r="S258" i="2"/>
  <c r="P259" i="2"/>
  <c r="Q259" i="2"/>
  <c r="R259" i="2"/>
  <c r="S259" i="2"/>
  <c r="P260" i="2"/>
  <c r="Q260" i="2"/>
  <c r="R260" i="2"/>
  <c r="S260" i="2"/>
  <c r="P261" i="2"/>
  <c r="Q261" i="2"/>
  <c r="R261" i="2"/>
  <c r="S261" i="2"/>
  <c r="P262" i="2"/>
  <c r="Q262" i="2"/>
  <c r="R262" i="2"/>
  <c r="S262" i="2"/>
  <c r="P263" i="2"/>
  <c r="Q263" i="2"/>
  <c r="R263" i="2"/>
  <c r="S263" i="2"/>
  <c r="P264" i="2"/>
  <c r="Q264" i="2"/>
  <c r="R264" i="2"/>
  <c r="S264" i="2"/>
  <c r="P265" i="2"/>
  <c r="Q265" i="2"/>
  <c r="R265" i="2"/>
  <c r="S265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69" i="2"/>
  <c r="Q269" i="2"/>
  <c r="R269" i="2"/>
  <c r="S269" i="2"/>
  <c r="P270" i="2"/>
  <c r="Q270" i="2"/>
  <c r="R270" i="2"/>
  <c r="S270" i="2"/>
  <c r="P271" i="2"/>
  <c r="Q271" i="2"/>
  <c r="R271" i="2"/>
  <c r="S271" i="2"/>
  <c r="P272" i="2"/>
  <c r="Q272" i="2"/>
  <c r="R272" i="2"/>
  <c r="S272" i="2"/>
  <c r="P273" i="2"/>
  <c r="Q273" i="2"/>
  <c r="R273" i="2"/>
  <c r="S273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2" i="2"/>
  <c r="Q282" i="2"/>
  <c r="R282" i="2"/>
  <c r="S282" i="2"/>
  <c r="P283" i="2"/>
  <c r="Q283" i="2"/>
  <c r="R283" i="2"/>
  <c r="S283" i="2"/>
  <c r="P284" i="2"/>
  <c r="Q284" i="2"/>
  <c r="R284" i="2"/>
  <c r="S284" i="2"/>
  <c r="P290" i="2"/>
  <c r="Q290" i="2"/>
  <c r="R290" i="2"/>
  <c r="S290" i="2"/>
  <c r="P291" i="2"/>
  <c r="Q291" i="2"/>
  <c r="R291" i="2"/>
  <c r="S291" i="2"/>
  <c r="P292" i="2"/>
  <c r="Q292" i="2"/>
  <c r="R292" i="2"/>
  <c r="S292" i="2"/>
  <c r="P293" i="2"/>
  <c r="Q293" i="2"/>
  <c r="R293" i="2"/>
  <c r="S293" i="2"/>
  <c r="P294" i="2"/>
  <c r="Q294" i="2"/>
  <c r="R294" i="2"/>
  <c r="S294" i="2"/>
  <c r="P295" i="2"/>
  <c r="Q295" i="2"/>
  <c r="R295" i="2"/>
  <c r="S295" i="2"/>
  <c r="P296" i="2"/>
  <c r="Q296" i="2"/>
  <c r="R296" i="2"/>
  <c r="S296" i="2"/>
  <c r="P297" i="2"/>
  <c r="Q297" i="2"/>
  <c r="R297" i="2"/>
  <c r="S297" i="2"/>
  <c r="P298" i="2"/>
  <c r="Q298" i="2"/>
  <c r="R298" i="2"/>
  <c r="S298" i="2"/>
  <c r="P299" i="2"/>
  <c r="Q299" i="2"/>
  <c r="R299" i="2"/>
  <c r="S299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3" i="2"/>
  <c r="Q303" i="2"/>
  <c r="R303" i="2"/>
  <c r="S303" i="2"/>
  <c r="P304" i="2"/>
  <c r="Q304" i="2"/>
  <c r="R304" i="2"/>
  <c r="S304" i="2"/>
  <c r="P305" i="2"/>
  <c r="Q305" i="2"/>
  <c r="R305" i="2"/>
  <c r="S305" i="2"/>
  <c r="P306" i="2"/>
  <c r="Q306" i="2"/>
  <c r="R306" i="2"/>
  <c r="S306" i="2"/>
  <c r="P307" i="2"/>
  <c r="Q307" i="2"/>
  <c r="R307" i="2"/>
  <c r="S307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2" i="2"/>
  <c r="Q312" i="2"/>
  <c r="R312" i="2"/>
  <c r="S312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16" i="2"/>
  <c r="Q316" i="2"/>
  <c r="R316" i="2"/>
  <c r="S316" i="2"/>
  <c r="P318" i="2"/>
  <c r="Q318" i="2"/>
  <c r="R318" i="2"/>
  <c r="S318" i="2"/>
  <c r="P319" i="2"/>
  <c r="Q319" i="2"/>
  <c r="R319" i="2"/>
  <c r="S319" i="2"/>
  <c r="P320" i="2"/>
  <c r="Q320" i="2"/>
  <c r="R320" i="2"/>
  <c r="S320" i="2"/>
  <c r="P326" i="2"/>
  <c r="Q326" i="2"/>
  <c r="R326" i="2"/>
  <c r="S326" i="2"/>
  <c r="P327" i="2"/>
  <c r="Q327" i="2"/>
  <c r="R327" i="2"/>
  <c r="S327" i="2"/>
  <c r="P328" i="2"/>
  <c r="Q328" i="2"/>
  <c r="R328" i="2"/>
  <c r="S328" i="2"/>
  <c r="P329" i="2"/>
  <c r="Q329" i="2"/>
  <c r="R329" i="2"/>
  <c r="S329" i="2"/>
  <c r="P330" i="2"/>
  <c r="Q330" i="2"/>
  <c r="R330" i="2"/>
  <c r="S330" i="2"/>
  <c r="P331" i="2"/>
  <c r="Q331" i="2"/>
  <c r="R331" i="2"/>
  <c r="S331" i="2"/>
  <c r="P332" i="2"/>
  <c r="Q332" i="2"/>
  <c r="R332" i="2"/>
  <c r="S332" i="2"/>
  <c r="P333" i="2"/>
  <c r="Q333" i="2"/>
  <c r="R333" i="2"/>
  <c r="S333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37" i="2"/>
  <c r="Q337" i="2"/>
  <c r="R337" i="2"/>
  <c r="S337" i="2"/>
  <c r="P338" i="2"/>
  <c r="Q338" i="2"/>
  <c r="R338" i="2"/>
  <c r="S338" i="2"/>
  <c r="P339" i="2"/>
  <c r="Q339" i="2"/>
  <c r="R339" i="2"/>
  <c r="S339" i="2"/>
  <c r="P340" i="2"/>
  <c r="Q340" i="2"/>
  <c r="R340" i="2"/>
  <c r="S340" i="2"/>
  <c r="P341" i="2"/>
  <c r="Q341" i="2"/>
  <c r="R341" i="2"/>
  <c r="S341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45" i="2"/>
  <c r="Q345" i="2"/>
  <c r="R345" i="2"/>
  <c r="S345" i="2"/>
  <c r="P346" i="2"/>
  <c r="Q346" i="2"/>
  <c r="R346" i="2"/>
  <c r="S346" i="2"/>
  <c r="P347" i="2"/>
  <c r="Q347" i="2"/>
  <c r="R347" i="2"/>
  <c r="S347" i="2"/>
  <c r="P348" i="2"/>
  <c r="Q348" i="2"/>
  <c r="R348" i="2"/>
  <c r="S348" i="2"/>
  <c r="P349" i="2"/>
  <c r="Q349" i="2"/>
  <c r="R349" i="2"/>
  <c r="S349" i="2"/>
  <c r="P350" i="2"/>
  <c r="Q350" i="2"/>
  <c r="R350" i="2"/>
  <c r="S350" i="2"/>
  <c r="P351" i="2"/>
  <c r="Q351" i="2"/>
  <c r="R351" i="2"/>
  <c r="S351" i="2"/>
  <c r="P352" i="2"/>
  <c r="Q352" i="2"/>
  <c r="R352" i="2"/>
  <c r="S352" i="2"/>
  <c r="P354" i="2"/>
  <c r="Q354" i="2"/>
  <c r="R354" i="2"/>
  <c r="S354" i="2"/>
  <c r="P355" i="2"/>
  <c r="Q355" i="2"/>
  <c r="R355" i="2"/>
  <c r="S355" i="2"/>
  <c r="P362" i="2"/>
  <c r="Q362" i="2"/>
  <c r="R362" i="2"/>
  <c r="S362" i="2"/>
  <c r="P363" i="2"/>
  <c r="Q363" i="2"/>
  <c r="R363" i="2"/>
  <c r="S363" i="2"/>
  <c r="P364" i="2"/>
  <c r="Q364" i="2"/>
  <c r="R364" i="2"/>
  <c r="S364" i="2"/>
  <c r="P365" i="2"/>
  <c r="Q365" i="2"/>
  <c r="R365" i="2"/>
  <c r="S365" i="2"/>
  <c r="P366" i="2"/>
  <c r="Q366" i="2"/>
  <c r="R366" i="2"/>
  <c r="S366" i="2"/>
  <c r="P367" i="2"/>
  <c r="Q367" i="2"/>
  <c r="R367" i="2"/>
  <c r="S367" i="2"/>
  <c r="P368" i="2"/>
  <c r="Q368" i="2"/>
  <c r="R368" i="2"/>
  <c r="S368" i="2"/>
  <c r="P369" i="2"/>
  <c r="Q369" i="2"/>
  <c r="R369" i="2"/>
  <c r="S369" i="2"/>
  <c r="P370" i="2"/>
  <c r="Q370" i="2"/>
  <c r="R370" i="2"/>
  <c r="S370" i="2"/>
  <c r="P371" i="2"/>
  <c r="Q371" i="2"/>
  <c r="R371" i="2"/>
  <c r="S371" i="2"/>
  <c r="P372" i="2"/>
  <c r="Q372" i="2"/>
  <c r="R372" i="2"/>
  <c r="S372" i="2"/>
  <c r="P373" i="2"/>
  <c r="Q373" i="2"/>
  <c r="R373" i="2"/>
  <c r="S373" i="2"/>
  <c r="P374" i="2"/>
  <c r="Q374" i="2"/>
  <c r="R374" i="2"/>
  <c r="S374" i="2"/>
  <c r="P375" i="2"/>
  <c r="Q375" i="2"/>
  <c r="R375" i="2"/>
  <c r="S375" i="2"/>
  <c r="P376" i="2"/>
  <c r="Q376" i="2"/>
  <c r="R376" i="2"/>
  <c r="S376" i="2"/>
  <c r="P377" i="2"/>
  <c r="Q377" i="2"/>
  <c r="R377" i="2"/>
  <c r="S377" i="2"/>
  <c r="P378" i="2"/>
  <c r="Q378" i="2"/>
  <c r="R378" i="2"/>
  <c r="S378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90" i="2"/>
  <c r="Q390" i="2"/>
  <c r="R390" i="2"/>
  <c r="S390" i="2"/>
  <c r="P391" i="2"/>
  <c r="Q391" i="2"/>
  <c r="R391" i="2"/>
  <c r="S391" i="2"/>
  <c r="P398" i="2"/>
  <c r="Q398" i="2"/>
  <c r="R398" i="2"/>
  <c r="S398" i="2"/>
  <c r="P399" i="2"/>
  <c r="Q399" i="2"/>
  <c r="R399" i="2"/>
  <c r="S399" i="2"/>
  <c r="P400" i="2"/>
  <c r="Q400" i="2"/>
  <c r="R400" i="2"/>
  <c r="S400" i="2"/>
  <c r="P401" i="2"/>
  <c r="Q401" i="2"/>
  <c r="R401" i="2"/>
  <c r="S401" i="2"/>
  <c r="P402" i="2"/>
  <c r="Q402" i="2"/>
  <c r="R402" i="2"/>
  <c r="S402" i="2"/>
  <c r="P403" i="2"/>
  <c r="Q403" i="2"/>
  <c r="R403" i="2"/>
  <c r="S403" i="2"/>
  <c r="P404" i="2"/>
  <c r="Q404" i="2"/>
  <c r="R404" i="2"/>
  <c r="S404" i="2"/>
  <c r="P405" i="2"/>
  <c r="Q405" i="2"/>
  <c r="R405" i="2"/>
  <c r="S405" i="2"/>
  <c r="P406" i="2"/>
  <c r="Q406" i="2"/>
  <c r="R406" i="2"/>
  <c r="S406" i="2"/>
  <c r="P407" i="2"/>
  <c r="Q407" i="2"/>
  <c r="R407" i="2"/>
  <c r="S407" i="2"/>
  <c r="P408" i="2"/>
  <c r="Q408" i="2"/>
  <c r="R408" i="2"/>
  <c r="S408" i="2"/>
  <c r="P409" i="2"/>
  <c r="Q409" i="2"/>
  <c r="R409" i="2"/>
  <c r="S409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2" i="2"/>
  <c r="Q422" i="2"/>
  <c r="R422" i="2"/>
  <c r="S422" i="2"/>
  <c r="P423" i="2"/>
  <c r="Q423" i="2"/>
  <c r="R423" i="2"/>
  <c r="S423" i="2"/>
  <c r="P424" i="2"/>
  <c r="Q424" i="2"/>
  <c r="R424" i="2"/>
  <c r="S424" i="2"/>
  <c r="P426" i="2"/>
  <c r="Q426" i="2"/>
  <c r="R426" i="2"/>
  <c r="S426" i="2"/>
  <c r="P427" i="2"/>
  <c r="Q427" i="2"/>
  <c r="R427" i="2"/>
  <c r="S427" i="2"/>
  <c r="P428" i="2"/>
  <c r="Q428" i="2"/>
  <c r="R428" i="2"/>
  <c r="S428" i="2"/>
  <c r="P434" i="2"/>
  <c r="Q434" i="2"/>
  <c r="R434" i="2"/>
  <c r="S434" i="2"/>
  <c r="P435" i="2"/>
  <c r="Q435" i="2"/>
  <c r="R435" i="2"/>
  <c r="S435" i="2"/>
  <c r="P436" i="2"/>
  <c r="Q436" i="2"/>
  <c r="R436" i="2"/>
  <c r="S436" i="2"/>
  <c r="P437" i="2"/>
  <c r="Q437" i="2"/>
  <c r="R437" i="2"/>
  <c r="S437" i="2"/>
  <c r="P438" i="2"/>
  <c r="Q438" i="2"/>
  <c r="R438" i="2"/>
  <c r="S438" i="2"/>
  <c r="P439" i="2"/>
  <c r="Q439" i="2"/>
  <c r="R439" i="2"/>
  <c r="S439" i="2"/>
  <c r="P440" i="2"/>
  <c r="Q440" i="2"/>
  <c r="R440" i="2"/>
  <c r="S440" i="2"/>
  <c r="P441" i="2"/>
  <c r="Q441" i="2"/>
  <c r="R441" i="2"/>
  <c r="S441" i="2"/>
  <c r="P442" i="2"/>
  <c r="Q442" i="2"/>
  <c r="R442" i="2"/>
  <c r="S442" i="2"/>
  <c r="P443" i="2"/>
  <c r="Q443" i="2"/>
  <c r="R443" i="2"/>
  <c r="S443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5" i="2"/>
  <c r="Q455" i="2"/>
  <c r="R455" i="2"/>
  <c r="S455" i="2"/>
  <c r="P456" i="2"/>
  <c r="Q456" i="2"/>
  <c r="R456" i="2"/>
  <c r="S456" i="2"/>
  <c r="P457" i="2"/>
  <c r="Q457" i="2"/>
  <c r="R457" i="2"/>
  <c r="S457" i="2"/>
  <c r="P458" i="2"/>
  <c r="Q458" i="2"/>
  <c r="R458" i="2"/>
  <c r="S458" i="2"/>
  <c r="P459" i="2"/>
  <c r="Q459" i="2"/>
  <c r="R459" i="2"/>
  <c r="S459" i="2"/>
  <c r="P460" i="2"/>
  <c r="Q460" i="2"/>
  <c r="R460" i="2"/>
  <c r="S460" i="2"/>
  <c r="P462" i="2"/>
  <c r="Q462" i="2"/>
  <c r="R462" i="2"/>
  <c r="S462" i="2"/>
  <c r="P463" i="2"/>
  <c r="Q463" i="2"/>
  <c r="R463" i="2"/>
  <c r="S463" i="2"/>
  <c r="P464" i="2"/>
  <c r="Q464" i="2"/>
  <c r="R464" i="2"/>
  <c r="S464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3" i="2"/>
  <c r="Q473" i="2"/>
  <c r="R473" i="2"/>
  <c r="S473" i="2"/>
  <c r="P474" i="2"/>
  <c r="Q474" i="2"/>
  <c r="R474" i="2"/>
  <c r="S474" i="2"/>
  <c r="P475" i="2"/>
  <c r="Q475" i="2"/>
  <c r="R475" i="2"/>
  <c r="S475" i="2"/>
  <c r="P476" i="2"/>
  <c r="Q476" i="2"/>
  <c r="R476" i="2"/>
  <c r="S476" i="2"/>
  <c r="P477" i="2"/>
  <c r="Q477" i="2"/>
  <c r="R477" i="2"/>
  <c r="S477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6" i="2"/>
  <c r="Q486" i="2"/>
  <c r="R486" i="2"/>
  <c r="S486" i="2"/>
  <c r="P487" i="2"/>
  <c r="Q487" i="2"/>
  <c r="R487" i="2"/>
  <c r="S487" i="2"/>
  <c r="P488" i="2"/>
  <c r="Q488" i="2"/>
  <c r="R488" i="2"/>
  <c r="S488" i="2"/>
  <c r="P489" i="2"/>
  <c r="Q489" i="2"/>
  <c r="R489" i="2"/>
  <c r="S489" i="2"/>
  <c r="P490" i="2"/>
  <c r="Q490" i="2"/>
  <c r="R490" i="2"/>
  <c r="S490" i="2"/>
  <c r="P491" i="2"/>
  <c r="Q491" i="2"/>
  <c r="R491" i="2"/>
  <c r="S491" i="2"/>
  <c r="P492" i="2"/>
  <c r="Q492" i="2"/>
  <c r="R492" i="2"/>
  <c r="S492" i="2"/>
  <c r="P493" i="2"/>
  <c r="Q493" i="2"/>
  <c r="R493" i="2"/>
  <c r="S493" i="2"/>
  <c r="P494" i="2"/>
  <c r="Q494" i="2"/>
  <c r="R494" i="2"/>
  <c r="S494" i="2"/>
  <c r="P495" i="2"/>
  <c r="Q495" i="2"/>
  <c r="R495" i="2"/>
  <c r="S495" i="2"/>
  <c r="P496" i="2"/>
  <c r="Q496" i="2"/>
  <c r="R496" i="2"/>
  <c r="S496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6" i="2"/>
  <c r="Q506" i="2"/>
  <c r="R506" i="2"/>
  <c r="S506" i="2"/>
  <c r="P507" i="2"/>
  <c r="Q507" i="2"/>
  <c r="R507" i="2"/>
  <c r="S507" i="2"/>
  <c r="P508" i="2"/>
  <c r="Q508" i="2"/>
  <c r="R508" i="2"/>
  <c r="S508" i="2"/>
  <c r="P509" i="2"/>
  <c r="Q509" i="2"/>
  <c r="R509" i="2"/>
  <c r="S509" i="2"/>
  <c r="P510" i="2"/>
  <c r="Q510" i="2"/>
  <c r="R510" i="2"/>
  <c r="S510" i="2"/>
  <c r="P511" i="2"/>
  <c r="Q511" i="2"/>
  <c r="R511" i="2"/>
  <c r="S511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5" i="2"/>
  <c r="Q515" i="2"/>
  <c r="R515" i="2"/>
  <c r="S515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19" i="2"/>
  <c r="Q519" i="2"/>
  <c r="R519" i="2"/>
  <c r="S519" i="2"/>
  <c r="P520" i="2"/>
  <c r="Q520" i="2"/>
  <c r="R520" i="2"/>
  <c r="S520" i="2"/>
  <c r="P521" i="2"/>
  <c r="Q521" i="2"/>
  <c r="R521" i="2"/>
  <c r="S521" i="2"/>
  <c r="P522" i="2"/>
  <c r="Q522" i="2"/>
  <c r="R522" i="2"/>
  <c r="S522" i="2"/>
  <c r="P523" i="2"/>
  <c r="Q523" i="2"/>
  <c r="R523" i="2"/>
  <c r="S523" i="2"/>
  <c r="P524" i="2"/>
  <c r="Q524" i="2"/>
  <c r="R524" i="2"/>
  <c r="S524" i="2"/>
  <c r="P525" i="2"/>
  <c r="Q525" i="2"/>
  <c r="R525" i="2"/>
  <c r="S525" i="2"/>
  <c r="P526" i="2"/>
  <c r="Q526" i="2"/>
  <c r="R526" i="2"/>
  <c r="S526" i="2"/>
  <c r="P527" i="2"/>
  <c r="Q527" i="2"/>
  <c r="R527" i="2"/>
  <c r="S527" i="2"/>
  <c r="P528" i="2"/>
  <c r="Q528" i="2"/>
  <c r="R528" i="2"/>
  <c r="S528" i="2"/>
  <c r="P529" i="2"/>
  <c r="Q529" i="2"/>
  <c r="R529" i="2"/>
  <c r="S529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42" i="2"/>
  <c r="Q542" i="2"/>
  <c r="R542" i="2"/>
  <c r="S542" i="2"/>
  <c r="P543" i="2"/>
  <c r="Q543" i="2"/>
  <c r="R543" i="2"/>
  <c r="S543" i="2"/>
  <c r="P544" i="2"/>
  <c r="Q544" i="2"/>
  <c r="R544" i="2"/>
  <c r="S544" i="2"/>
  <c r="P545" i="2"/>
  <c r="Q545" i="2"/>
  <c r="R545" i="2"/>
  <c r="S545" i="2"/>
  <c r="P546" i="2"/>
  <c r="Q546" i="2"/>
  <c r="R546" i="2"/>
  <c r="S546" i="2"/>
  <c r="P547" i="2"/>
  <c r="Q547" i="2"/>
  <c r="R547" i="2"/>
  <c r="S547" i="2"/>
  <c r="P548" i="2"/>
  <c r="Q548" i="2"/>
  <c r="R548" i="2"/>
  <c r="S548" i="2"/>
  <c r="P549" i="2"/>
  <c r="Q549" i="2"/>
  <c r="R549" i="2"/>
  <c r="S549" i="2"/>
  <c r="P550" i="2"/>
  <c r="Q550" i="2"/>
  <c r="R550" i="2"/>
  <c r="S550" i="2"/>
  <c r="P551" i="2"/>
  <c r="Q551" i="2"/>
  <c r="R551" i="2"/>
  <c r="S551" i="2"/>
  <c r="P552" i="2"/>
  <c r="Q552" i="2"/>
  <c r="R552" i="2"/>
  <c r="S552" i="2"/>
  <c r="P553" i="2"/>
  <c r="Q553" i="2"/>
  <c r="R553" i="2"/>
  <c r="S553" i="2"/>
  <c r="P554" i="2"/>
  <c r="Q554" i="2"/>
  <c r="R554" i="2"/>
  <c r="S554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58" i="2"/>
  <c r="Q558" i="2"/>
  <c r="R558" i="2"/>
  <c r="S558" i="2"/>
  <c r="P559" i="2"/>
  <c r="Q559" i="2"/>
  <c r="R559" i="2"/>
  <c r="S559" i="2"/>
  <c r="P560" i="2"/>
  <c r="Q560" i="2"/>
  <c r="R560" i="2"/>
  <c r="S560" i="2"/>
  <c r="P561" i="2"/>
  <c r="Q561" i="2"/>
  <c r="R561" i="2"/>
  <c r="S561" i="2"/>
  <c r="P562" i="2"/>
  <c r="Q562" i="2"/>
  <c r="R562" i="2"/>
  <c r="S562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70" i="2"/>
  <c r="Q570" i="2"/>
  <c r="R570" i="2"/>
  <c r="S570" i="2"/>
  <c r="P571" i="2"/>
  <c r="Q571" i="2"/>
  <c r="R571" i="2"/>
  <c r="S571" i="2"/>
  <c r="P572" i="2"/>
  <c r="Q572" i="2"/>
  <c r="R572" i="2"/>
  <c r="S572" i="2"/>
  <c r="P578" i="2"/>
  <c r="Q578" i="2"/>
  <c r="R578" i="2"/>
  <c r="S578" i="2"/>
  <c r="P579" i="2"/>
  <c r="Q579" i="2"/>
  <c r="R579" i="2"/>
  <c r="S579" i="2"/>
  <c r="P580" i="2"/>
  <c r="Q580" i="2"/>
  <c r="R580" i="2"/>
  <c r="S580" i="2"/>
  <c r="P581" i="2"/>
  <c r="Q581" i="2"/>
  <c r="R581" i="2"/>
  <c r="S581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P586" i="2"/>
  <c r="Q586" i="2"/>
  <c r="R586" i="2"/>
  <c r="S586" i="2"/>
  <c r="P587" i="2"/>
  <c r="Q587" i="2"/>
  <c r="R587" i="2"/>
  <c r="S587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1" i="2"/>
  <c r="Q591" i="2"/>
  <c r="R591" i="2"/>
  <c r="S591" i="2"/>
  <c r="P592" i="2"/>
  <c r="Q592" i="2"/>
  <c r="R592" i="2"/>
  <c r="S592" i="2"/>
  <c r="P593" i="2"/>
  <c r="Q593" i="2"/>
  <c r="R593" i="2"/>
  <c r="S593" i="2"/>
  <c r="P594" i="2"/>
  <c r="Q594" i="2"/>
  <c r="R594" i="2"/>
  <c r="S594" i="2"/>
  <c r="P595" i="2"/>
  <c r="Q595" i="2"/>
  <c r="R595" i="2"/>
  <c r="S595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2" i="2"/>
  <c r="Q602" i="2"/>
  <c r="R602" i="2"/>
  <c r="S602" i="2"/>
  <c r="P603" i="2"/>
  <c r="Q603" i="2"/>
  <c r="R603" i="2"/>
  <c r="S603" i="2"/>
  <c r="P604" i="2"/>
  <c r="Q604" i="2"/>
  <c r="R604" i="2"/>
  <c r="S604" i="2"/>
  <c r="P606" i="2"/>
  <c r="Q606" i="2"/>
  <c r="R606" i="2"/>
  <c r="S606" i="2"/>
  <c r="P607" i="2"/>
  <c r="Q607" i="2"/>
  <c r="R607" i="2"/>
  <c r="S607" i="2"/>
  <c r="P608" i="2"/>
  <c r="Q608" i="2"/>
  <c r="R608" i="2"/>
  <c r="S608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0" i="2"/>
  <c r="Q620" i="2"/>
  <c r="R620" i="2"/>
  <c r="S620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4" i="2"/>
  <c r="Q624" i="2"/>
  <c r="R624" i="2"/>
  <c r="S624" i="2"/>
  <c r="P625" i="2"/>
  <c r="Q625" i="2"/>
  <c r="R625" i="2"/>
  <c r="S625" i="2"/>
  <c r="P626" i="2"/>
  <c r="Q626" i="2"/>
  <c r="R626" i="2"/>
  <c r="S626" i="2"/>
  <c r="P627" i="2"/>
  <c r="Q627" i="2"/>
  <c r="R627" i="2"/>
  <c r="S627" i="2"/>
  <c r="P628" i="2"/>
  <c r="Q628" i="2"/>
  <c r="R628" i="2"/>
  <c r="S628" i="2"/>
  <c r="P629" i="2"/>
  <c r="Q629" i="2"/>
  <c r="R629" i="2"/>
  <c r="S629" i="2"/>
  <c r="P630" i="2"/>
  <c r="Q630" i="2"/>
  <c r="R630" i="2"/>
  <c r="S630" i="2"/>
  <c r="P631" i="2"/>
  <c r="Q631" i="2"/>
  <c r="R631" i="2"/>
  <c r="S631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35" i="2"/>
  <c r="Q635" i="2"/>
  <c r="R635" i="2"/>
  <c r="S635" i="2"/>
  <c r="P636" i="2"/>
  <c r="Q636" i="2"/>
  <c r="R636" i="2"/>
  <c r="S636" i="2"/>
  <c r="P637" i="2"/>
  <c r="Q637" i="2"/>
  <c r="R637" i="2"/>
  <c r="S637" i="2"/>
  <c r="P638" i="2"/>
  <c r="Q638" i="2"/>
  <c r="R638" i="2"/>
  <c r="S638" i="2"/>
  <c r="P639" i="2"/>
  <c r="Q639" i="2"/>
  <c r="R639" i="2"/>
  <c r="S639" i="2"/>
  <c r="P640" i="2"/>
  <c r="Q640" i="2"/>
  <c r="R640" i="2"/>
  <c r="S640" i="2"/>
  <c r="P642" i="2"/>
  <c r="Q642" i="2"/>
  <c r="R642" i="2"/>
  <c r="S642" i="2"/>
  <c r="P643" i="2"/>
  <c r="Q643" i="2"/>
  <c r="R643" i="2"/>
  <c r="S643" i="2"/>
  <c r="P644" i="2"/>
  <c r="Q644" i="2"/>
  <c r="R644" i="2"/>
  <c r="S644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3" i="2"/>
  <c r="Q653" i="2"/>
  <c r="R653" i="2"/>
  <c r="S653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57" i="2"/>
  <c r="Q657" i="2"/>
  <c r="R657" i="2"/>
  <c r="S657" i="2"/>
  <c r="P658" i="2"/>
  <c r="Q658" i="2"/>
  <c r="R658" i="2"/>
  <c r="S658" i="2"/>
  <c r="P659" i="2"/>
  <c r="Q659" i="2"/>
  <c r="R659" i="2"/>
  <c r="S659" i="2"/>
  <c r="P660" i="2"/>
  <c r="Q660" i="2"/>
  <c r="R660" i="2"/>
  <c r="S660" i="2"/>
  <c r="P661" i="2"/>
  <c r="Q661" i="2"/>
  <c r="R661" i="2"/>
  <c r="S661" i="2"/>
  <c r="P662" i="2"/>
  <c r="Q662" i="2"/>
  <c r="R662" i="2"/>
  <c r="S662" i="2"/>
  <c r="P663" i="2"/>
  <c r="Q663" i="2"/>
  <c r="R663" i="2"/>
  <c r="S663" i="2"/>
  <c r="P664" i="2"/>
  <c r="Q664" i="2"/>
  <c r="R664" i="2"/>
  <c r="S664" i="2"/>
  <c r="P665" i="2"/>
  <c r="Q665" i="2"/>
  <c r="R665" i="2"/>
  <c r="S665" i="2"/>
  <c r="P666" i="2"/>
  <c r="Q666" i="2"/>
  <c r="R666" i="2"/>
  <c r="S666" i="2"/>
  <c r="P667" i="2"/>
  <c r="Q667" i="2"/>
  <c r="R667" i="2"/>
  <c r="S667" i="2"/>
  <c r="P668" i="2"/>
  <c r="Q668" i="2"/>
  <c r="R668" i="2"/>
  <c r="S668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3" i="2"/>
  <c r="Q673" i="2"/>
  <c r="R673" i="2"/>
  <c r="S673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78" i="2"/>
  <c r="Q678" i="2"/>
  <c r="R678" i="2"/>
  <c r="S678" i="2"/>
  <c r="P679" i="2"/>
  <c r="Q679" i="2"/>
  <c r="R679" i="2"/>
  <c r="S679" i="2"/>
  <c r="P680" i="2"/>
  <c r="Q680" i="2"/>
  <c r="R680" i="2"/>
  <c r="S680" i="2"/>
  <c r="P686" i="2"/>
  <c r="Q686" i="2"/>
  <c r="R686" i="2"/>
  <c r="S686" i="2"/>
  <c r="P687" i="2"/>
  <c r="Q687" i="2"/>
  <c r="R687" i="2"/>
  <c r="S687" i="2"/>
  <c r="P688" i="2"/>
  <c r="Q688" i="2"/>
  <c r="R688" i="2"/>
  <c r="S688" i="2"/>
  <c r="P689" i="2"/>
  <c r="Q689" i="2"/>
  <c r="R689" i="2"/>
  <c r="S689" i="2"/>
  <c r="P690" i="2"/>
  <c r="Q690" i="2"/>
  <c r="R690" i="2"/>
  <c r="S690" i="2"/>
  <c r="P691" i="2"/>
  <c r="Q691" i="2"/>
  <c r="R691" i="2"/>
  <c r="S691" i="2"/>
  <c r="P692" i="2"/>
  <c r="Q692" i="2"/>
  <c r="R692" i="2"/>
  <c r="S692" i="2"/>
  <c r="P693" i="2"/>
  <c r="Q693" i="2"/>
  <c r="R693" i="2"/>
  <c r="S693" i="2"/>
  <c r="P694" i="2"/>
  <c r="Q694" i="2"/>
  <c r="R694" i="2"/>
  <c r="S694" i="2"/>
  <c r="P695" i="2"/>
  <c r="Q695" i="2"/>
  <c r="R695" i="2"/>
  <c r="S695" i="2"/>
  <c r="P696" i="2"/>
  <c r="Q696" i="2"/>
  <c r="R696" i="2"/>
  <c r="S696" i="2"/>
  <c r="P697" i="2"/>
  <c r="Q697" i="2"/>
  <c r="R697" i="2"/>
  <c r="S697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7" i="2"/>
  <c r="Q707" i="2"/>
  <c r="R707" i="2"/>
  <c r="S707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1" i="2"/>
  <c r="Q711" i="2"/>
  <c r="R711" i="2"/>
  <c r="S711" i="2"/>
  <c r="P712" i="2"/>
  <c r="Q712" i="2"/>
  <c r="R712" i="2"/>
  <c r="S712" i="2"/>
  <c r="P714" i="2"/>
  <c r="Q714" i="2"/>
  <c r="R714" i="2"/>
  <c r="S714" i="2"/>
  <c r="P715" i="2"/>
  <c r="Q715" i="2"/>
  <c r="R715" i="2"/>
  <c r="S715" i="2"/>
  <c r="P716" i="2"/>
  <c r="Q716" i="2"/>
  <c r="R716" i="2"/>
  <c r="S716" i="2"/>
  <c r="P722" i="2"/>
  <c r="Q722" i="2"/>
  <c r="R722" i="2"/>
  <c r="S722" i="2"/>
  <c r="P723" i="2"/>
  <c r="Q723" i="2"/>
  <c r="R723" i="2"/>
  <c r="S723" i="2"/>
  <c r="P724" i="2"/>
  <c r="Q724" i="2"/>
  <c r="R724" i="2"/>
  <c r="S724" i="2"/>
  <c r="P725" i="2"/>
  <c r="Q725" i="2"/>
  <c r="R725" i="2"/>
  <c r="S725" i="2"/>
  <c r="P726" i="2"/>
  <c r="Q726" i="2"/>
  <c r="R726" i="2"/>
  <c r="S726" i="2"/>
  <c r="P727" i="2"/>
  <c r="Q727" i="2"/>
  <c r="R727" i="2"/>
  <c r="S727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1" i="2"/>
  <c r="Q741" i="2"/>
  <c r="R741" i="2"/>
  <c r="S741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45" i="2"/>
  <c r="Q745" i="2"/>
  <c r="R745" i="2"/>
  <c r="S745" i="2"/>
  <c r="P746" i="2"/>
  <c r="Q746" i="2"/>
  <c r="R746" i="2"/>
  <c r="S746" i="2"/>
  <c r="P747" i="2"/>
  <c r="Q747" i="2"/>
  <c r="R747" i="2"/>
  <c r="S747" i="2"/>
  <c r="P748" i="2"/>
  <c r="Q748" i="2"/>
  <c r="R748" i="2"/>
  <c r="S748" i="2"/>
  <c r="P750" i="2"/>
  <c r="Q750" i="2"/>
  <c r="R750" i="2"/>
  <c r="S750" i="2"/>
  <c r="P751" i="2"/>
  <c r="Q751" i="2"/>
  <c r="R751" i="2"/>
  <c r="S751" i="2"/>
  <c r="P752" i="2"/>
  <c r="Q752" i="2"/>
  <c r="R752" i="2"/>
  <c r="S752" i="2"/>
  <c r="P758" i="2"/>
  <c r="Q758" i="2"/>
  <c r="R758" i="2"/>
  <c r="S758" i="2"/>
  <c r="P759" i="2"/>
  <c r="Q759" i="2"/>
  <c r="R759" i="2"/>
  <c r="S759" i="2"/>
  <c r="P760" i="2"/>
  <c r="Q760" i="2"/>
  <c r="R760" i="2"/>
  <c r="S760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5" i="2"/>
  <c r="Q775" i="2"/>
  <c r="R775" i="2"/>
  <c r="S775" i="2"/>
  <c r="P776" i="2"/>
  <c r="Q776" i="2"/>
  <c r="R776" i="2"/>
  <c r="S776" i="2"/>
  <c r="P777" i="2"/>
  <c r="Q777" i="2"/>
  <c r="R777" i="2"/>
  <c r="S777" i="2"/>
  <c r="P778" i="2"/>
  <c r="Q778" i="2"/>
  <c r="R778" i="2"/>
  <c r="S778" i="2"/>
  <c r="P779" i="2"/>
  <c r="Q779" i="2"/>
  <c r="R779" i="2"/>
  <c r="S779" i="2"/>
  <c r="P780" i="2"/>
  <c r="Q780" i="2"/>
  <c r="R780" i="2"/>
  <c r="S780" i="2"/>
  <c r="P781" i="2"/>
  <c r="Q781" i="2"/>
  <c r="R781" i="2"/>
  <c r="S781" i="2"/>
  <c r="P782" i="2"/>
  <c r="Q782" i="2"/>
  <c r="R782" i="2"/>
  <c r="S782" i="2"/>
  <c r="P783" i="2"/>
  <c r="Q783" i="2"/>
  <c r="R783" i="2"/>
  <c r="S783" i="2"/>
  <c r="P784" i="2"/>
  <c r="Q784" i="2"/>
  <c r="R784" i="2"/>
  <c r="S784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5" i="2"/>
  <c r="Q805" i="2"/>
  <c r="R805" i="2"/>
  <c r="S805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P809" i="2"/>
  <c r="Q809" i="2"/>
  <c r="R809" i="2"/>
  <c r="S809" i="2"/>
  <c r="P810" i="2"/>
  <c r="Q810" i="2"/>
  <c r="R810" i="2"/>
  <c r="S810" i="2"/>
  <c r="P811" i="2"/>
  <c r="Q811" i="2"/>
  <c r="R811" i="2"/>
  <c r="S811" i="2"/>
  <c r="P812" i="2"/>
  <c r="Q812" i="2"/>
  <c r="R812" i="2"/>
  <c r="S812" i="2"/>
  <c r="P813" i="2"/>
  <c r="Q813" i="2"/>
  <c r="R813" i="2"/>
  <c r="S813" i="2"/>
  <c r="P814" i="2"/>
  <c r="Q814" i="2"/>
  <c r="R814" i="2"/>
  <c r="S814" i="2"/>
  <c r="P815" i="2"/>
  <c r="Q815" i="2"/>
  <c r="R815" i="2"/>
  <c r="S815" i="2"/>
  <c r="P816" i="2"/>
  <c r="Q816" i="2"/>
  <c r="R816" i="2"/>
  <c r="S816" i="2"/>
  <c r="P817" i="2"/>
  <c r="Q817" i="2"/>
  <c r="R817" i="2"/>
  <c r="S817" i="2"/>
  <c r="P818" i="2"/>
  <c r="Q818" i="2"/>
  <c r="R818" i="2"/>
  <c r="S818" i="2"/>
  <c r="P819" i="2"/>
  <c r="Q819" i="2"/>
  <c r="R819" i="2"/>
  <c r="S819" i="2"/>
  <c r="P820" i="2"/>
  <c r="Q820" i="2"/>
  <c r="R820" i="2"/>
  <c r="S820" i="2"/>
  <c r="P822" i="2"/>
  <c r="Q822" i="2"/>
  <c r="R822" i="2"/>
  <c r="S822" i="2"/>
  <c r="P823" i="2"/>
  <c r="Q823" i="2"/>
  <c r="R823" i="2"/>
  <c r="S823" i="2"/>
  <c r="P824" i="2"/>
  <c r="Q824" i="2"/>
  <c r="R824" i="2"/>
  <c r="S824" i="2"/>
  <c r="P830" i="2"/>
  <c r="Q830" i="2"/>
  <c r="R830" i="2"/>
  <c r="S830" i="2"/>
  <c r="P831" i="2"/>
  <c r="Q831" i="2"/>
  <c r="R831" i="2"/>
  <c r="S831" i="2"/>
  <c r="P832" i="2"/>
  <c r="Q832" i="2"/>
  <c r="R832" i="2"/>
  <c r="S832" i="2"/>
  <c r="P833" i="2"/>
  <c r="Q833" i="2"/>
  <c r="R833" i="2"/>
  <c r="S833" i="2"/>
  <c r="P834" i="2"/>
  <c r="Q834" i="2"/>
  <c r="R834" i="2"/>
  <c r="S834" i="2"/>
  <c r="P835" i="2"/>
  <c r="Q835" i="2"/>
  <c r="R835" i="2"/>
  <c r="S835" i="2"/>
  <c r="P836" i="2"/>
  <c r="Q836" i="2"/>
  <c r="R836" i="2"/>
  <c r="S836" i="2"/>
  <c r="P837" i="2"/>
  <c r="Q837" i="2"/>
  <c r="R837" i="2"/>
  <c r="S837" i="2"/>
  <c r="P838" i="2"/>
  <c r="Q838" i="2"/>
  <c r="R838" i="2"/>
  <c r="S838" i="2"/>
  <c r="P839" i="2"/>
  <c r="Q839" i="2"/>
  <c r="R839" i="2"/>
  <c r="S839" i="2"/>
  <c r="P840" i="2"/>
  <c r="Q840" i="2"/>
  <c r="R840" i="2"/>
  <c r="S840" i="2"/>
  <c r="P841" i="2"/>
  <c r="Q841" i="2"/>
  <c r="R841" i="2"/>
  <c r="S841" i="2"/>
  <c r="P842" i="2"/>
  <c r="Q842" i="2"/>
  <c r="R842" i="2"/>
  <c r="S842" i="2"/>
  <c r="P843" i="2"/>
  <c r="Q843" i="2"/>
  <c r="R843" i="2"/>
  <c r="S843" i="2"/>
  <c r="P844" i="2"/>
  <c r="Q844" i="2"/>
  <c r="R844" i="2"/>
  <c r="S844" i="2"/>
  <c r="P845" i="2"/>
  <c r="Q845" i="2"/>
  <c r="R845" i="2"/>
  <c r="S845" i="2"/>
  <c r="P846" i="2"/>
  <c r="Q846" i="2"/>
  <c r="R846" i="2"/>
  <c r="S846" i="2"/>
  <c r="P847" i="2"/>
  <c r="Q847" i="2"/>
  <c r="R847" i="2"/>
  <c r="S847" i="2"/>
  <c r="P848" i="2"/>
  <c r="Q848" i="2"/>
  <c r="R848" i="2"/>
  <c r="S848" i="2"/>
  <c r="P849" i="2"/>
  <c r="Q849" i="2"/>
  <c r="R849" i="2"/>
  <c r="S849" i="2"/>
  <c r="P850" i="2"/>
  <c r="Q850" i="2"/>
  <c r="R850" i="2"/>
  <c r="S850" i="2"/>
  <c r="P851" i="2"/>
  <c r="Q851" i="2"/>
  <c r="R851" i="2"/>
  <c r="S851" i="2"/>
  <c r="P852" i="2"/>
  <c r="Q852" i="2"/>
  <c r="R852" i="2"/>
  <c r="S852" i="2"/>
  <c r="P853" i="2"/>
  <c r="Q853" i="2"/>
  <c r="R853" i="2"/>
  <c r="S853" i="2"/>
  <c r="P854" i="2"/>
  <c r="Q854" i="2"/>
  <c r="R854" i="2"/>
  <c r="S854" i="2"/>
  <c r="P855" i="2"/>
  <c r="Q855" i="2"/>
  <c r="R855" i="2"/>
  <c r="S855" i="2"/>
  <c r="P856" i="2"/>
  <c r="Q856" i="2"/>
  <c r="R856" i="2"/>
  <c r="S856" i="2"/>
  <c r="P858" i="2"/>
  <c r="Q858" i="2"/>
  <c r="R858" i="2"/>
  <c r="S858" i="2"/>
  <c r="P859" i="2"/>
  <c r="Q859" i="2"/>
  <c r="R859" i="2"/>
  <c r="S859" i="2"/>
  <c r="P860" i="2"/>
  <c r="Q860" i="2"/>
  <c r="R860" i="2"/>
  <c r="S860" i="2"/>
  <c r="P866" i="2"/>
  <c r="Q866" i="2"/>
  <c r="R866" i="2"/>
  <c r="S866" i="2"/>
  <c r="P867" i="2"/>
  <c r="Q867" i="2"/>
  <c r="R867" i="2"/>
  <c r="S867" i="2"/>
  <c r="P868" i="2"/>
  <c r="Q868" i="2"/>
  <c r="R868" i="2"/>
  <c r="S868" i="2"/>
  <c r="P869" i="2"/>
  <c r="Q869" i="2"/>
  <c r="R869" i="2"/>
  <c r="S869" i="2"/>
  <c r="P870" i="2"/>
  <c r="Q870" i="2"/>
  <c r="R870" i="2"/>
  <c r="S870" i="2"/>
  <c r="P871" i="2"/>
  <c r="Q871" i="2"/>
  <c r="R871" i="2"/>
  <c r="S871" i="2"/>
  <c r="P872" i="2"/>
  <c r="Q872" i="2"/>
  <c r="R872" i="2"/>
  <c r="S872" i="2"/>
  <c r="P873" i="2"/>
  <c r="Q873" i="2"/>
  <c r="R873" i="2"/>
  <c r="S873" i="2"/>
  <c r="P874" i="2"/>
  <c r="Q874" i="2"/>
  <c r="R874" i="2"/>
  <c r="S874" i="2"/>
  <c r="P875" i="2"/>
  <c r="Q875" i="2"/>
  <c r="R875" i="2"/>
  <c r="S875" i="2"/>
  <c r="P876" i="2"/>
  <c r="Q876" i="2"/>
  <c r="R876" i="2"/>
  <c r="S876" i="2"/>
  <c r="P877" i="2"/>
  <c r="Q877" i="2"/>
  <c r="R877" i="2"/>
  <c r="S877" i="2"/>
  <c r="P878" i="2"/>
  <c r="Q878" i="2"/>
  <c r="R878" i="2"/>
  <c r="S878" i="2"/>
  <c r="P879" i="2"/>
  <c r="Q879" i="2"/>
  <c r="R879" i="2"/>
  <c r="S879" i="2"/>
  <c r="P880" i="2"/>
  <c r="Q880" i="2"/>
  <c r="R880" i="2"/>
  <c r="S880" i="2"/>
  <c r="P881" i="2"/>
  <c r="Q881" i="2"/>
  <c r="R881" i="2"/>
  <c r="S881" i="2"/>
  <c r="P882" i="2"/>
  <c r="Q882" i="2"/>
  <c r="R882" i="2"/>
  <c r="S882" i="2"/>
  <c r="P883" i="2"/>
  <c r="Q883" i="2"/>
  <c r="R883" i="2"/>
  <c r="S883" i="2"/>
  <c r="P884" i="2"/>
  <c r="Q884" i="2"/>
  <c r="R884" i="2"/>
  <c r="S884" i="2"/>
  <c r="P885" i="2"/>
  <c r="Q885" i="2"/>
  <c r="R885" i="2"/>
  <c r="S885" i="2"/>
  <c r="P886" i="2"/>
  <c r="Q886" i="2"/>
  <c r="R886" i="2"/>
  <c r="S886" i="2"/>
  <c r="P887" i="2"/>
  <c r="Q887" i="2"/>
  <c r="R887" i="2"/>
  <c r="S887" i="2"/>
  <c r="P888" i="2"/>
  <c r="Q888" i="2"/>
  <c r="R888" i="2"/>
  <c r="S888" i="2"/>
  <c r="P889" i="2"/>
  <c r="Q889" i="2"/>
  <c r="R889" i="2"/>
  <c r="S889" i="2"/>
  <c r="P890" i="2"/>
  <c r="Q890" i="2"/>
  <c r="R890" i="2"/>
  <c r="S890" i="2"/>
  <c r="P891" i="2"/>
  <c r="Q891" i="2"/>
  <c r="R891" i="2"/>
  <c r="S891" i="2"/>
  <c r="P892" i="2"/>
  <c r="Q892" i="2"/>
  <c r="R892" i="2"/>
  <c r="S892" i="2"/>
  <c r="P894" i="2"/>
  <c r="Q894" i="2"/>
  <c r="R894" i="2"/>
  <c r="S894" i="2"/>
  <c r="P895" i="2"/>
  <c r="Q895" i="2"/>
  <c r="R895" i="2"/>
  <c r="S895" i="2"/>
  <c r="P896" i="2"/>
  <c r="Q896" i="2"/>
  <c r="R896" i="2"/>
  <c r="S896" i="2"/>
  <c r="P902" i="2"/>
  <c r="Q902" i="2"/>
  <c r="R902" i="2"/>
  <c r="S902" i="2"/>
  <c r="P903" i="2"/>
  <c r="Q903" i="2"/>
  <c r="R903" i="2"/>
  <c r="S903" i="2"/>
  <c r="P904" i="2"/>
  <c r="Q904" i="2"/>
  <c r="R904" i="2"/>
  <c r="S904" i="2"/>
  <c r="P905" i="2"/>
  <c r="Q905" i="2"/>
  <c r="R905" i="2"/>
  <c r="S905" i="2"/>
  <c r="P906" i="2"/>
  <c r="Q906" i="2"/>
  <c r="R906" i="2"/>
  <c r="S906" i="2"/>
  <c r="P907" i="2"/>
  <c r="Q907" i="2"/>
  <c r="R907" i="2"/>
  <c r="S907" i="2"/>
  <c r="P908" i="2"/>
  <c r="Q908" i="2"/>
  <c r="R908" i="2"/>
  <c r="S908" i="2"/>
  <c r="P909" i="2"/>
  <c r="Q909" i="2"/>
  <c r="R909" i="2"/>
  <c r="S909" i="2"/>
  <c r="P910" i="2"/>
  <c r="Q910" i="2"/>
  <c r="R910" i="2"/>
  <c r="S910" i="2"/>
  <c r="P911" i="2"/>
  <c r="Q911" i="2"/>
  <c r="R911" i="2"/>
  <c r="S911" i="2"/>
  <c r="P912" i="2"/>
  <c r="Q912" i="2"/>
  <c r="R912" i="2"/>
  <c r="S912" i="2"/>
  <c r="P913" i="2"/>
  <c r="Q913" i="2"/>
  <c r="R913" i="2"/>
  <c r="S913" i="2"/>
  <c r="P914" i="2"/>
  <c r="Q914" i="2"/>
  <c r="R914" i="2"/>
  <c r="S914" i="2"/>
  <c r="P915" i="2"/>
  <c r="Q915" i="2"/>
  <c r="R915" i="2"/>
  <c r="S915" i="2"/>
  <c r="P916" i="2"/>
  <c r="Q916" i="2"/>
  <c r="R916" i="2"/>
  <c r="S916" i="2"/>
  <c r="P917" i="2"/>
  <c r="Q917" i="2"/>
  <c r="R917" i="2"/>
  <c r="S917" i="2"/>
  <c r="P918" i="2"/>
  <c r="Q918" i="2"/>
  <c r="R918" i="2"/>
  <c r="S918" i="2"/>
  <c r="P919" i="2"/>
  <c r="Q919" i="2"/>
  <c r="R919" i="2"/>
  <c r="S919" i="2"/>
  <c r="P920" i="2"/>
  <c r="Q920" i="2"/>
  <c r="R920" i="2"/>
  <c r="S920" i="2"/>
  <c r="P921" i="2"/>
  <c r="Q921" i="2"/>
  <c r="R921" i="2"/>
  <c r="S921" i="2"/>
  <c r="P922" i="2"/>
  <c r="Q922" i="2"/>
  <c r="R922" i="2"/>
  <c r="S922" i="2"/>
  <c r="P923" i="2"/>
  <c r="Q923" i="2"/>
  <c r="R923" i="2"/>
  <c r="S923" i="2"/>
  <c r="P924" i="2"/>
  <c r="Q924" i="2"/>
  <c r="R924" i="2"/>
  <c r="S924" i="2"/>
  <c r="P925" i="2"/>
  <c r="Q925" i="2"/>
  <c r="R925" i="2"/>
  <c r="S925" i="2"/>
  <c r="P926" i="2"/>
  <c r="Q926" i="2"/>
  <c r="R926" i="2"/>
  <c r="S926" i="2"/>
  <c r="P927" i="2"/>
  <c r="Q927" i="2"/>
  <c r="R927" i="2"/>
  <c r="S927" i="2"/>
  <c r="P928" i="2"/>
  <c r="Q928" i="2"/>
  <c r="R928" i="2"/>
  <c r="S928" i="2"/>
  <c r="P930" i="2"/>
  <c r="Q930" i="2"/>
  <c r="R930" i="2"/>
  <c r="S930" i="2"/>
  <c r="P931" i="2"/>
  <c r="Q931" i="2"/>
  <c r="R931" i="2"/>
  <c r="S931" i="2"/>
  <c r="P932" i="2"/>
  <c r="Q932" i="2"/>
  <c r="R932" i="2"/>
  <c r="S932" i="2"/>
  <c r="P938" i="2"/>
  <c r="Q938" i="2"/>
  <c r="R938" i="2"/>
  <c r="S938" i="2"/>
  <c r="P939" i="2"/>
  <c r="Q939" i="2"/>
  <c r="R939" i="2"/>
  <c r="S939" i="2"/>
  <c r="P940" i="2"/>
  <c r="Q940" i="2"/>
  <c r="R940" i="2"/>
  <c r="S940" i="2"/>
  <c r="P941" i="2"/>
  <c r="Q941" i="2"/>
  <c r="R941" i="2"/>
  <c r="S941" i="2"/>
  <c r="P942" i="2"/>
  <c r="Q942" i="2"/>
  <c r="R942" i="2"/>
  <c r="S942" i="2"/>
  <c r="P943" i="2"/>
  <c r="Q943" i="2"/>
  <c r="R943" i="2"/>
  <c r="S943" i="2"/>
  <c r="P944" i="2"/>
  <c r="Q944" i="2"/>
  <c r="R944" i="2"/>
  <c r="S944" i="2"/>
  <c r="P945" i="2"/>
  <c r="Q945" i="2"/>
  <c r="R945" i="2"/>
  <c r="S945" i="2"/>
  <c r="P946" i="2"/>
  <c r="Q946" i="2"/>
  <c r="R946" i="2"/>
  <c r="S946" i="2"/>
  <c r="P947" i="2"/>
  <c r="Q947" i="2"/>
  <c r="R947" i="2"/>
  <c r="S947" i="2"/>
  <c r="P948" i="2"/>
  <c r="Q948" i="2"/>
  <c r="R948" i="2"/>
  <c r="S948" i="2"/>
  <c r="P949" i="2"/>
  <c r="Q949" i="2"/>
  <c r="R949" i="2"/>
  <c r="S949" i="2"/>
  <c r="P950" i="2"/>
  <c r="Q950" i="2"/>
  <c r="R950" i="2"/>
  <c r="S950" i="2"/>
  <c r="P951" i="2"/>
  <c r="Q951" i="2"/>
  <c r="R951" i="2"/>
  <c r="S951" i="2"/>
  <c r="P952" i="2"/>
  <c r="Q952" i="2"/>
  <c r="R952" i="2"/>
  <c r="S952" i="2"/>
  <c r="P953" i="2"/>
  <c r="Q953" i="2"/>
  <c r="R953" i="2"/>
  <c r="S953" i="2"/>
  <c r="P954" i="2"/>
  <c r="Q954" i="2"/>
  <c r="R954" i="2"/>
  <c r="S954" i="2"/>
  <c r="P955" i="2"/>
  <c r="Q955" i="2"/>
  <c r="R955" i="2"/>
  <c r="S955" i="2"/>
  <c r="P956" i="2"/>
  <c r="Q956" i="2"/>
  <c r="R956" i="2"/>
  <c r="S956" i="2"/>
  <c r="P957" i="2"/>
  <c r="Q957" i="2"/>
  <c r="R957" i="2"/>
  <c r="S957" i="2"/>
  <c r="P958" i="2"/>
  <c r="Q958" i="2"/>
  <c r="R958" i="2"/>
  <c r="S958" i="2"/>
  <c r="P959" i="2"/>
  <c r="Q959" i="2"/>
  <c r="R959" i="2"/>
  <c r="S959" i="2"/>
  <c r="P960" i="2"/>
  <c r="Q960" i="2"/>
  <c r="R960" i="2"/>
  <c r="S960" i="2"/>
  <c r="P961" i="2"/>
  <c r="Q961" i="2"/>
  <c r="R961" i="2"/>
  <c r="S961" i="2"/>
  <c r="P962" i="2"/>
  <c r="Q962" i="2"/>
  <c r="R962" i="2"/>
  <c r="S962" i="2"/>
  <c r="P963" i="2"/>
  <c r="Q963" i="2"/>
  <c r="R963" i="2"/>
  <c r="S963" i="2"/>
  <c r="P964" i="2"/>
  <c r="Q964" i="2"/>
  <c r="R964" i="2"/>
  <c r="S964" i="2"/>
  <c r="P966" i="2"/>
  <c r="Q966" i="2"/>
  <c r="R966" i="2"/>
  <c r="S966" i="2"/>
  <c r="P967" i="2"/>
  <c r="Q967" i="2"/>
  <c r="R967" i="2"/>
  <c r="S967" i="2"/>
  <c r="P968" i="2"/>
  <c r="Q968" i="2"/>
  <c r="R968" i="2"/>
  <c r="S968" i="2"/>
  <c r="P974" i="2"/>
  <c r="Q974" i="2"/>
  <c r="R974" i="2"/>
  <c r="S974" i="2"/>
  <c r="P975" i="2"/>
  <c r="Q975" i="2"/>
  <c r="R975" i="2"/>
  <c r="S975" i="2"/>
  <c r="P976" i="2"/>
  <c r="Q976" i="2"/>
  <c r="R976" i="2"/>
  <c r="S976" i="2"/>
  <c r="P977" i="2"/>
  <c r="Q977" i="2"/>
  <c r="R977" i="2"/>
  <c r="S977" i="2"/>
  <c r="P978" i="2"/>
  <c r="Q978" i="2"/>
  <c r="R978" i="2"/>
  <c r="S978" i="2"/>
  <c r="P979" i="2"/>
  <c r="Q979" i="2"/>
  <c r="R979" i="2"/>
  <c r="S979" i="2"/>
  <c r="P980" i="2"/>
  <c r="Q980" i="2"/>
  <c r="R980" i="2"/>
  <c r="S980" i="2"/>
  <c r="P981" i="2"/>
  <c r="Q981" i="2"/>
  <c r="R981" i="2"/>
  <c r="S981" i="2"/>
  <c r="P982" i="2"/>
  <c r="Q982" i="2"/>
  <c r="R982" i="2"/>
  <c r="S982" i="2"/>
  <c r="P983" i="2"/>
  <c r="Q983" i="2"/>
  <c r="R983" i="2"/>
  <c r="S983" i="2"/>
  <c r="P984" i="2"/>
  <c r="Q984" i="2"/>
  <c r="R984" i="2"/>
  <c r="S984" i="2"/>
  <c r="P985" i="2"/>
  <c r="Q985" i="2"/>
  <c r="R985" i="2"/>
  <c r="S985" i="2"/>
  <c r="P986" i="2"/>
  <c r="Q986" i="2"/>
  <c r="R986" i="2"/>
  <c r="S986" i="2"/>
  <c r="P987" i="2"/>
  <c r="Q987" i="2"/>
  <c r="R987" i="2"/>
  <c r="S987" i="2"/>
  <c r="P988" i="2"/>
  <c r="Q988" i="2"/>
  <c r="R988" i="2"/>
  <c r="S988" i="2"/>
  <c r="P989" i="2"/>
  <c r="Q989" i="2"/>
  <c r="R989" i="2"/>
  <c r="S989" i="2"/>
  <c r="P990" i="2"/>
  <c r="Q990" i="2"/>
  <c r="R990" i="2"/>
  <c r="S990" i="2"/>
  <c r="P991" i="2"/>
  <c r="Q991" i="2"/>
  <c r="R991" i="2"/>
  <c r="S991" i="2"/>
  <c r="P992" i="2"/>
  <c r="Q992" i="2"/>
  <c r="R992" i="2"/>
  <c r="S992" i="2"/>
  <c r="P993" i="2"/>
  <c r="Q993" i="2"/>
  <c r="R993" i="2"/>
  <c r="S993" i="2"/>
  <c r="P994" i="2"/>
  <c r="Q994" i="2"/>
  <c r="R994" i="2"/>
  <c r="S994" i="2"/>
  <c r="P995" i="2"/>
  <c r="Q995" i="2"/>
  <c r="R995" i="2"/>
  <c r="S995" i="2"/>
  <c r="P996" i="2"/>
  <c r="Q996" i="2"/>
  <c r="R996" i="2"/>
  <c r="S996" i="2"/>
  <c r="P997" i="2"/>
  <c r="Q997" i="2"/>
  <c r="R997" i="2"/>
  <c r="S997" i="2"/>
  <c r="P998" i="2"/>
  <c r="Q998" i="2"/>
  <c r="R998" i="2"/>
  <c r="S998" i="2"/>
  <c r="P999" i="2"/>
  <c r="Q999" i="2"/>
  <c r="R999" i="2"/>
  <c r="S999" i="2"/>
  <c r="P1000" i="2"/>
  <c r="Q1000" i="2"/>
  <c r="R1000" i="2"/>
  <c r="S1000" i="2"/>
  <c r="P1002" i="2"/>
  <c r="Q1002" i="2"/>
  <c r="R1002" i="2"/>
  <c r="S1002" i="2"/>
  <c r="P1003" i="2"/>
  <c r="Q1003" i="2"/>
  <c r="R1003" i="2"/>
  <c r="S1003" i="2"/>
  <c r="P1004" i="2"/>
  <c r="Q1004" i="2"/>
  <c r="R1004" i="2"/>
  <c r="S1004" i="2"/>
  <c r="P1006" i="2" l="1"/>
  <c r="S1006" i="2"/>
  <c r="S970" i="2"/>
  <c r="S934" i="2"/>
  <c r="S898" i="2"/>
  <c r="S862" i="2"/>
  <c r="S826" i="2"/>
  <c r="S790" i="2"/>
  <c r="S754" i="2"/>
  <c r="S718" i="2"/>
  <c r="S682" i="2"/>
  <c r="S646" i="2"/>
  <c r="S610" i="2"/>
  <c r="S574" i="2"/>
  <c r="S538" i="2"/>
  <c r="S502" i="2"/>
  <c r="S466" i="2"/>
  <c r="S430" i="2"/>
  <c r="S394" i="2"/>
  <c r="S358" i="2"/>
  <c r="S322" i="2"/>
  <c r="S286" i="2"/>
  <c r="R1006" i="2"/>
  <c r="R970" i="2"/>
  <c r="R934" i="2"/>
  <c r="R898" i="2"/>
  <c r="R862" i="2"/>
  <c r="R826" i="2"/>
  <c r="R790" i="2"/>
  <c r="R754" i="2"/>
  <c r="R718" i="2"/>
  <c r="R682" i="2"/>
  <c r="R646" i="2"/>
  <c r="R610" i="2"/>
  <c r="R574" i="2"/>
  <c r="R538" i="2"/>
  <c r="R502" i="2"/>
  <c r="R466" i="2"/>
  <c r="R430" i="2"/>
  <c r="R394" i="2"/>
  <c r="R358" i="2"/>
  <c r="R322" i="2"/>
  <c r="R286" i="2"/>
  <c r="Q1006" i="2"/>
  <c r="Q970" i="2"/>
  <c r="Q934" i="2"/>
  <c r="Q898" i="2"/>
  <c r="Q862" i="2"/>
  <c r="Q826" i="2"/>
  <c r="Q790" i="2"/>
  <c r="Q754" i="2"/>
  <c r="Q718" i="2"/>
  <c r="Q682" i="2"/>
  <c r="Q646" i="2"/>
  <c r="Q610" i="2"/>
  <c r="Q574" i="2"/>
  <c r="Q538" i="2"/>
  <c r="Q502" i="2"/>
  <c r="Q466" i="2"/>
  <c r="Q430" i="2"/>
  <c r="Q394" i="2"/>
  <c r="Q358" i="2"/>
  <c r="Q322" i="2"/>
  <c r="Q286" i="2"/>
  <c r="P970" i="2"/>
  <c r="P934" i="2"/>
  <c r="P898" i="2"/>
  <c r="P862" i="2"/>
  <c r="P826" i="2"/>
  <c r="P790" i="2"/>
  <c r="P754" i="2"/>
  <c r="P718" i="2"/>
  <c r="P682" i="2"/>
  <c r="P646" i="2"/>
  <c r="P610" i="2"/>
  <c r="P574" i="2"/>
  <c r="P538" i="2"/>
  <c r="P502" i="2"/>
  <c r="P466" i="2"/>
  <c r="P430" i="2"/>
  <c r="P394" i="2"/>
  <c r="P358" i="2"/>
  <c r="P322" i="2"/>
  <c r="P286" i="2"/>
  <c r="D30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28" i="3"/>
  <c r="Z6" i="2" l="1"/>
  <c r="Z22" i="2"/>
  <c r="Z8" i="2"/>
  <c r="Z24" i="2"/>
  <c r="Z9" i="2"/>
  <c r="Z25" i="2"/>
  <c r="Z31" i="2"/>
  <c r="Z27" i="2"/>
  <c r="Z13" i="2"/>
  <c r="Z11" i="2"/>
  <c r="Z18" i="2"/>
  <c r="Z20" i="2"/>
  <c r="Z15" i="2"/>
  <c r="Z10" i="2"/>
  <c r="Z26" i="2"/>
  <c r="Z12" i="2"/>
  <c r="Z28" i="2"/>
  <c r="Z7" i="2"/>
  <c r="Z21" i="2"/>
  <c r="Z14" i="2"/>
  <c r="Z30" i="2"/>
  <c r="Z16" i="2"/>
  <c r="Z32" i="2"/>
  <c r="Z17" i="2"/>
  <c r="Z2" i="2"/>
  <c r="Z3" i="2"/>
  <c r="Z23" i="2"/>
  <c r="Z4" i="2"/>
  <c r="Z5" i="2"/>
  <c r="Z19" i="2"/>
  <c r="L459" i="2" l="1"/>
  <c r="M459" i="2"/>
  <c r="N459" i="2"/>
  <c r="O459" i="2"/>
  <c r="L423" i="2"/>
  <c r="M423" i="2"/>
  <c r="N423" i="2"/>
  <c r="O423" i="2"/>
  <c r="L387" i="2"/>
  <c r="M387" i="2"/>
  <c r="N387" i="2"/>
  <c r="O387" i="2"/>
  <c r="L351" i="2"/>
  <c r="M351" i="2"/>
  <c r="N351" i="2"/>
  <c r="O351" i="2"/>
  <c r="K315" i="2"/>
  <c r="L315" i="2"/>
  <c r="M315" i="2"/>
  <c r="N315" i="2"/>
  <c r="O315" i="2"/>
  <c r="L278" i="2"/>
  <c r="M278" i="2"/>
  <c r="N278" i="2"/>
  <c r="O278" i="2"/>
  <c r="L279" i="2"/>
  <c r="M279" i="2"/>
  <c r="N279" i="2"/>
  <c r="O279" i="2"/>
  <c r="L975" i="2" l="1"/>
  <c r="M975" i="2"/>
  <c r="N975" i="2"/>
  <c r="O975" i="2"/>
  <c r="L976" i="2"/>
  <c r="M976" i="2"/>
  <c r="N976" i="2"/>
  <c r="O976" i="2"/>
  <c r="L977" i="2"/>
  <c r="M977" i="2"/>
  <c r="N977" i="2"/>
  <c r="O977" i="2"/>
  <c r="L978" i="2"/>
  <c r="M978" i="2"/>
  <c r="N978" i="2"/>
  <c r="O978" i="2"/>
  <c r="L979" i="2"/>
  <c r="M979" i="2"/>
  <c r="N979" i="2"/>
  <c r="O979" i="2"/>
  <c r="L980" i="2"/>
  <c r="M980" i="2"/>
  <c r="N980" i="2"/>
  <c r="O980" i="2"/>
  <c r="L981" i="2"/>
  <c r="M981" i="2"/>
  <c r="N981" i="2"/>
  <c r="O981" i="2"/>
  <c r="L982" i="2"/>
  <c r="M982" i="2"/>
  <c r="N982" i="2"/>
  <c r="O982" i="2"/>
  <c r="L983" i="2"/>
  <c r="M983" i="2"/>
  <c r="N983" i="2"/>
  <c r="O983" i="2"/>
  <c r="L984" i="2"/>
  <c r="M984" i="2"/>
  <c r="N984" i="2"/>
  <c r="O984" i="2"/>
  <c r="L985" i="2"/>
  <c r="M985" i="2"/>
  <c r="N985" i="2"/>
  <c r="O985" i="2"/>
  <c r="L986" i="2"/>
  <c r="M986" i="2"/>
  <c r="N986" i="2"/>
  <c r="O986" i="2"/>
  <c r="L987" i="2"/>
  <c r="M987" i="2"/>
  <c r="N987" i="2"/>
  <c r="O987" i="2"/>
  <c r="L988" i="2"/>
  <c r="M988" i="2"/>
  <c r="N988" i="2"/>
  <c r="O988" i="2"/>
  <c r="L989" i="2"/>
  <c r="M989" i="2"/>
  <c r="N989" i="2"/>
  <c r="O989" i="2"/>
  <c r="L990" i="2"/>
  <c r="M990" i="2"/>
  <c r="N990" i="2"/>
  <c r="O990" i="2"/>
  <c r="L991" i="2"/>
  <c r="M991" i="2"/>
  <c r="N991" i="2"/>
  <c r="O991" i="2"/>
  <c r="L992" i="2"/>
  <c r="M992" i="2"/>
  <c r="N992" i="2"/>
  <c r="O992" i="2"/>
  <c r="L993" i="2"/>
  <c r="M993" i="2"/>
  <c r="N993" i="2"/>
  <c r="O993" i="2"/>
  <c r="L994" i="2"/>
  <c r="M994" i="2"/>
  <c r="N994" i="2"/>
  <c r="O994" i="2"/>
  <c r="L995" i="2"/>
  <c r="M995" i="2"/>
  <c r="N995" i="2"/>
  <c r="O995" i="2"/>
  <c r="L996" i="2"/>
  <c r="M996" i="2"/>
  <c r="N996" i="2"/>
  <c r="O996" i="2"/>
  <c r="L997" i="2"/>
  <c r="M997" i="2"/>
  <c r="N997" i="2"/>
  <c r="O997" i="2"/>
  <c r="L998" i="2"/>
  <c r="M998" i="2"/>
  <c r="N998" i="2"/>
  <c r="O998" i="2"/>
  <c r="L999" i="2"/>
  <c r="M999" i="2"/>
  <c r="N999" i="2"/>
  <c r="O999" i="2"/>
  <c r="L1000" i="2"/>
  <c r="M1000" i="2"/>
  <c r="N1000" i="2"/>
  <c r="O1000" i="2"/>
  <c r="L1002" i="2"/>
  <c r="M1002" i="2"/>
  <c r="N1002" i="2"/>
  <c r="O1002" i="2"/>
  <c r="L1003" i="2"/>
  <c r="M1003" i="2"/>
  <c r="N1003" i="2"/>
  <c r="O1003" i="2"/>
  <c r="L1004" i="2"/>
  <c r="M1004" i="2"/>
  <c r="N1004" i="2"/>
  <c r="O1004" i="2"/>
  <c r="L974" i="2"/>
  <c r="L1006" i="2" s="1"/>
  <c r="M974" i="2"/>
  <c r="M1006" i="2" s="1"/>
  <c r="N974" i="2"/>
  <c r="N1006" i="2" s="1"/>
  <c r="O974" i="2"/>
  <c r="O1006" i="2" s="1"/>
  <c r="L939" i="2"/>
  <c r="M939" i="2"/>
  <c r="N939" i="2"/>
  <c r="O939" i="2"/>
  <c r="L940" i="2"/>
  <c r="M940" i="2"/>
  <c r="N940" i="2"/>
  <c r="O940" i="2"/>
  <c r="L941" i="2"/>
  <c r="M941" i="2"/>
  <c r="N941" i="2"/>
  <c r="O941" i="2"/>
  <c r="L942" i="2"/>
  <c r="M942" i="2"/>
  <c r="N942" i="2"/>
  <c r="O942" i="2"/>
  <c r="L943" i="2"/>
  <c r="M943" i="2"/>
  <c r="N943" i="2"/>
  <c r="O943" i="2"/>
  <c r="L944" i="2"/>
  <c r="M944" i="2"/>
  <c r="N944" i="2"/>
  <c r="O944" i="2"/>
  <c r="L945" i="2"/>
  <c r="M945" i="2"/>
  <c r="N945" i="2"/>
  <c r="O945" i="2"/>
  <c r="L946" i="2"/>
  <c r="M946" i="2"/>
  <c r="N946" i="2"/>
  <c r="O946" i="2"/>
  <c r="L947" i="2"/>
  <c r="M947" i="2"/>
  <c r="N947" i="2"/>
  <c r="O947" i="2"/>
  <c r="L948" i="2"/>
  <c r="M948" i="2"/>
  <c r="N948" i="2"/>
  <c r="O948" i="2"/>
  <c r="L949" i="2"/>
  <c r="M949" i="2"/>
  <c r="N949" i="2"/>
  <c r="O949" i="2"/>
  <c r="L950" i="2"/>
  <c r="M950" i="2"/>
  <c r="N950" i="2"/>
  <c r="O950" i="2"/>
  <c r="L951" i="2"/>
  <c r="M951" i="2"/>
  <c r="N951" i="2"/>
  <c r="O951" i="2"/>
  <c r="L952" i="2"/>
  <c r="M952" i="2"/>
  <c r="N952" i="2"/>
  <c r="O952" i="2"/>
  <c r="L953" i="2"/>
  <c r="M953" i="2"/>
  <c r="N953" i="2"/>
  <c r="O953" i="2"/>
  <c r="L954" i="2"/>
  <c r="M954" i="2"/>
  <c r="N954" i="2"/>
  <c r="O954" i="2"/>
  <c r="L955" i="2"/>
  <c r="M955" i="2"/>
  <c r="N955" i="2"/>
  <c r="O955" i="2"/>
  <c r="L956" i="2"/>
  <c r="M956" i="2"/>
  <c r="N956" i="2"/>
  <c r="O956" i="2"/>
  <c r="L957" i="2"/>
  <c r="M957" i="2"/>
  <c r="N957" i="2"/>
  <c r="O957" i="2"/>
  <c r="L958" i="2"/>
  <c r="M958" i="2"/>
  <c r="N958" i="2"/>
  <c r="O958" i="2"/>
  <c r="L959" i="2"/>
  <c r="M959" i="2"/>
  <c r="N959" i="2"/>
  <c r="O959" i="2"/>
  <c r="L960" i="2"/>
  <c r="M960" i="2"/>
  <c r="N960" i="2"/>
  <c r="O960" i="2"/>
  <c r="L961" i="2"/>
  <c r="M961" i="2"/>
  <c r="N961" i="2"/>
  <c r="O961" i="2"/>
  <c r="L962" i="2"/>
  <c r="M962" i="2"/>
  <c r="N962" i="2"/>
  <c r="O962" i="2"/>
  <c r="L963" i="2"/>
  <c r="M963" i="2"/>
  <c r="N963" i="2"/>
  <c r="O963" i="2"/>
  <c r="L964" i="2"/>
  <c r="M964" i="2"/>
  <c r="N964" i="2"/>
  <c r="O964" i="2"/>
  <c r="L966" i="2"/>
  <c r="M966" i="2"/>
  <c r="N966" i="2"/>
  <c r="O966" i="2"/>
  <c r="L967" i="2"/>
  <c r="M967" i="2"/>
  <c r="N967" i="2"/>
  <c r="O967" i="2"/>
  <c r="L968" i="2"/>
  <c r="M968" i="2"/>
  <c r="N968" i="2"/>
  <c r="O968" i="2"/>
  <c r="L938" i="2"/>
  <c r="L970" i="2" s="1"/>
  <c r="M938" i="2"/>
  <c r="M970" i="2" s="1"/>
  <c r="N938" i="2"/>
  <c r="N970" i="2" s="1"/>
  <c r="O938" i="2"/>
  <c r="O970" i="2" s="1"/>
  <c r="L903" i="2"/>
  <c r="M903" i="2"/>
  <c r="N903" i="2"/>
  <c r="O903" i="2"/>
  <c r="L904" i="2"/>
  <c r="M904" i="2"/>
  <c r="N904" i="2"/>
  <c r="O904" i="2"/>
  <c r="L905" i="2"/>
  <c r="M905" i="2"/>
  <c r="N905" i="2"/>
  <c r="O905" i="2"/>
  <c r="L906" i="2"/>
  <c r="M906" i="2"/>
  <c r="N906" i="2"/>
  <c r="O906" i="2"/>
  <c r="L907" i="2"/>
  <c r="M907" i="2"/>
  <c r="N907" i="2"/>
  <c r="O907" i="2"/>
  <c r="L908" i="2"/>
  <c r="M908" i="2"/>
  <c r="N908" i="2"/>
  <c r="O908" i="2"/>
  <c r="L909" i="2"/>
  <c r="M909" i="2"/>
  <c r="N909" i="2"/>
  <c r="O909" i="2"/>
  <c r="L910" i="2"/>
  <c r="M910" i="2"/>
  <c r="N910" i="2"/>
  <c r="O910" i="2"/>
  <c r="L911" i="2"/>
  <c r="M911" i="2"/>
  <c r="N911" i="2"/>
  <c r="O911" i="2"/>
  <c r="L912" i="2"/>
  <c r="M912" i="2"/>
  <c r="N912" i="2"/>
  <c r="O912" i="2"/>
  <c r="L913" i="2"/>
  <c r="M913" i="2"/>
  <c r="N913" i="2"/>
  <c r="O913" i="2"/>
  <c r="L914" i="2"/>
  <c r="M914" i="2"/>
  <c r="N914" i="2"/>
  <c r="O914" i="2"/>
  <c r="L915" i="2"/>
  <c r="M915" i="2"/>
  <c r="N915" i="2"/>
  <c r="O915" i="2"/>
  <c r="L916" i="2"/>
  <c r="M916" i="2"/>
  <c r="N916" i="2"/>
  <c r="O916" i="2"/>
  <c r="L917" i="2"/>
  <c r="M917" i="2"/>
  <c r="N917" i="2"/>
  <c r="O917" i="2"/>
  <c r="L918" i="2"/>
  <c r="M918" i="2"/>
  <c r="N918" i="2"/>
  <c r="O918" i="2"/>
  <c r="L919" i="2"/>
  <c r="M919" i="2"/>
  <c r="N919" i="2"/>
  <c r="O919" i="2"/>
  <c r="L920" i="2"/>
  <c r="M920" i="2"/>
  <c r="N920" i="2"/>
  <c r="O920" i="2"/>
  <c r="L921" i="2"/>
  <c r="M921" i="2"/>
  <c r="N921" i="2"/>
  <c r="O921" i="2"/>
  <c r="L922" i="2"/>
  <c r="M922" i="2"/>
  <c r="N922" i="2"/>
  <c r="O922" i="2"/>
  <c r="L923" i="2"/>
  <c r="M923" i="2"/>
  <c r="N923" i="2"/>
  <c r="O923" i="2"/>
  <c r="L924" i="2"/>
  <c r="M924" i="2"/>
  <c r="N924" i="2"/>
  <c r="O924" i="2"/>
  <c r="L925" i="2"/>
  <c r="M925" i="2"/>
  <c r="N925" i="2"/>
  <c r="O925" i="2"/>
  <c r="L926" i="2"/>
  <c r="M926" i="2"/>
  <c r="N926" i="2"/>
  <c r="O926" i="2"/>
  <c r="L927" i="2"/>
  <c r="M927" i="2"/>
  <c r="N927" i="2"/>
  <c r="O927" i="2"/>
  <c r="L928" i="2"/>
  <c r="M928" i="2"/>
  <c r="N928" i="2"/>
  <c r="O928" i="2"/>
  <c r="L930" i="2"/>
  <c r="M930" i="2"/>
  <c r="N930" i="2"/>
  <c r="O930" i="2"/>
  <c r="L931" i="2"/>
  <c r="M931" i="2"/>
  <c r="N931" i="2"/>
  <c r="O931" i="2"/>
  <c r="L932" i="2"/>
  <c r="M932" i="2"/>
  <c r="N932" i="2"/>
  <c r="O932" i="2"/>
  <c r="L902" i="2"/>
  <c r="L934" i="2" s="1"/>
  <c r="M902" i="2"/>
  <c r="M934" i="2" s="1"/>
  <c r="N902" i="2"/>
  <c r="N934" i="2" s="1"/>
  <c r="O902" i="2"/>
  <c r="O934" i="2" s="1"/>
  <c r="L867" i="2"/>
  <c r="M867" i="2"/>
  <c r="N867" i="2"/>
  <c r="O867" i="2"/>
  <c r="L868" i="2"/>
  <c r="M868" i="2"/>
  <c r="N868" i="2"/>
  <c r="O868" i="2"/>
  <c r="L869" i="2"/>
  <c r="M869" i="2"/>
  <c r="N869" i="2"/>
  <c r="O869" i="2"/>
  <c r="L870" i="2"/>
  <c r="M870" i="2"/>
  <c r="N870" i="2"/>
  <c r="O870" i="2"/>
  <c r="L871" i="2"/>
  <c r="M871" i="2"/>
  <c r="N871" i="2"/>
  <c r="O871" i="2"/>
  <c r="L872" i="2"/>
  <c r="M872" i="2"/>
  <c r="N872" i="2"/>
  <c r="O872" i="2"/>
  <c r="L873" i="2"/>
  <c r="M873" i="2"/>
  <c r="N873" i="2"/>
  <c r="O873" i="2"/>
  <c r="L874" i="2"/>
  <c r="M874" i="2"/>
  <c r="N874" i="2"/>
  <c r="O874" i="2"/>
  <c r="L875" i="2"/>
  <c r="M875" i="2"/>
  <c r="N875" i="2"/>
  <c r="O875" i="2"/>
  <c r="L876" i="2"/>
  <c r="M876" i="2"/>
  <c r="N876" i="2"/>
  <c r="O876" i="2"/>
  <c r="L877" i="2"/>
  <c r="M877" i="2"/>
  <c r="N877" i="2"/>
  <c r="O877" i="2"/>
  <c r="L878" i="2"/>
  <c r="M878" i="2"/>
  <c r="N878" i="2"/>
  <c r="O878" i="2"/>
  <c r="L879" i="2"/>
  <c r="M879" i="2"/>
  <c r="N879" i="2"/>
  <c r="O879" i="2"/>
  <c r="L880" i="2"/>
  <c r="M880" i="2"/>
  <c r="N880" i="2"/>
  <c r="O880" i="2"/>
  <c r="L881" i="2"/>
  <c r="M881" i="2"/>
  <c r="N881" i="2"/>
  <c r="O881" i="2"/>
  <c r="L882" i="2"/>
  <c r="M882" i="2"/>
  <c r="N882" i="2"/>
  <c r="O882" i="2"/>
  <c r="L883" i="2"/>
  <c r="M883" i="2"/>
  <c r="N883" i="2"/>
  <c r="O883" i="2"/>
  <c r="L884" i="2"/>
  <c r="M884" i="2"/>
  <c r="N884" i="2"/>
  <c r="O884" i="2"/>
  <c r="L885" i="2"/>
  <c r="M885" i="2"/>
  <c r="N885" i="2"/>
  <c r="O885" i="2"/>
  <c r="L886" i="2"/>
  <c r="M886" i="2"/>
  <c r="N886" i="2"/>
  <c r="O886" i="2"/>
  <c r="L887" i="2"/>
  <c r="M887" i="2"/>
  <c r="N887" i="2"/>
  <c r="O887" i="2"/>
  <c r="L888" i="2"/>
  <c r="M888" i="2"/>
  <c r="N888" i="2"/>
  <c r="O888" i="2"/>
  <c r="L889" i="2"/>
  <c r="M889" i="2"/>
  <c r="N889" i="2"/>
  <c r="O889" i="2"/>
  <c r="L890" i="2"/>
  <c r="M890" i="2"/>
  <c r="N890" i="2"/>
  <c r="O890" i="2"/>
  <c r="L891" i="2"/>
  <c r="M891" i="2"/>
  <c r="N891" i="2"/>
  <c r="O891" i="2"/>
  <c r="L892" i="2"/>
  <c r="M892" i="2"/>
  <c r="N892" i="2"/>
  <c r="O892" i="2"/>
  <c r="L894" i="2"/>
  <c r="M894" i="2"/>
  <c r="N894" i="2"/>
  <c r="O894" i="2"/>
  <c r="L895" i="2"/>
  <c r="M895" i="2"/>
  <c r="N895" i="2"/>
  <c r="O895" i="2"/>
  <c r="L896" i="2"/>
  <c r="M896" i="2"/>
  <c r="N896" i="2"/>
  <c r="O896" i="2"/>
  <c r="L866" i="2"/>
  <c r="L898" i="2" s="1"/>
  <c r="M866" i="2"/>
  <c r="M898" i="2" s="1"/>
  <c r="N866" i="2"/>
  <c r="N898" i="2" s="1"/>
  <c r="O866" i="2"/>
  <c r="O898" i="2" s="1"/>
  <c r="L831" i="2"/>
  <c r="M831" i="2"/>
  <c r="N831" i="2"/>
  <c r="O831" i="2"/>
  <c r="L832" i="2"/>
  <c r="M832" i="2"/>
  <c r="N832" i="2"/>
  <c r="O832" i="2"/>
  <c r="L833" i="2"/>
  <c r="M833" i="2"/>
  <c r="N833" i="2"/>
  <c r="O833" i="2"/>
  <c r="L834" i="2"/>
  <c r="M834" i="2"/>
  <c r="N834" i="2"/>
  <c r="O834" i="2"/>
  <c r="L835" i="2"/>
  <c r="M835" i="2"/>
  <c r="N835" i="2"/>
  <c r="O835" i="2"/>
  <c r="L836" i="2"/>
  <c r="M836" i="2"/>
  <c r="N836" i="2"/>
  <c r="O836" i="2"/>
  <c r="L837" i="2"/>
  <c r="M837" i="2"/>
  <c r="N837" i="2"/>
  <c r="O837" i="2"/>
  <c r="L838" i="2"/>
  <c r="M838" i="2"/>
  <c r="N838" i="2"/>
  <c r="O838" i="2"/>
  <c r="L839" i="2"/>
  <c r="M839" i="2"/>
  <c r="N839" i="2"/>
  <c r="O839" i="2"/>
  <c r="L840" i="2"/>
  <c r="M840" i="2"/>
  <c r="N840" i="2"/>
  <c r="O840" i="2"/>
  <c r="L841" i="2"/>
  <c r="M841" i="2"/>
  <c r="N841" i="2"/>
  <c r="O841" i="2"/>
  <c r="L842" i="2"/>
  <c r="M842" i="2"/>
  <c r="N842" i="2"/>
  <c r="O842" i="2"/>
  <c r="L843" i="2"/>
  <c r="M843" i="2"/>
  <c r="N843" i="2"/>
  <c r="O843" i="2"/>
  <c r="L844" i="2"/>
  <c r="M844" i="2"/>
  <c r="N844" i="2"/>
  <c r="O844" i="2"/>
  <c r="L845" i="2"/>
  <c r="M845" i="2"/>
  <c r="N845" i="2"/>
  <c r="O845" i="2"/>
  <c r="L846" i="2"/>
  <c r="M846" i="2"/>
  <c r="N846" i="2"/>
  <c r="O846" i="2"/>
  <c r="L847" i="2"/>
  <c r="M847" i="2"/>
  <c r="N847" i="2"/>
  <c r="O847" i="2"/>
  <c r="L848" i="2"/>
  <c r="M848" i="2"/>
  <c r="N848" i="2"/>
  <c r="O848" i="2"/>
  <c r="L849" i="2"/>
  <c r="M849" i="2"/>
  <c r="N849" i="2"/>
  <c r="O849" i="2"/>
  <c r="L850" i="2"/>
  <c r="M850" i="2"/>
  <c r="N850" i="2"/>
  <c r="O850" i="2"/>
  <c r="L851" i="2"/>
  <c r="M851" i="2"/>
  <c r="N851" i="2"/>
  <c r="O851" i="2"/>
  <c r="L852" i="2"/>
  <c r="M852" i="2"/>
  <c r="N852" i="2"/>
  <c r="O852" i="2"/>
  <c r="L853" i="2"/>
  <c r="M853" i="2"/>
  <c r="N853" i="2"/>
  <c r="O853" i="2"/>
  <c r="L854" i="2"/>
  <c r="M854" i="2"/>
  <c r="N854" i="2"/>
  <c r="O854" i="2"/>
  <c r="L855" i="2"/>
  <c r="M855" i="2"/>
  <c r="N855" i="2"/>
  <c r="O855" i="2"/>
  <c r="L856" i="2"/>
  <c r="M856" i="2"/>
  <c r="N856" i="2"/>
  <c r="O856" i="2"/>
  <c r="L858" i="2"/>
  <c r="M858" i="2"/>
  <c r="N858" i="2"/>
  <c r="O858" i="2"/>
  <c r="L859" i="2"/>
  <c r="M859" i="2"/>
  <c r="N859" i="2"/>
  <c r="O859" i="2"/>
  <c r="L860" i="2"/>
  <c r="M860" i="2"/>
  <c r="N860" i="2"/>
  <c r="O860" i="2"/>
  <c r="L830" i="2"/>
  <c r="L862" i="2" s="1"/>
  <c r="M830" i="2"/>
  <c r="M862" i="2" s="1"/>
  <c r="N830" i="2"/>
  <c r="N862" i="2" s="1"/>
  <c r="O830" i="2"/>
  <c r="O862" i="2" s="1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5" i="2"/>
  <c r="M805" i="2"/>
  <c r="N805" i="2"/>
  <c r="O805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809" i="2"/>
  <c r="M809" i="2"/>
  <c r="N809" i="2"/>
  <c r="O809" i="2"/>
  <c r="L810" i="2"/>
  <c r="M810" i="2"/>
  <c r="N810" i="2"/>
  <c r="O810" i="2"/>
  <c r="L811" i="2"/>
  <c r="M811" i="2"/>
  <c r="N811" i="2"/>
  <c r="O811" i="2"/>
  <c r="L812" i="2"/>
  <c r="M812" i="2"/>
  <c r="N812" i="2"/>
  <c r="O812" i="2"/>
  <c r="L813" i="2"/>
  <c r="M813" i="2"/>
  <c r="N813" i="2"/>
  <c r="O813" i="2"/>
  <c r="L814" i="2"/>
  <c r="M814" i="2"/>
  <c r="N814" i="2"/>
  <c r="O814" i="2"/>
  <c r="L815" i="2"/>
  <c r="M815" i="2"/>
  <c r="N815" i="2"/>
  <c r="O815" i="2"/>
  <c r="L816" i="2"/>
  <c r="M816" i="2"/>
  <c r="N816" i="2"/>
  <c r="O816" i="2"/>
  <c r="L817" i="2"/>
  <c r="M817" i="2"/>
  <c r="N817" i="2"/>
  <c r="O817" i="2"/>
  <c r="L818" i="2"/>
  <c r="M818" i="2"/>
  <c r="N818" i="2"/>
  <c r="O818" i="2"/>
  <c r="L819" i="2"/>
  <c r="M819" i="2"/>
  <c r="N819" i="2"/>
  <c r="O819" i="2"/>
  <c r="L820" i="2"/>
  <c r="M820" i="2"/>
  <c r="N820" i="2"/>
  <c r="O820" i="2"/>
  <c r="L822" i="2"/>
  <c r="M822" i="2"/>
  <c r="N822" i="2"/>
  <c r="O822" i="2"/>
  <c r="L823" i="2"/>
  <c r="M823" i="2"/>
  <c r="N823" i="2"/>
  <c r="O823" i="2"/>
  <c r="L824" i="2"/>
  <c r="M824" i="2"/>
  <c r="N824" i="2"/>
  <c r="O824" i="2"/>
  <c r="L794" i="2"/>
  <c r="L826" i="2" s="1"/>
  <c r="M794" i="2"/>
  <c r="M826" i="2" s="1"/>
  <c r="N794" i="2"/>
  <c r="N826" i="2" s="1"/>
  <c r="O794" i="2"/>
  <c r="O826" i="2" s="1"/>
  <c r="L759" i="2"/>
  <c r="M759" i="2"/>
  <c r="N759" i="2"/>
  <c r="O759" i="2"/>
  <c r="L760" i="2"/>
  <c r="M760" i="2"/>
  <c r="N760" i="2"/>
  <c r="O760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5" i="2"/>
  <c r="M775" i="2"/>
  <c r="N775" i="2"/>
  <c r="O775" i="2"/>
  <c r="L776" i="2"/>
  <c r="M776" i="2"/>
  <c r="N776" i="2"/>
  <c r="O776" i="2"/>
  <c r="L777" i="2"/>
  <c r="M777" i="2"/>
  <c r="N777" i="2"/>
  <c r="O777" i="2"/>
  <c r="L778" i="2"/>
  <c r="M778" i="2"/>
  <c r="N778" i="2"/>
  <c r="O778" i="2"/>
  <c r="L779" i="2"/>
  <c r="M779" i="2"/>
  <c r="N779" i="2"/>
  <c r="O779" i="2"/>
  <c r="L780" i="2"/>
  <c r="M780" i="2"/>
  <c r="N780" i="2"/>
  <c r="O780" i="2"/>
  <c r="L781" i="2"/>
  <c r="M781" i="2"/>
  <c r="N781" i="2"/>
  <c r="O781" i="2"/>
  <c r="L782" i="2"/>
  <c r="M782" i="2"/>
  <c r="N782" i="2"/>
  <c r="O782" i="2"/>
  <c r="L783" i="2"/>
  <c r="M783" i="2"/>
  <c r="N783" i="2"/>
  <c r="O783" i="2"/>
  <c r="L784" i="2"/>
  <c r="M784" i="2"/>
  <c r="N784" i="2"/>
  <c r="O784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58" i="2"/>
  <c r="L790" i="2" s="1"/>
  <c r="M758" i="2"/>
  <c r="M790" i="2" s="1"/>
  <c r="N758" i="2"/>
  <c r="N790" i="2" s="1"/>
  <c r="O758" i="2"/>
  <c r="O790" i="2" s="1"/>
  <c r="L723" i="2"/>
  <c r="M723" i="2"/>
  <c r="N723" i="2"/>
  <c r="O723" i="2"/>
  <c r="L724" i="2"/>
  <c r="M724" i="2"/>
  <c r="N724" i="2"/>
  <c r="O724" i="2"/>
  <c r="L725" i="2"/>
  <c r="M725" i="2"/>
  <c r="N725" i="2"/>
  <c r="O725" i="2"/>
  <c r="L726" i="2"/>
  <c r="M726" i="2"/>
  <c r="N726" i="2"/>
  <c r="O726" i="2"/>
  <c r="L727" i="2"/>
  <c r="M727" i="2"/>
  <c r="N727" i="2"/>
  <c r="O727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1" i="2"/>
  <c r="M741" i="2"/>
  <c r="N741" i="2"/>
  <c r="O741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745" i="2"/>
  <c r="M745" i="2"/>
  <c r="N745" i="2"/>
  <c r="O745" i="2"/>
  <c r="L746" i="2"/>
  <c r="M746" i="2"/>
  <c r="N746" i="2"/>
  <c r="O746" i="2"/>
  <c r="L747" i="2"/>
  <c r="M747" i="2"/>
  <c r="N747" i="2"/>
  <c r="O747" i="2"/>
  <c r="L748" i="2"/>
  <c r="M748" i="2"/>
  <c r="N748" i="2"/>
  <c r="O748" i="2"/>
  <c r="L750" i="2"/>
  <c r="M750" i="2"/>
  <c r="N750" i="2"/>
  <c r="O750" i="2"/>
  <c r="L751" i="2"/>
  <c r="M751" i="2"/>
  <c r="N751" i="2"/>
  <c r="O751" i="2"/>
  <c r="L752" i="2"/>
  <c r="M752" i="2"/>
  <c r="N752" i="2"/>
  <c r="O752" i="2"/>
  <c r="L722" i="2"/>
  <c r="L754" i="2" s="1"/>
  <c r="M722" i="2"/>
  <c r="M754" i="2" s="1"/>
  <c r="N722" i="2"/>
  <c r="N754" i="2" s="1"/>
  <c r="O722" i="2"/>
  <c r="O754" i="2" s="1"/>
  <c r="L687" i="2"/>
  <c r="M687" i="2"/>
  <c r="N687" i="2"/>
  <c r="O687" i="2"/>
  <c r="L688" i="2"/>
  <c r="M688" i="2"/>
  <c r="N688" i="2"/>
  <c r="O688" i="2"/>
  <c r="L689" i="2"/>
  <c r="M689" i="2"/>
  <c r="N689" i="2"/>
  <c r="O689" i="2"/>
  <c r="L690" i="2"/>
  <c r="M690" i="2"/>
  <c r="N690" i="2"/>
  <c r="O690" i="2"/>
  <c r="L691" i="2"/>
  <c r="M691" i="2"/>
  <c r="N691" i="2"/>
  <c r="O691" i="2"/>
  <c r="L692" i="2"/>
  <c r="M692" i="2"/>
  <c r="N692" i="2"/>
  <c r="O692" i="2"/>
  <c r="L693" i="2"/>
  <c r="M693" i="2"/>
  <c r="N693" i="2"/>
  <c r="O693" i="2"/>
  <c r="L694" i="2"/>
  <c r="M694" i="2"/>
  <c r="N694" i="2"/>
  <c r="O694" i="2"/>
  <c r="L695" i="2"/>
  <c r="M695" i="2"/>
  <c r="N695" i="2"/>
  <c r="O695" i="2"/>
  <c r="L696" i="2"/>
  <c r="M696" i="2"/>
  <c r="N696" i="2"/>
  <c r="O696" i="2"/>
  <c r="L697" i="2"/>
  <c r="M697" i="2"/>
  <c r="N697" i="2"/>
  <c r="O697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7" i="2"/>
  <c r="M707" i="2"/>
  <c r="N707" i="2"/>
  <c r="O707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711" i="2"/>
  <c r="M711" i="2"/>
  <c r="N711" i="2"/>
  <c r="O711" i="2"/>
  <c r="L712" i="2"/>
  <c r="M712" i="2"/>
  <c r="N712" i="2"/>
  <c r="O712" i="2"/>
  <c r="L714" i="2"/>
  <c r="M714" i="2"/>
  <c r="N714" i="2"/>
  <c r="O714" i="2"/>
  <c r="L715" i="2"/>
  <c r="M715" i="2"/>
  <c r="N715" i="2"/>
  <c r="O715" i="2"/>
  <c r="L716" i="2"/>
  <c r="M716" i="2"/>
  <c r="N716" i="2"/>
  <c r="O716" i="2"/>
  <c r="L686" i="2"/>
  <c r="L718" i="2" s="1"/>
  <c r="M686" i="2"/>
  <c r="M718" i="2" s="1"/>
  <c r="N686" i="2"/>
  <c r="N718" i="2" s="1"/>
  <c r="O686" i="2"/>
  <c r="O718" i="2" s="1"/>
  <c r="L651" i="2"/>
  <c r="M651" i="2"/>
  <c r="N651" i="2"/>
  <c r="O651" i="2"/>
  <c r="L652" i="2"/>
  <c r="M652" i="2"/>
  <c r="N652" i="2"/>
  <c r="O652" i="2"/>
  <c r="L653" i="2"/>
  <c r="M653" i="2"/>
  <c r="N653" i="2"/>
  <c r="O653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657" i="2"/>
  <c r="M657" i="2"/>
  <c r="N657" i="2"/>
  <c r="O657" i="2"/>
  <c r="L658" i="2"/>
  <c r="M658" i="2"/>
  <c r="N658" i="2"/>
  <c r="O658" i="2"/>
  <c r="L659" i="2"/>
  <c r="M659" i="2"/>
  <c r="N659" i="2"/>
  <c r="O659" i="2"/>
  <c r="L660" i="2"/>
  <c r="M660" i="2"/>
  <c r="N660" i="2"/>
  <c r="O660" i="2"/>
  <c r="L661" i="2"/>
  <c r="M661" i="2"/>
  <c r="N661" i="2"/>
  <c r="O661" i="2"/>
  <c r="L662" i="2"/>
  <c r="M662" i="2"/>
  <c r="N662" i="2"/>
  <c r="O662" i="2"/>
  <c r="L663" i="2"/>
  <c r="M663" i="2"/>
  <c r="N663" i="2"/>
  <c r="O663" i="2"/>
  <c r="L664" i="2"/>
  <c r="M664" i="2"/>
  <c r="N664" i="2"/>
  <c r="O664" i="2"/>
  <c r="L665" i="2"/>
  <c r="M665" i="2"/>
  <c r="N665" i="2"/>
  <c r="O665" i="2"/>
  <c r="L666" i="2"/>
  <c r="M666" i="2"/>
  <c r="N666" i="2"/>
  <c r="O666" i="2"/>
  <c r="L667" i="2"/>
  <c r="M667" i="2"/>
  <c r="N667" i="2"/>
  <c r="O667" i="2"/>
  <c r="L668" i="2"/>
  <c r="M668" i="2"/>
  <c r="N668" i="2"/>
  <c r="O668" i="2"/>
  <c r="L669" i="2"/>
  <c r="M669" i="2"/>
  <c r="N669" i="2"/>
  <c r="O669" i="2"/>
  <c r="L670" i="2"/>
  <c r="M670" i="2"/>
  <c r="N670" i="2"/>
  <c r="O670" i="2"/>
  <c r="L671" i="2"/>
  <c r="M671" i="2"/>
  <c r="N671" i="2"/>
  <c r="O671" i="2"/>
  <c r="L672" i="2"/>
  <c r="M672" i="2"/>
  <c r="N672" i="2"/>
  <c r="O672" i="2"/>
  <c r="L673" i="2"/>
  <c r="M673" i="2"/>
  <c r="N673" i="2"/>
  <c r="O673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78" i="2"/>
  <c r="M678" i="2"/>
  <c r="N678" i="2"/>
  <c r="O678" i="2"/>
  <c r="L679" i="2"/>
  <c r="M679" i="2"/>
  <c r="N679" i="2"/>
  <c r="O679" i="2"/>
  <c r="L680" i="2"/>
  <c r="M680" i="2"/>
  <c r="N680" i="2"/>
  <c r="O680" i="2"/>
  <c r="L650" i="2"/>
  <c r="L682" i="2" s="1"/>
  <c r="M650" i="2"/>
  <c r="M682" i="2" s="1"/>
  <c r="N650" i="2"/>
  <c r="N682" i="2" s="1"/>
  <c r="O650" i="2"/>
  <c r="O682" i="2" s="1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0" i="2"/>
  <c r="M620" i="2"/>
  <c r="N620" i="2"/>
  <c r="O620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624" i="2"/>
  <c r="M624" i="2"/>
  <c r="N624" i="2"/>
  <c r="O624" i="2"/>
  <c r="L625" i="2"/>
  <c r="M625" i="2"/>
  <c r="N625" i="2"/>
  <c r="O625" i="2"/>
  <c r="L626" i="2"/>
  <c r="M626" i="2"/>
  <c r="N626" i="2"/>
  <c r="O626" i="2"/>
  <c r="L627" i="2"/>
  <c r="M627" i="2"/>
  <c r="N627" i="2"/>
  <c r="O627" i="2"/>
  <c r="L628" i="2"/>
  <c r="M628" i="2"/>
  <c r="N628" i="2"/>
  <c r="O628" i="2"/>
  <c r="L629" i="2"/>
  <c r="M629" i="2"/>
  <c r="N629" i="2"/>
  <c r="O629" i="2"/>
  <c r="L630" i="2"/>
  <c r="M630" i="2"/>
  <c r="N630" i="2"/>
  <c r="O630" i="2"/>
  <c r="L631" i="2"/>
  <c r="M631" i="2"/>
  <c r="N631" i="2"/>
  <c r="O631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635" i="2"/>
  <c r="M635" i="2"/>
  <c r="N635" i="2"/>
  <c r="O635" i="2"/>
  <c r="L636" i="2"/>
  <c r="M636" i="2"/>
  <c r="N636" i="2"/>
  <c r="O636" i="2"/>
  <c r="L637" i="2"/>
  <c r="M637" i="2"/>
  <c r="N637" i="2"/>
  <c r="O637" i="2"/>
  <c r="L638" i="2"/>
  <c r="M638" i="2"/>
  <c r="N638" i="2"/>
  <c r="O638" i="2"/>
  <c r="L639" i="2"/>
  <c r="M639" i="2"/>
  <c r="N639" i="2"/>
  <c r="O639" i="2"/>
  <c r="L640" i="2"/>
  <c r="M640" i="2"/>
  <c r="N640" i="2"/>
  <c r="O640" i="2"/>
  <c r="L642" i="2"/>
  <c r="M642" i="2"/>
  <c r="N642" i="2"/>
  <c r="O642" i="2"/>
  <c r="L643" i="2"/>
  <c r="M643" i="2"/>
  <c r="N643" i="2"/>
  <c r="O643" i="2"/>
  <c r="L644" i="2"/>
  <c r="M644" i="2"/>
  <c r="N644" i="2"/>
  <c r="O644" i="2"/>
  <c r="L614" i="2"/>
  <c r="L646" i="2" s="1"/>
  <c r="M614" i="2"/>
  <c r="M646" i="2" s="1"/>
  <c r="N614" i="2"/>
  <c r="N646" i="2" s="1"/>
  <c r="O614" i="2"/>
  <c r="O646" i="2" s="1"/>
  <c r="L603" i="2"/>
  <c r="M603" i="2"/>
  <c r="N603" i="2"/>
  <c r="O603" i="2"/>
  <c r="L604" i="2"/>
  <c r="M604" i="2"/>
  <c r="N604" i="2"/>
  <c r="O604" i="2"/>
  <c r="L606" i="2"/>
  <c r="M606" i="2"/>
  <c r="N606" i="2"/>
  <c r="O606" i="2"/>
  <c r="L607" i="2"/>
  <c r="M607" i="2"/>
  <c r="N607" i="2"/>
  <c r="O607" i="2"/>
  <c r="L608" i="2"/>
  <c r="M608" i="2"/>
  <c r="N608" i="2"/>
  <c r="O608" i="2"/>
  <c r="L579" i="2"/>
  <c r="M579" i="2"/>
  <c r="N579" i="2"/>
  <c r="O579" i="2"/>
  <c r="L580" i="2"/>
  <c r="M580" i="2"/>
  <c r="N580" i="2"/>
  <c r="O580" i="2"/>
  <c r="L581" i="2"/>
  <c r="M581" i="2"/>
  <c r="N581" i="2"/>
  <c r="O581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7" i="2"/>
  <c r="M587" i="2"/>
  <c r="N587" i="2"/>
  <c r="O587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91" i="2"/>
  <c r="M591" i="2"/>
  <c r="N591" i="2"/>
  <c r="O591" i="2"/>
  <c r="L592" i="2"/>
  <c r="M592" i="2"/>
  <c r="N592" i="2"/>
  <c r="O592" i="2"/>
  <c r="L593" i="2"/>
  <c r="M593" i="2"/>
  <c r="N593" i="2"/>
  <c r="O593" i="2"/>
  <c r="L594" i="2"/>
  <c r="M594" i="2"/>
  <c r="N594" i="2"/>
  <c r="O594" i="2"/>
  <c r="L595" i="2"/>
  <c r="M595" i="2"/>
  <c r="N595" i="2"/>
  <c r="O595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2" i="2"/>
  <c r="M602" i="2"/>
  <c r="N602" i="2"/>
  <c r="O602" i="2"/>
  <c r="L578" i="2"/>
  <c r="L610" i="2" s="1"/>
  <c r="M578" i="2"/>
  <c r="M610" i="2" s="1"/>
  <c r="N578" i="2"/>
  <c r="N610" i="2" s="1"/>
  <c r="O578" i="2"/>
  <c r="O610" i="2" s="1"/>
  <c r="L543" i="2"/>
  <c r="M543" i="2"/>
  <c r="N543" i="2"/>
  <c r="O543" i="2"/>
  <c r="L544" i="2"/>
  <c r="M544" i="2"/>
  <c r="N544" i="2"/>
  <c r="O544" i="2"/>
  <c r="L545" i="2"/>
  <c r="M545" i="2"/>
  <c r="N545" i="2"/>
  <c r="O545" i="2"/>
  <c r="L546" i="2"/>
  <c r="M546" i="2"/>
  <c r="N546" i="2"/>
  <c r="O546" i="2"/>
  <c r="L547" i="2"/>
  <c r="M547" i="2"/>
  <c r="N547" i="2"/>
  <c r="O547" i="2"/>
  <c r="L548" i="2"/>
  <c r="M548" i="2"/>
  <c r="N548" i="2"/>
  <c r="O548" i="2"/>
  <c r="L549" i="2"/>
  <c r="M549" i="2"/>
  <c r="N549" i="2"/>
  <c r="O549" i="2"/>
  <c r="L550" i="2"/>
  <c r="M550" i="2"/>
  <c r="N550" i="2"/>
  <c r="O550" i="2"/>
  <c r="L551" i="2"/>
  <c r="M551" i="2"/>
  <c r="N551" i="2"/>
  <c r="O551" i="2"/>
  <c r="L552" i="2"/>
  <c r="M552" i="2"/>
  <c r="N552" i="2"/>
  <c r="O552" i="2"/>
  <c r="L553" i="2"/>
  <c r="M553" i="2"/>
  <c r="N553" i="2"/>
  <c r="O553" i="2"/>
  <c r="L554" i="2"/>
  <c r="M554" i="2"/>
  <c r="N554" i="2"/>
  <c r="O554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558" i="2"/>
  <c r="M558" i="2"/>
  <c r="N558" i="2"/>
  <c r="O558" i="2"/>
  <c r="L559" i="2"/>
  <c r="M559" i="2"/>
  <c r="N559" i="2"/>
  <c r="O559" i="2"/>
  <c r="L560" i="2"/>
  <c r="M560" i="2"/>
  <c r="N560" i="2"/>
  <c r="O560" i="2"/>
  <c r="L561" i="2"/>
  <c r="M561" i="2"/>
  <c r="N561" i="2"/>
  <c r="O561" i="2"/>
  <c r="L562" i="2"/>
  <c r="M562" i="2"/>
  <c r="N562" i="2"/>
  <c r="O562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70" i="2"/>
  <c r="M570" i="2"/>
  <c r="N570" i="2"/>
  <c r="O570" i="2"/>
  <c r="L571" i="2"/>
  <c r="M571" i="2"/>
  <c r="N571" i="2"/>
  <c r="O571" i="2"/>
  <c r="L572" i="2"/>
  <c r="M572" i="2"/>
  <c r="N572" i="2"/>
  <c r="O572" i="2"/>
  <c r="L542" i="2"/>
  <c r="L574" i="2" s="1"/>
  <c r="M542" i="2"/>
  <c r="M574" i="2" s="1"/>
  <c r="N542" i="2"/>
  <c r="N574" i="2" s="1"/>
  <c r="O542" i="2"/>
  <c r="O574" i="2" s="1"/>
  <c r="L507" i="2"/>
  <c r="M507" i="2"/>
  <c r="N507" i="2"/>
  <c r="O507" i="2"/>
  <c r="L508" i="2"/>
  <c r="M508" i="2"/>
  <c r="N508" i="2"/>
  <c r="O508" i="2"/>
  <c r="L509" i="2"/>
  <c r="M509" i="2"/>
  <c r="N509" i="2"/>
  <c r="O509" i="2"/>
  <c r="L510" i="2"/>
  <c r="M510" i="2"/>
  <c r="N510" i="2"/>
  <c r="O510" i="2"/>
  <c r="L511" i="2"/>
  <c r="M511" i="2"/>
  <c r="N511" i="2"/>
  <c r="O511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5" i="2"/>
  <c r="M515" i="2"/>
  <c r="N515" i="2"/>
  <c r="O515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519" i="2"/>
  <c r="M519" i="2"/>
  <c r="N519" i="2"/>
  <c r="O519" i="2"/>
  <c r="L520" i="2"/>
  <c r="M520" i="2"/>
  <c r="N520" i="2"/>
  <c r="O520" i="2"/>
  <c r="L521" i="2"/>
  <c r="M521" i="2"/>
  <c r="N521" i="2"/>
  <c r="O521" i="2"/>
  <c r="L522" i="2"/>
  <c r="M522" i="2"/>
  <c r="N522" i="2"/>
  <c r="O522" i="2"/>
  <c r="L523" i="2"/>
  <c r="M523" i="2"/>
  <c r="N523" i="2"/>
  <c r="O523" i="2"/>
  <c r="L524" i="2"/>
  <c r="M524" i="2"/>
  <c r="N524" i="2"/>
  <c r="O524" i="2"/>
  <c r="L525" i="2"/>
  <c r="M525" i="2"/>
  <c r="N525" i="2"/>
  <c r="O525" i="2"/>
  <c r="L526" i="2"/>
  <c r="M526" i="2"/>
  <c r="N526" i="2"/>
  <c r="O526" i="2"/>
  <c r="L527" i="2"/>
  <c r="M527" i="2"/>
  <c r="N527" i="2"/>
  <c r="O527" i="2"/>
  <c r="L528" i="2"/>
  <c r="M528" i="2"/>
  <c r="N528" i="2"/>
  <c r="O528" i="2"/>
  <c r="L529" i="2"/>
  <c r="M529" i="2"/>
  <c r="N529" i="2"/>
  <c r="O529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506" i="2"/>
  <c r="L538" i="2" s="1"/>
  <c r="M506" i="2"/>
  <c r="M538" i="2" s="1"/>
  <c r="N506" i="2"/>
  <c r="N538" i="2" s="1"/>
  <c r="O506" i="2"/>
  <c r="O538" i="2" s="1"/>
  <c r="L471" i="2"/>
  <c r="M471" i="2"/>
  <c r="N471" i="2"/>
  <c r="O471" i="2"/>
  <c r="L472" i="2"/>
  <c r="M472" i="2"/>
  <c r="N472" i="2"/>
  <c r="O472" i="2"/>
  <c r="L473" i="2"/>
  <c r="M473" i="2"/>
  <c r="N473" i="2"/>
  <c r="O473" i="2"/>
  <c r="L474" i="2"/>
  <c r="M474" i="2"/>
  <c r="N474" i="2"/>
  <c r="O474" i="2"/>
  <c r="L475" i="2"/>
  <c r="M475" i="2"/>
  <c r="N475" i="2"/>
  <c r="O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6" i="2"/>
  <c r="M486" i="2"/>
  <c r="N486" i="2"/>
  <c r="O486" i="2"/>
  <c r="L487" i="2"/>
  <c r="M487" i="2"/>
  <c r="N487" i="2"/>
  <c r="O487" i="2"/>
  <c r="L488" i="2"/>
  <c r="M488" i="2"/>
  <c r="N488" i="2"/>
  <c r="O488" i="2"/>
  <c r="L489" i="2"/>
  <c r="M489" i="2"/>
  <c r="N489" i="2"/>
  <c r="O489" i="2"/>
  <c r="L490" i="2"/>
  <c r="M490" i="2"/>
  <c r="N490" i="2"/>
  <c r="O490" i="2"/>
  <c r="L491" i="2"/>
  <c r="M491" i="2"/>
  <c r="N491" i="2"/>
  <c r="O491" i="2"/>
  <c r="L492" i="2"/>
  <c r="M492" i="2"/>
  <c r="N492" i="2"/>
  <c r="O492" i="2"/>
  <c r="L493" i="2"/>
  <c r="M493" i="2"/>
  <c r="N493" i="2"/>
  <c r="O493" i="2"/>
  <c r="L494" i="2"/>
  <c r="M494" i="2"/>
  <c r="N494" i="2"/>
  <c r="O494" i="2"/>
  <c r="L495" i="2"/>
  <c r="M495" i="2"/>
  <c r="N495" i="2"/>
  <c r="O495" i="2"/>
  <c r="L496" i="2"/>
  <c r="M496" i="2"/>
  <c r="N496" i="2"/>
  <c r="O496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470" i="2"/>
  <c r="L502" i="2" s="1"/>
  <c r="M470" i="2"/>
  <c r="M502" i="2" s="1"/>
  <c r="N470" i="2"/>
  <c r="N502" i="2" s="1"/>
  <c r="O470" i="2"/>
  <c r="O502" i="2" s="1"/>
  <c r="L435" i="2"/>
  <c r="M435" i="2"/>
  <c r="N435" i="2"/>
  <c r="O435" i="2"/>
  <c r="L436" i="2"/>
  <c r="M436" i="2"/>
  <c r="N436" i="2"/>
  <c r="O436" i="2"/>
  <c r="L437" i="2"/>
  <c r="M437" i="2"/>
  <c r="N437" i="2"/>
  <c r="O437" i="2"/>
  <c r="L438" i="2"/>
  <c r="M438" i="2"/>
  <c r="N438" i="2"/>
  <c r="O438" i="2"/>
  <c r="L439" i="2"/>
  <c r="M439" i="2"/>
  <c r="N439" i="2"/>
  <c r="O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L443" i="2"/>
  <c r="M443" i="2"/>
  <c r="N443" i="2"/>
  <c r="O443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5" i="2"/>
  <c r="M455" i="2"/>
  <c r="N455" i="2"/>
  <c r="O455" i="2"/>
  <c r="L456" i="2"/>
  <c r="M456" i="2"/>
  <c r="N456" i="2"/>
  <c r="O456" i="2"/>
  <c r="L457" i="2"/>
  <c r="M457" i="2"/>
  <c r="N457" i="2"/>
  <c r="O457" i="2"/>
  <c r="L458" i="2"/>
  <c r="M458" i="2"/>
  <c r="N458" i="2"/>
  <c r="O458" i="2"/>
  <c r="L460" i="2"/>
  <c r="M460" i="2"/>
  <c r="N460" i="2"/>
  <c r="O460" i="2"/>
  <c r="L462" i="2"/>
  <c r="M462" i="2"/>
  <c r="N462" i="2"/>
  <c r="O462" i="2"/>
  <c r="L463" i="2"/>
  <c r="M463" i="2"/>
  <c r="N463" i="2"/>
  <c r="O463" i="2"/>
  <c r="L464" i="2"/>
  <c r="M464" i="2"/>
  <c r="N464" i="2"/>
  <c r="O464" i="2"/>
  <c r="L434" i="2"/>
  <c r="L466" i="2" s="1"/>
  <c r="M434" i="2"/>
  <c r="M466" i="2" s="1"/>
  <c r="N434" i="2"/>
  <c r="N466" i="2" s="1"/>
  <c r="O434" i="2"/>
  <c r="O466" i="2" s="1"/>
  <c r="L399" i="2"/>
  <c r="M399" i="2"/>
  <c r="N399" i="2"/>
  <c r="O399" i="2"/>
  <c r="L400" i="2"/>
  <c r="M400" i="2"/>
  <c r="N400" i="2"/>
  <c r="O400" i="2"/>
  <c r="L401" i="2"/>
  <c r="M401" i="2"/>
  <c r="N401" i="2"/>
  <c r="O401" i="2"/>
  <c r="L402" i="2"/>
  <c r="M402" i="2"/>
  <c r="N402" i="2"/>
  <c r="O402" i="2"/>
  <c r="L403" i="2"/>
  <c r="M403" i="2"/>
  <c r="N403" i="2"/>
  <c r="O403" i="2"/>
  <c r="L404" i="2"/>
  <c r="M404" i="2"/>
  <c r="N404" i="2"/>
  <c r="O404" i="2"/>
  <c r="L405" i="2"/>
  <c r="M405" i="2"/>
  <c r="N405" i="2"/>
  <c r="O405" i="2"/>
  <c r="L406" i="2"/>
  <c r="M406" i="2"/>
  <c r="N406" i="2"/>
  <c r="O406" i="2"/>
  <c r="L407" i="2"/>
  <c r="M407" i="2"/>
  <c r="N407" i="2"/>
  <c r="O407" i="2"/>
  <c r="L408" i="2"/>
  <c r="M408" i="2"/>
  <c r="N408" i="2"/>
  <c r="O408" i="2"/>
  <c r="L409" i="2"/>
  <c r="M409" i="2"/>
  <c r="N409" i="2"/>
  <c r="O409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2" i="2"/>
  <c r="M422" i="2"/>
  <c r="N422" i="2"/>
  <c r="O422" i="2"/>
  <c r="L424" i="2"/>
  <c r="M424" i="2"/>
  <c r="N424" i="2"/>
  <c r="O424" i="2"/>
  <c r="L426" i="2"/>
  <c r="M426" i="2"/>
  <c r="N426" i="2"/>
  <c r="O426" i="2"/>
  <c r="L427" i="2"/>
  <c r="M427" i="2"/>
  <c r="N427" i="2"/>
  <c r="O427" i="2"/>
  <c r="L428" i="2"/>
  <c r="M428" i="2"/>
  <c r="N428" i="2"/>
  <c r="O428" i="2"/>
  <c r="L398" i="2"/>
  <c r="L430" i="2" s="1"/>
  <c r="M398" i="2"/>
  <c r="M430" i="2" s="1"/>
  <c r="N398" i="2"/>
  <c r="N430" i="2" s="1"/>
  <c r="O398" i="2"/>
  <c r="O430" i="2" s="1"/>
  <c r="L390" i="2"/>
  <c r="M390" i="2"/>
  <c r="N390" i="2"/>
  <c r="O390" i="2"/>
  <c r="L391" i="2"/>
  <c r="M391" i="2"/>
  <c r="N391" i="2"/>
  <c r="O391" i="2"/>
  <c r="K363" i="2"/>
  <c r="L363" i="2"/>
  <c r="M363" i="2"/>
  <c r="N363" i="2"/>
  <c r="O363" i="2"/>
  <c r="K364" i="2"/>
  <c r="L364" i="2"/>
  <c r="M364" i="2"/>
  <c r="N364" i="2"/>
  <c r="O364" i="2"/>
  <c r="K365" i="2"/>
  <c r="L365" i="2"/>
  <c r="M365" i="2"/>
  <c r="N365" i="2"/>
  <c r="O365" i="2"/>
  <c r="K366" i="2"/>
  <c r="L366" i="2"/>
  <c r="M366" i="2"/>
  <c r="N366" i="2"/>
  <c r="O366" i="2"/>
  <c r="K367" i="2"/>
  <c r="L367" i="2"/>
  <c r="M367" i="2"/>
  <c r="N367" i="2"/>
  <c r="O367" i="2"/>
  <c r="K368" i="2"/>
  <c r="L368" i="2"/>
  <c r="M368" i="2"/>
  <c r="N368" i="2"/>
  <c r="O368" i="2"/>
  <c r="K369" i="2"/>
  <c r="L369" i="2"/>
  <c r="M369" i="2"/>
  <c r="N369" i="2"/>
  <c r="O369" i="2"/>
  <c r="K370" i="2"/>
  <c r="L370" i="2"/>
  <c r="M370" i="2"/>
  <c r="N370" i="2"/>
  <c r="O370" i="2"/>
  <c r="K371" i="2"/>
  <c r="L371" i="2"/>
  <c r="M371" i="2"/>
  <c r="N371" i="2"/>
  <c r="O371" i="2"/>
  <c r="K372" i="2"/>
  <c r="L372" i="2"/>
  <c r="M372" i="2"/>
  <c r="N372" i="2"/>
  <c r="O372" i="2"/>
  <c r="K373" i="2"/>
  <c r="L373" i="2"/>
  <c r="M373" i="2"/>
  <c r="N373" i="2"/>
  <c r="O373" i="2"/>
  <c r="K374" i="2"/>
  <c r="L374" i="2"/>
  <c r="M374" i="2"/>
  <c r="N374" i="2"/>
  <c r="O374" i="2"/>
  <c r="K375" i="2"/>
  <c r="L375" i="2"/>
  <c r="M375" i="2"/>
  <c r="N375" i="2"/>
  <c r="O375" i="2"/>
  <c r="K376" i="2"/>
  <c r="L376" i="2"/>
  <c r="M376" i="2"/>
  <c r="N376" i="2"/>
  <c r="O376" i="2"/>
  <c r="K377" i="2"/>
  <c r="L377" i="2"/>
  <c r="M377" i="2"/>
  <c r="N377" i="2"/>
  <c r="O377" i="2"/>
  <c r="K378" i="2"/>
  <c r="L378" i="2"/>
  <c r="M378" i="2"/>
  <c r="N378" i="2"/>
  <c r="O378" i="2"/>
  <c r="K379" i="2"/>
  <c r="L379" i="2"/>
  <c r="M379" i="2"/>
  <c r="N379" i="2"/>
  <c r="O379" i="2"/>
  <c r="K380" i="2"/>
  <c r="L380" i="2"/>
  <c r="M380" i="2"/>
  <c r="N380" i="2"/>
  <c r="O380" i="2"/>
  <c r="K381" i="2"/>
  <c r="L381" i="2"/>
  <c r="M381" i="2"/>
  <c r="N381" i="2"/>
  <c r="O381" i="2"/>
  <c r="K382" i="2"/>
  <c r="L382" i="2"/>
  <c r="M382" i="2"/>
  <c r="N382" i="2"/>
  <c r="O382" i="2"/>
  <c r="K383" i="2"/>
  <c r="L383" i="2"/>
  <c r="M383" i="2"/>
  <c r="N383" i="2"/>
  <c r="O383" i="2"/>
  <c r="K384" i="2"/>
  <c r="L384" i="2"/>
  <c r="M384" i="2"/>
  <c r="N384" i="2"/>
  <c r="O384" i="2"/>
  <c r="K385" i="2"/>
  <c r="L385" i="2"/>
  <c r="M385" i="2"/>
  <c r="N385" i="2"/>
  <c r="O385" i="2"/>
  <c r="K386" i="2"/>
  <c r="L386" i="2"/>
  <c r="M386" i="2"/>
  <c r="N386" i="2"/>
  <c r="O386" i="2"/>
  <c r="K387" i="2"/>
  <c r="K388" i="2"/>
  <c r="L388" i="2"/>
  <c r="M388" i="2"/>
  <c r="N388" i="2"/>
  <c r="O388" i="2"/>
  <c r="L362" i="2"/>
  <c r="M362" i="2"/>
  <c r="N362" i="2"/>
  <c r="O362" i="2"/>
  <c r="L327" i="2"/>
  <c r="M327" i="2"/>
  <c r="N327" i="2"/>
  <c r="O327" i="2"/>
  <c r="L328" i="2"/>
  <c r="M328" i="2"/>
  <c r="N328" i="2"/>
  <c r="O328" i="2"/>
  <c r="L329" i="2"/>
  <c r="M329" i="2"/>
  <c r="N329" i="2"/>
  <c r="O329" i="2"/>
  <c r="L330" i="2"/>
  <c r="M330" i="2"/>
  <c r="N330" i="2"/>
  <c r="O330" i="2"/>
  <c r="L331" i="2"/>
  <c r="M331" i="2"/>
  <c r="N331" i="2"/>
  <c r="O331" i="2"/>
  <c r="L332" i="2"/>
  <c r="M332" i="2"/>
  <c r="N332" i="2"/>
  <c r="O332" i="2"/>
  <c r="L333" i="2"/>
  <c r="M333" i="2"/>
  <c r="N333" i="2"/>
  <c r="O333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L337" i="2"/>
  <c r="M337" i="2"/>
  <c r="N337" i="2"/>
  <c r="O337" i="2"/>
  <c r="L338" i="2"/>
  <c r="M338" i="2"/>
  <c r="N338" i="2"/>
  <c r="O338" i="2"/>
  <c r="L339" i="2"/>
  <c r="M339" i="2"/>
  <c r="N339" i="2"/>
  <c r="O339" i="2"/>
  <c r="L340" i="2"/>
  <c r="M340" i="2"/>
  <c r="N340" i="2"/>
  <c r="O340" i="2"/>
  <c r="L341" i="2"/>
  <c r="M341" i="2"/>
  <c r="N341" i="2"/>
  <c r="O341" i="2"/>
  <c r="L342" i="2"/>
  <c r="M342" i="2"/>
  <c r="N342" i="2"/>
  <c r="O342" i="2"/>
  <c r="L343" i="2"/>
  <c r="M343" i="2"/>
  <c r="N343" i="2"/>
  <c r="O343" i="2"/>
  <c r="L344" i="2"/>
  <c r="M344" i="2"/>
  <c r="N344" i="2"/>
  <c r="O344" i="2"/>
  <c r="L345" i="2"/>
  <c r="M345" i="2"/>
  <c r="N345" i="2"/>
  <c r="O345" i="2"/>
  <c r="L346" i="2"/>
  <c r="M346" i="2"/>
  <c r="N346" i="2"/>
  <c r="O346" i="2"/>
  <c r="L347" i="2"/>
  <c r="M347" i="2"/>
  <c r="N347" i="2"/>
  <c r="O347" i="2"/>
  <c r="L348" i="2"/>
  <c r="M348" i="2"/>
  <c r="N348" i="2"/>
  <c r="O348" i="2"/>
  <c r="L349" i="2"/>
  <c r="M349" i="2"/>
  <c r="N349" i="2"/>
  <c r="O349" i="2"/>
  <c r="L350" i="2"/>
  <c r="M350" i="2"/>
  <c r="N350" i="2"/>
  <c r="O350" i="2"/>
  <c r="L352" i="2"/>
  <c r="M352" i="2"/>
  <c r="N352" i="2"/>
  <c r="O352" i="2"/>
  <c r="L354" i="2"/>
  <c r="M354" i="2"/>
  <c r="N354" i="2"/>
  <c r="O354" i="2"/>
  <c r="L355" i="2"/>
  <c r="M355" i="2"/>
  <c r="N355" i="2"/>
  <c r="O355" i="2"/>
  <c r="L326" i="2"/>
  <c r="L358" i="2" s="1"/>
  <c r="M326" i="2"/>
  <c r="M358" i="2" s="1"/>
  <c r="N326" i="2"/>
  <c r="N358" i="2" s="1"/>
  <c r="O326" i="2"/>
  <c r="O358" i="2" s="1"/>
  <c r="K291" i="2"/>
  <c r="L291" i="2"/>
  <c r="M291" i="2"/>
  <c r="N291" i="2"/>
  <c r="O291" i="2"/>
  <c r="K292" i="2"/>
  <c r="L292" i="2"/>
  <c r="M292" i="2"/>
  <c r="N292" i="2"/>
  <c r="O292" i="2"/>
  <c r="K293" i="2"/>
  <c r="L293" i="2"/>
  <c r="M293" i="2"/>
  <c r="N293" i="2"/>
  <c r="O293" i="2"/>
  <c r="K294" i="2"/>
  <c r="L294" i="2"/>
  <c r="M294" i="2"/>
  <c r="N294" i="2"/>
  <c r="O294" i="2"/>
  <c r="K295" i="2"/>
  <c r="L295" i="2"/>
  <c r="M295" i="2"/>
  <c r="N295" i="2"/>
  <c r="O295" i="2"/>
  <c r="K296" i="2"/>
  <c r="L296" i="2"/>
  <c r="M296" i="2"/>
  <c r="N296" i="2"/>
  <c r="O296" i="2"/>
  <c r="K297" i="2"/>
  <c r="L297" i="2"/>
  <c r="M297" i="2"/>
  <c r="N297" i="2"/>
  <c r="O297" i="2"/>
  <c r="K298" i="2"/>
  <c r="L298" i="2"/>
  <c r="M298" i="2"/>
  <c r="N298" i="2"/>
  <c r="O298" i="2"/>
  <c r="K299" i="2"/>
  <c r="L299" i="2"/>
  <c r="M299" i="2"/>
  <c r="N299" i="2"/>
  <c r="O299" i="2"/>
  <c r="K300" i="2"/>
  <c r="L300" i="2"/>
  <c r="M300" i="2"/>
  <c r="N300" i="2"/>
  <c r="O300" i="2"/>
  <c r="K301" i="2"/>
  <c r="L301" i="2"/>
  <c r="M301" i="2"/>
  <c r="N301" i="2"/>
  <c r="O301" i="2"/>
  <c r="K302" i="2"/>
  <c r="L302" i="2"/>
  <c r="M302" i="2"/>
  <c r="N302" i="2"/>
  <c r="O302" i="2"/>
  <c r="K303" i="2"/>
  <c r="L303" i="2"/>
  <c r="M303" i="2"/>
  <c r="N303" i="2"/>
  <c r="O303" i="2"/>
  <c r="K304" i="2"/>
  <c r="L304" i="2"/>
  <c r="M304" i="2"/>
  <c r="N304" i="2"/>
  <c r="O304" i="2"/>
  <c r="K305" i="2"/>
  <c r="L305" i="2"/>
  <c r="M305" i="2"/>
  <c r="N305" i="2"/>
  <c r="O305" i="2"/>
  <c r="K306" i="2"/>
  <c r="L306" i="2"/>
  <c r="M306" i="2"/>
  <c r="N306" i="2"/>
  <c r="O306" i="2"/>
  <c r="K307" i="2"/>
  <c r="L307" i="2"/>
  <c r="M307" i="2"/>
  <c r="N307" i="2"/>
  <c r="O307" i="2"/>
  <c r="K308" i="2"/>
  <c r="L308" i="2"/>
  <c r="M308" i="2"/>
  <c r="N308" i="2"/>
  <c r="O308" i="2"/>
  <c r="K309" i="2"/>
  <c r="L309" i="2"/>
  <c r="M309" i="2"/>
  <c r="N309" i="2"/>
  <c r="O309" i="2"/>
  <c r="K310" i="2"/>
  <c r="L310" i="2"/>
  <c r="M310" i="2"/>
  <c r="N310" i="2"/>
  <c r="O310" i="2"/>
  <c r="K311" i="2"/>
  <c r="L311" i="2"/>
  <c r="M311" i="2"/>
  <c r="N311" i="2"/>
  <c r="O311" i="2"/>
  <c r="K312" i="2"/>
  <c r="L312" i="2"/>
  <c r="M312" i="2"/>
  <c r="N312" i="2"/>
  <c r="O312" i="2"/>
  <c r="K313" i="2"/>
  <c r="L313" i="2"/>
  <c r="M313" i="2"/>
  <c r="N313" i="2"/>
  <c r="O313" i="2"/>
  <c r="K314" i="2"/>
  <c r="L314" i="2"/>
  <c r="M314" i="2"/>
  <c r="N314" i="2"/>
  <c r="O314" i="2"/>
  <c r="K316" i="2"/>
  <c r="L316" i="2"/>
  <c r="M316" i="2"/>
  <c r="N316" i="2"/>
  <c r="O316" i="2"/>
  <c r="K318" i="2"/>
  <c r="L318" i="2"/>
  <c r="M318" i="2"/>
  <c r="N318" i="2"/>
  <c r="O318" i="2"/>
  <c r="K319" i="2"/>
  <c r="L319" i="2"/>
  <c r="M319" i="2"/>
  <c r="N319" i="2"/>
  <c r="O319" i="2"/>
  <c r="K320" i="2"/>
  <c r="L320" i="2"/>
  <c r="M320" i="2"/>
  <c r="N320" i="2"/>
  <c r="O320" i="2"/>
  <c r="L290" i="2"/>
  <c r="M290" i="2"/>
  <c r="N290" i="2"/>
  <c r="O290" i="2"/>
  <c r="L255" i="2"/>
  <c r="M255" i="2"/>
  <c r="N255" i="2"/>
  <c r="O255" i="2"/>
  <c r="L256" i="2"/>
  <c r="M256" i="2"/>
  <c r="N256" i="2"/>
  <c r="O256" i="2"/>
  <c r="L257" i="2"/>
  <c r="M257" i="2"/>
  <c r="N257" i="2"/>
  <c r="O257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L261" i="2"/>
  <c r="M261" i="2"/>
  <c r="N261" i="2"/>
  <c r="O261" i="2"/>
  <c r="L262" i="2"/>
  <c r="M262" i="2"/>
  <c r="N262" i="2"/>
  <c r="O262" i="2"/>
  <c r="L263" i="2"/>
  <c r="M263" i="2"/>
  <c r="N263" i="2"/>
  <c r="O263" i="2"/>
  <c r="L264" i="2"/>
  <c r="M264" i="2"/>
  <c r="N264" i="2"/>
  <c r="O264" i="2"/>
  <c r="L265" i="2"/>
  <c r="M265" i="2"/>
  <c r="N265" i="2"/>
  <c r="O265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80" i="2"/>
  <c r="M280" i="2"/>
  <c r="N280" i="2"/>
  <c r="O280" i="2"/>
  <c r="L282" i="2"/>
  <c r="M282" i="2"/>
  <c r="N282" i="2"/>
  <c r="O282" i="2"/>
  <c r="L283" i="2"/>
  <c r="M283" i="2"/>
  <c r="N283" i="2"/>
  <c r="O283" i="2"/>
  <c r="L284" i="2"/>
  <c r="M284" i="2"/>
  <c r="N284" i="2"/>
  <c r="O284" i="2"/>
  <c r="L254" i="2"/>
  <c r="L286" i="2" s="1"/>
  <c r="M254" i="2"/>
  <c r="M286" i="2" s="1"/>
  <c r="N254" i="2"/>
  <c r="N286" i="2" s="1"/>
  <c r="O254" i="2"/>
  <c r="O286" i="2" s="1"/>
  <c r="L322" i="2" l="1"/>
  <c r="L394" i="2"/>
  <c r="M322" i="2"/>
  <c r="M394" i="2"/>
  <c r="O322" i="2"/>
  <c r="O394" i="2"/>
  <c r="N322" i="2"/>
  <c r="N394" i="2"/>
  <c r="D1004" i="2" l="1"/>
  <c r="E1004" i="2"/>
  <c r="F1004" i="2"/>
  <c r="G1004" i="2"/>
  <c r="H1004" i="2"/>
  <c r="I1004" i="2"/>
  <c r="J1004" i="2"/>
  <c r="K1004" i="2"/>
  <c r="D968" i="2"/>
  <c r="E968" i="2"/>
  <c r="F968" i="2"/>
  <c r="G968" i="2"/>
  <c r="H968" i="2"/>
  <c r="I968" i="2"/>
  <c r="J968" i="2"/>
  <c r="K968" i="2"/>
  <c r="D932" i="2"/>
  <c r="E932" i="2"/>
  <c r="F932" i="2"/>
  <c r="G932" i="2"/>
  <c r="H932" i="2"/>
  <c r="I932" i="2"/>
  <c r="J932" i="2"/>
  <c r="K932" i="2"/>
  <c r="D896" i="2"/>
  <c r="E896" i="2"/>
  <c r="F896" i="2"/>
  <c r="G896" i="2"/>
  <c r="H896" i="2"/>
  <c r="I896" i="2"/>
  <c r="J896" i="2"/>
  <c r="K896" i="2"/>
  <c r="D860" i="2"/>
  <c r="E860" i="2"/>
  <c r="F860" i="2"/>
  <c r="G860" i="2"/>
  <c r="H860" i="2"/>
  <c r="I860" i="2"/>
  <c r="J860" i="2"/>
  <c r="K860" i="2"/>
  <c r="D824" i="2"/>
  <c r="E824" i="2"/>
  <c r="F824" i="2"/>
  <c r="G824" i="2"/>
  <c r="H824" i="2"/>
  <c r="I824" i="2"/>
  <c r="J824" i="2"/>
  <c r="K824" i="2"/>
  <c r="D788" i="2"/>
  <c r="E788" i="2"/>
  <c r="F788" i="2"/>
  <c r="G788" i="2"/>
  <c r="H788" i="2"/>
  <c r="I788" i="2"/>
  <c r="J788" i="2"/>
  <c r="K788" i="2"/>
  <c r="D752" i="2"/>
  <c r="E752" i="2"/>
  <c r="F752" i="2"/>
  <c r="G752" i="2"/>
  <c r="H752" i="2"/>
  <c r="I752" i="2"/>
  <c r="J752" i="2"/>
  <c r="K752" i="2"/>
  <c r="D716" i="2"/>
  <c r="E716" i="2"/>
  <c r="F716" i="2"/>
  <c r="G716" i="2"/>
  <c r="H716" i="2"/>
  <c r="I716" i="2"/>
  <c r="J716" i="2"/>
  <c r="K716" i="2"/>
  <c r="D680" i="2"/>
  <c r="E680" i="2"/>
  <c r="F680" i="2"/>
  <c r="G680" i="2"/>
  <c r="H680" i="2"/>
  <c r="I680" i="2"/>
  <c r="J680" i="2"/>
  <c r="K680" i="2"/>
  <c r="D644" i="2"/>
  <c r="E644" i="2"/>
  <c r="F644" i="2"/>
  <c r="G644" i="2"/>
  <c r="H644" i="2"/>
  <c r="I644" i="2"/>
  <c r="J644" i="2"/>
  <c r="K644" i="2"/>
  <c r="D608" i="2"/>
  <c r="E608" i="2"/>
  <c r="F608" i="2"/>
  <c r="G608" i="2"/>
  <c r="H608" i="2"/>
  <c r="I608" i="2"/>
  <c r="J608" i="2"/>
  <c r="K608" i="2"/>
  <c r="D572" i="2"/>
  <c r="E572" i="2"/>
  <c r="F572" i="2"/>
  <c r="G572" i="2"/>
  <c r="H572" i="2"/>
  <c r="I572" i="2"/>
  <c r="J572" i="2"/>
  <c r="K572" i="2"/>
  <c r="D536" i="2"/>
  <c r="E536" i="2"/>
  <c r="F536" i="2"/>
  <c r="G536" i="2"/>
  <c r="H536" i="2"/>
  <c r="I536" i="2"/>
  <c r="J536" i="2"/>
  <c r="K536" i="2"/>
  <c r="D500" i="2"/>
  <c r="E500" i="2"/>
  <c r="F500" i="2"/>
  <c r="G500" i="2"/>
  <c r="H500" i="2"/>
  <c r="I500" i="2"/>
  <c r="J500" i="2"/>
  <c r="K500" i="2"/>
  <c r="Y500" i="2" l="1"/>
  <c r="Y536" i="2"/>
  <c r="Y572" i="2"/>
  <c r="Y608" i="2"/>
  <c r="Y644" i="2"/>
  <c r="Y680" i="2"/>
  <c r="Y716" i="2"/>
  <c r="Y752" i="2"/>
  <c r="Y788" i="2"/>
  <c r="Y824" i="2"/>
  <c r="Y860" i="2"/>
  <c r="Y896" i="2"/>
  <c r="Y932" i="2"/>
  <c r="Y968" i="2"/>
  <c r="Y1004" i="2"/>
  <c r="D464" i="2"/>
  <c r="E464" i="2"/>
  <c r="F464" i="2"/>
  <c r="G464" i="2"/>
  <c r="H464" i="2"/>
  <c r="I464" i="2"/>
  <c r="J464" i="2"/>
  <c r="K464" i="2"/>
  <c r="D428" i="2"/>
  <c r="E428" i="2"/>
  <c r="F428" i="2"/>
  <c r="G428" i="2"/>
  <c r="H428" i="2"/>
  <c r="I428" i="2"/>
  <c r="J428" i="2"/>
  <c r="K428" i="2"/>
  <c r="D320" i="2"/>
  <c r="E320" i="2"/>
  <c r="F320" i="2"/>
  <c r="G320" i="2"/>
  <c r="H320" i="2"/>
  <c r="I320" i="2"/>
  <c r="J320" i="2"/>
  <c r="D284" i="2"/>
  <c r="E284" i="2"/>
  <c r="F284" i="2"/>
  <c r="G284" i="2"/>
  <c r="H284" i="2"/>
  <c r="I284" i="2"/>
  <c r="J284" i="2"/>
  <c r="K284" i="2"/>
  <c r="Y356" i="2" l="1"/>
  <c r="Y428" i="2"/>
  <c r="Y392" i="2"/>
  <c r="Y464" i="2"/>
  <c r="Y284" i="2"/>
  <c r="Y320" i="2"/>
  <c r="Z47" i="2" l="1"/>
  <c r="Z63" i="2"/>
  <c r="Z48" i="2"/>
  <c r="Z49" i="2"/>
  <c r="Z64" i="2"/>
  <c r="Z50" i="2"/>
  <c r="Z58" i="2"/>
  <c r="Z51" i="2"/>
  <c r="Z67" i="2"/>
  <c r="Z52" i="2"/>
  <c r="Z68" i="2"/>
  <c r="Z53" i="2"/>
  <c r="Z38" i="2"/>
  <c r="Z66" i="2"/>
  <c r="Z39" i="2"/>
  <c r="Z55" i="2"/>
  <c r="Z40" i="2"/>
  <c r="Z56" i="2"/>
  <c r="Z41" i="2"/>
  <c r="Z57" i="2"/>
  <c r="Z46" i="2"/>
  <c r="Z42" i="2"/>
  <c r="Z59" i="2"/>
  <c r="Z61" i="2"/>
  <c r="Z44" i="2"/>
  <c r="Z62" i="2"/>
  <c r="Z43" i="2"/>
  <c r="Z60" i="2"/>
  <c r="Z54" i="2"/>
  <c r="Z45" i="2"/>
  <c r="Z148" i="2"/>
  <c r="Z164" i="2"/>
  <c r="Z155" i="2"/>
  <c r="Z157" i="2"/>
  <c r="Z172" i="2"/>
  <c r="Z171" i="2"/>
  <c r="Z162" i="2"/>
  <c r="Z147" i="2"/>
  <c r="Z156" i="2"/>
  <c r="Z149" i="2"/>
  <c r="Z165" i="2"/>
  <c r="Z151" i="2"/>
  <c r="Z154" i="2"/>
  <c r="Z170" i="2"/>
  <c r="Z175" i="2"/>
  <c r="Z160" i="2"/>
  <c r="Z153" i="2"/>
  <c r="Z163" i="2"/>
  <c r="Z174" i="2"/>
  <c r="Z168" i="2"/>
  <c r="Z161" i="2"/>
  <c r="Z150" i="2"/>
  <c r="Z159" i="2"/>
  <c r="Z176" i="2"/>
  <c r="Z169" i="2"/>
  <c r="Z158" i="2"/>
  <c r="Z152" i="2"/>
  <c r="Z167" i="2"/>
  <c r="Z146" i="2"/>
  <c r="Z166" i="2"/>
  <c r="Z223" i="2"/>
  <c r="Z239" i="2"/>
  <c r="Z238" i="2"/>
  <c r="Z232" i="2"/>
  <c r="Z248" i="2"/>
  <c r="Z225" i="2"/>
  <c r="Z241" i="2"/>
  <c r="Z234" i="2"/>
  <c r="Z227" i="2"/>
  <c r="Z243" i="2"/>
  <c r="Z220" i="2"/>
  <c r="Z236" i="2"/>
  <c r="Z230" i="2"/>
  <c r="Z229" i="2"/>
  <c r="Z244" i="2"/>
  <c r="Z246" i="2"/>
  <c r="Z231" i="2"/>
  <c r="Z247" i="2"/>
  <c r="Z224" i="2"/>
  <c r="Z240" i="2"/>
  <c r="Z242" i="2"/>
  <c r="Z233" i="2"/>
  <c r="Z218" i="2"/>
  <c r="Z235" i="2"/>
  <c r="Z221" i="2"/>
  <c r="Z226" i="2"/>
  <c r="Z237" i="2"/>
  <c r="Z228" i="2"/>
  <c r="Z222" i="2"/>
  <c r="Z219" i="2"/>
  <c r="Z89" i="2"/>
  <c r="Z74" i="2"/>
  <c r="Z78" i="2"/>
  <c r="Z94" i="2"/>
  <c r="Z92" i="2"/>
  <c r="Z83" i="2"/>
  <c r="Z99" i="2"/>
  <c r="Z77" i="2"/>
  <c r="Z93" i="2"/>
  <c r="Z76" i="2"/>
  <c r="Z82" i="2"/>
  <c r="Z98" i="2"/>
  <c r="Z104" i="2"/>
  <c r="Z87" i="2"/>
  <c r="Z103" i="2"/>
  <c r="Z81" i="2"/>
  <c r="Z97" i="2"/>
  <c r="Z88" i="2"/>
  <c r="Z86" i="2"/>
  <c r="Z102" i="2"/>
  <c r="Z75" i="2"/>
  <c r="Z91" i="2"/>
  <c r="Z84" i="2"/>
  <c r="Z95" i="2"/>
  <c r="Z90" i="2"/>
  <c r="Z96" i="2"/>
  <c r="Z85" i="2"/>
  <c r="Z80" i="2"/>
  <c r="Z100" i="2"/>
  <c r="Z79" i="2"/>
  <c r="Z185" i="2"/>
  <c r="Z201" i="2"/>
  <c r="Z194" i="2"/>
  <c r="Z210" i="2"/>
  <c r="Z195" i="2"/>
  <c r="Z211" i="2"/>
  <c r="Z196" i="2"/>
  <c r="Z212" i="2"/>
  <c r="Z189" i="2"/>
  <c r="Z208" i="2"/>
  <c r="Z198" i="2"/>
  <c r="Z183" i="2"/>
  <c r="Z199" i="2"/>
  <c r="Z184" i="2"/>
  <c r="Z200" i="2"/>
  <c r="Z205" i="2"/>
  <c r="Z193" i="2"/>
  <c r="Z186" i="2"/>
  <c r="Z202" i="2"/>
  <c r="Z187" i="2"/>
  <c r="Z203" i="2"/>
  <c r="Z188" i="2"/>
  <c r="Z204" i="2"/>
  <c r="Z182" i="2"/>
  <c r="Z190" i="2"/>
  <c r="Z192" i="2"/>
  <c r="Z206" i="2"/>
  <c r="Z191" i="2"/>
  <c r="Z197" i="2"/>
  <c r="Z207" i="2"/>
  <c r="Z120" i="2"/>
  <c r="Z113" i="2"/>
  <c r="Z129" i="2"/>
  <c r="Z111" i="2"/>
  <c r="Z114" i="2"/>
  <c r="Z130" i="2"/>
  <c r="Z131" i="2"/>
  <c r="Z124" i="2"/>
  <c r="Z112" i="2"/>
  <c r="Z128" i="2"/>
  <c r="Z119" i="2"/>
  <c r="Z121" i="2"/>
  <c r="Z136" i="2"/>
  <c r="Z127" i="2"/>
  <c r="Z122" i="2"/>
  <c r="Z138" i="2"/>
  <c r="Z140" i="2"/>
  <c r="Z133" i="2"/>
  <c r="Z118" i="2"/>
  <c r="Z135" i="2"/>
  <c r="Z110" i="2"/>
  <c r="Z126" i="2"/>
  <c r="Z116" i="2"/>
  <c r="Z117" i="2"/>
  <c r="Z123" i="2"/>
  <c r="Z134" i="2"/>
  <c r="Z132" i="2"/>
  <c r="Z125" i="2"/>
  <c r="Z139" i="2"/>
  <c r="Z115" i="2"/>
  <c r="E1003" i="2"/>
  <c r="F1003" i="2"/>
  <c r="G1003" i="2"/>
  <c r="H1003" i="2"/>
  <c r="I1003" i="2"/>
  <c r="J1003" i="2"/>
  <c r="K1003" i="2"/>
  <c r="D1003" i="2"/>
  <c r="E967" i="2"/>
  <c r="F967" i="2"/>
  <c r="G967" i="2"/>
  <c r="H967" i="2"/>
  <c r="I967" i="2"/>
  <c r="J967" i="2"/>
  <c r="K967" i="2"/>
  <c r="D967" i="2"/>
  <c r="E931" i="2"/>
  <c r="F931" i="2"/>
  <c r="G931" i="2"/>
  <c r="H931" i="2"/>
  <c r="I931" i="2"/>
  <c r="J931" i="2"/>
  <c r="K931" i="2"/>
  <c r="D931" i="2"/>
  <c r="E895" i="2"/>
  <c r="F895" i="2"/>
  <c r="G895" i="2"/>
  <c r="H895" i="2"/>
  <c r="I895" i="2"/>
  <c r="J895" i="2"/>
  <c r="K895" i="2"/>
  <c r="D895" i="2"/>
  <c r="E859" i="2"/>
  <c r="F859" i="2"/>
  <c r="G859" i="2"/>
  <c r="H859" i="2"/>
  <c r="I859" i="2"/>
  <c r="J859" i="2"/>
  <c r="K859" i="2"/>
  <c r="D859" i="2"/>
  <c r="E823" i="2"/>
  <c r="F823" i="2"/>
  <c r="G823" i="2"/>
  <c r="H823" i="2"/>
  <c r="I823" i="2"/>
  <c r="J823" i="2"/>
  <c r="K823" i="2"/>
  <c r="D823" i="2"/>
  <c r="E787" i="2"/>
  <c r="F787" i="2"/>
  <c r="G787" i="2"/>
  <c r="H787" i="2"/>
  <c r="I787" i="2"/>
  <c r="J787" i="2"/>
  <c r="K787" i="2"/>
  <c r="D787" i="2"/>
  <c r="E751" i="2"/>
  <c r="F751" i="2"/>
  <c r="G751" i="2"/>
  <c r="H751" i="2"/>
  <c r="I751" i="2"/>
  <c r="J751" i="2"/>
  <c r="K751" i="2"/>
  <c r="D751" i="2"/>
  <c r="E715" i="2"/>
  <c r="F715" i="2"/>
  <c r="G715" i="2"/>
  <c r="H715" i="2"/>
  <c r="I715" i="2"/>
  <c r="J715" i="2"/>
  <c r="K715" i="2"/>
  <c r="D715" i="2"/>
  <c r="E679" i="2"/>
  <c r="F679" i="2"/>
  <c r="G679" i="2"/>
  <c r="H679" i="2"/>
  <c r="I679" i="2"/>
  <c r="J679" i="2"/>
  <c r="K679" i="2"/>
  <c r="D679" i="2"/>
  <c r="E643" i="2"/>
  <c r="F643" i="2"/>
  <c r="G643" i="2"/>
  <c r="H643" i="2"/>
  <c r="I643" i="2"/>
  <c r="J643" i="2"/>
  <c r="K643" i="2"/>
  <c r="D643" i="2"/>
  <c r="E607" i="2"/>
  <c r="F607" i="2"/>
  <c r="G607" i="2"/>
  <c r="H607" i="2"/>
  <c r="I607" i="2"/>
  <c r="J607" i="2"/>
  <c r="K607" i="2"/>
  <c r="D607" i="2"/>
  <c r="E571" i="2"/>
  <c r="F571" i="2"/>
  <c r="G571" i="2"/>
  <c r="H571" i="2"/>
  <c r="I571" i="2"/>
  <c r="J571" i="2"/>
  <c r="K571" i="2"/>
  <c r="D571" i="2"/>
  <c r="E535" i="2"/>
  <c r="F535" i="2"/>
  <c r="G535" i="2"/>
  <c r="H535" i="2"/>
  <c r="I535" i="2"/>
  <c r="J535" i="2"/>
  <c r="K535" i="2"/>
  <c r="D535" i="2"/>
  <c r="E499" i="2"/>
  <c r="F499" i="2"/>
  <c r="G499" i="2"/>
  <c r="H499" i="2"/>
  <c r="I499" i="2"/>
  <c r="J499" i="2"/>
  <c r="K499" i="2"/>
  <c r="D499" i="2"/>
  <c r="E463" i="2"/>
  <c r="F463" i="2"/>
  <c r="G463" i="2"/>
  <c r="H463" i="2"/>
  <c r="I463" i="2"/>
  <c r="J463" i="2"/>
  <c r="K463" i="2"/>
  <c r="D463" i="2"/>
  <c r="E427" i="2"/>
  <c r="F427" i="2"/>
  <c r="G427" i="2"/>
  <c r="H427" i="2"/>
  <c r="I427" i="2"/>
  <c r="J427" i="2"/>
  <c r="K427" i="2"/>
  <c r="D427" i="2"/>
  <c r="E391" i="2"/>
  <c r="F391" i="2"/>
  <c r="G391" i="2"/>
  <c r="H391" i="2"/>
  <c r="I391" i="2"/>
  <c r="J391" i="2"/>
  <c r="K391" i="2"/>
  <c r="D391" i="2"/>
  <c r="E355" i="2"/>
  <c r="F355" i="2"/>
  <c r="G355" i="2"/>
  <c r="H355" i="2"/>
  <c r="I355" i="2"/>
  <c r="J355" i="2"/>
  <c r="K355" i="2"/>
  <c r="D355" i="2"/>
  <c r="E319" i="2"/>
  <c r="F319" i="2"/>
  <c r="G319" i="2"/>
  <c r="H319" i="2"/>
  <c r="I319" i="2"/>
  <c r="J319" i="2"/>
  <c r="D319" i="2"/>
  <c r="E283" i="2"/>
  <c r="F283" i="2"/>
  <c r="G283" i="2"/>
  <c r="H283" i="2"/>
  <c r="I283" i="2"/>
  <c r="J283" i="2"/>
  <c r="K283" i="2"/>
  <c r="D283" i="2"/>
  <c r="D254" i="2"/>
  <c r="E254" i="2"/>
  <c r="F254" i="2"/>
  <c r="G254" i="2"/>
  <c r="H254" i="2"/>
  <c r="I254" i="2"/>
  <c r="J254" i="2"/>
  <c r="K254" i="2"/>
  <c r="D255" i="2"/>
  <c r="E255" i="2"/>
  <c r="F255" i="2"/>
  <c r="G255" i="2"/>
  <c r="H255" i="2"/>
  <c r="I255" i="2"/>
  <c r="J255" i="2"/>
  <c r="K255" i="2"/>
  <c r="Y355" i="2" l="1"/>
  <c r="Y499" i="2"/>
  <c r="Y535" i="2"/>
  <c r="Y571" i="2"/>
  <c r="Y607" i="2"/>
  <c r="Y643" i="2"/>
  <c r="Y679" i="2"/>
  <c r="Y715" i="2"/>
  <c r="Y751" i="2"/>
  <c r="Y787" i="2"/>
  <c r="Y823" i="2"/>
  <c r="Y859" i="2"/>
  <c r="Y895" i="2"/>
  <c r="Y931" i="2"/>
  <c r="Y967" i="2"/>
  <c r="Y1003" i="2"/>
  <c r="Y255" i="2"/>
  <c r="Y254" i="2"/>
  <c r="Y391" i="2"/>
  <c r="Y427" i="2"/>
  <c r="Y463" i="2"/>
  <c r="Y283" i="2"/>
  <c r="Y319" i="2"/>
  <c r="K1002" i="2"/>
  <c r="J1002" i="2"/>
  <c r="I1002" i="2"/>
  <c r="H1002" i="2"/>
  <c r="G1002" i="2"/>
  <c r="F1002" i="2"/>
  <c r="E1002" i="2"/>
  <c r="D1002" i="2"/>
  <c r="K1000" i="2"/>
  <c r="J1000" i="2"/>
  <c r="I1000" i="2"/>
  <c r="H1000" i="2"/>
  <c r="G1000" i="2"/>
  <c r="F1000" i="2"/>
  <c r="E1000" i="2"/>
  <c r="D1000" i="2"/>
  <c r="K999" i="2"/>
  <c r="J999" i="2"/>
  <c r="I999" i="2"/>
  <c r="H999" i="2"/>
  <c r="G999" i="2"/>
  <c r="F999" i="2"/>
  <c r="E999" i="2"/>
  <c r="D999" i="2"/>
  <c r="K998" i="2"/>
  <c r="J998" i="2"/>
  <c r="I998" i="2"/>
  <c r="H998" i="2"/>
  <c r="G998" i="2"/>
  <c r="F998" i="2"/>
  <c r="E998" i="2"/>
  <c r="D998" i="2"/>
  <c r="K997" i="2"/>
  <c r="J997" i="2"/>
  <c r="I997" i="2"/>
  <c r="H997" i="2"/>
  <c r="G997" i="2"/>
  <c r="F997" i="2"/>
  <c r="E997" i="2"/>
  <c r="D997" i="2"/>
  <c r="K996" i="2"/>
  <c r="J996" i="2"/>
  <c r="I996" i="2"/>
  <c r="H996" i="2"/>
  <c r="G996" i="2"/>
  <c r="F996" i="2"/>
  <c r="E996" i="2"/>
  <c r="D996" i="2"/>
  <c r="K995" i="2"/>
  <c r="J995" i="2"/>
  <c r="I995" i="2"/>
  <c r="H995" i="2"/>
  <c r="G995" i="2"/>
  <c r="F995" i="2"/>
  <c r="E995" i="2"/>
  <c r="D995" i="2"/>
  <c r="K994" i="2"/>
  <c r="J994" i="2"/>
  <c r="I994" i="2"/>
  <c r="H994" i="2"/>
  <c r="G994" i="2"/>
  <c r="F994" i="2"/>
  <c r="E994" i="2"/>
  <c r="D994" i="2"/>
  <c r="K993" i="2"/>
  <c r="J993" i="2"/>
  <c r="I993" i="2"/>
  <c r="H993" i="2"/>
  <c r="G993" i="2"/>
  <c r="F993" i="2"/>
  <c r="E993" i="2"/>
  <c r="D993" i="2"/>
  <c r="K992" i="2"/>
  <c r="J992" i="2"/>
  <c r="I992" i="2"/>
  <c r="H992" i="2"/>
  <c r="G992" i="2"/>
  <c r="F992" i="2"/>
  <c r="E992" i="2"/>
  <c r="D992" i="2"/>
  <c r="K991" i="2"/>
  <c r="J991" i="2"/>
  <c r="I991" i="2"/>
  <c r="H991" i="2"/>
  <c r="G991" i="2"/>
  <c r="F991" i="2"/>
  <c r="E991" i="2"/>
  <c r="D991" i="2"/>
  <c r="K990" i="2"/>
  <c r="J990" i="2"/>
  <c r="I990" i="2"/>
  <c r="H990" i="2"/>
  <c r="G990" i="2"/>
  <c r="F990" i="2"/>
  <c r="E990" i="2"/>
  <c r="D990" i="2"/>
  <c r="K989" i="2"/>
  <c r="J989" i="2"/>
  <c r="I989" i="2"/>
  <c r="H989" i="2"/>
  <c r="G989" i="2"/>
  <c r="F989" i="2"/>
  <c r="E989" i="2"/>
  <c r="D989" i="2"/>
  <c r="K988" i="2"/>
  <c r="J988" i="2"/>
  <c r="I988" i="2"/>
  <c r="H988" i="2"/>
  <c r="G988" i="2"/>
  <c r="F988" i="2"/>
  <c r="E988" i="2"/>
  <c r="D988" i="2"/>
  <c r="K987" i="2"/>
  <c r="J987" i="2"/>
  <c r="I987" i="2"/>
  <c r="H987" i="2"/>
  <c r="G987" i="2"/>
  <c r="F987" i="2"/>
  <c r="E987" i="2"/>
  <c r="D987" i="2"/>
  <c r="K986" i="2"/>
  <c r="J986" i="2"/>
  <c r="I986" i="2"/>
  <c r="H986" i="2"/>
  <c r="G986" i="2"/>
  <c r="F986" i="2"/>
  <c r="E986" i="2"/>
  <c r="D986" i="2"/>
  <c r="K985" i="2"/>
  <c r="J985" i="2"/>
  <c r="I985" i="2"/>
  <c r="H985" i="2"/>
  <c r="G985" i="2"/>
  <c r="F985" i="2"/>
  <c r="E985" i="2"/>
  <c r="D985" i="2"/>
  <c r="K984" i="2"/>
  <c r="J984" i="2"/>
  <c r="I984" i="2"/>
  <c r="H984" i="2"/>
  <c r="G984" i="2"/>
  <c r="F984" i="2"/>
  <c r="E984" i="2"/>
  <c r="D984" i="2"/>
  <c r="K983" i="2"/>
  <c r="J983" i="2"/>
  <c r="I983" i="2"/>
  <c r="H983" i="2"/>
  <c r="G983" i="2"/>
  <c r="F983" i="2"/>
  <c r="E983" i="2"/>
  <c r="D983" i="2"/>
  <c r="K982" i="2"/>
  <c r="J982" i="2"/>
  <c r="I982" i="2"/>
  <c r="H982" i="2"/>
  <c r="G982" i="2"/>
  <c r="F982" i="2"/>
  <c r="E982" i="2"/>
  <c r="D982" i="2"/>
  <c r="K981" i="2"/>
  <c r="J981" i="2"/>
  <c r="I981" i="2"/>
  <c r="H981" i="2"/>
  <c r="G981" i="2"/>
  <c r="F981" i="2"/>
  <c r="E981" i="2"/>
  <c r="D981" i="2"/>
  <c r="K980" i="2"/>
  <c r="J980" i="2"/>
  <c r="I980" i="2"/>
  <c r="H980" i="2"/>
  <c r="G980" i="2"/>
  <c r="F980" i="2"/>
  <c r="E980" i="2"/>
  <c r="D980" i="2"/>
  <c r="K979" i="2"/>
  <c r="J979" i="2"/>
  <c r="I979" i="2"/>
  <c r="H979" i="2"/>
  <c r="G979" i="2"/>
  <c r="F979" i="2"/>
  <c r="E979" i="2"/>
  <c r="D979" i="2"/>
  <c r="K978" i="2"/>
  <c r="J978" i="2"/>
  <c r="I978" i="2"/>
  <c r="H978" i="2"/>
  <c r="G978" i="2"/>
  <c r="F978" i="2"/>
  <c r="E978" i="2"/>
  <c r="D978" i="2"/>
  <c r="K977" i="2"/>
  <c r="J977" i="2"/>
  <c r="I977" i="2"/>
  <c r="H977" i="2"/>
  <c r="G977" i="2"/>
  <c r="F977" i="2"/>
  <c r="E977" i="2"/>
  <c r="D977" i="2"/>
  <c r="K976" i="2"/>
  <c r="J976" i="2"/>
  <c r="I976" i="2"/>
  <c r="H976" i="2"/>
  <c r="G976" i="2"/>
  <c r="F976" i="2"/>
  <c r="E976" i="2"/>
  <c r="D976" i="2"/>
  <c r="K975" i="2"/>
  <c r="J975" i="2"/>
  <c r="I975" i="2"/>
  <c r="H975" i="2"/>
  <c r="G975" i="2"/>
  <c r="F975" i="2"/>
  <c r="E975" i="2"/>
  <c r="D975" i="2"/>
  <c r="K974" i="2"/>
  <c r="K1006" i="2" s="1"/>
  <c r="J974" i="2"/>
  <c r="J1006" i="2" s="1"/>
  <c r="I974" i="2"/>
  <c r="I1006" i="2" s="1"/>
  <c r="H974" i="2"/>
  <c r="H1006" i="2" s="1"/>
  <c r="G974" i="2"/>
  <c r="G1006" i="2" s="1"/>
  <c r="F974" i="2"/>
  <c r="F1006" i="2" s="1"/>
  <c r="E974" i="2"/>
  <c r="E1006" i="2" s="1"/>
  <c r="D974" i="2"/>
  <c r="K966" i="2"/>
  <c r="J966" i="2"/>
  <c r="I966" i="2"/>
  <c r="H966" i="2"/>
  <c r="G966" i="2"/>
  <c r="F966" i="2"/>
  <c r="E966" i="2"/>
  <c r="D966" i="2"/>
  <c r="K964" i="2"/>
  <c r="J964" i="2"/>
  <c r="I964" i="2"/>
  <c r="H964" i="2"/>
  <c r="G964" i="2"/>
  <c r="F964" i="2"/>
  <c r="E964" i="2"/>
  <c r="D964" i="2"/>
  <c r="K963" i="2"/>
  <c r="J963" i="2"/>
  <c r="I963" i="2"/>
  <c r="H963" i="2"/>
  <c r="G963" i="2"/>
  <c r="F963" i="2"/>
  <c r="E963" i="2"/>
  <c r="D963" i="2"/>
  <c r="K962" i="2"/>
  <c r="J962" i="2"/>
  <c r="I962" i="2"/>
  <c r="H962" i="2"/>
  <c r="G962" i="2"/>
  <c r="F962" i="2"/>
  <c r="E962" i="2"/>
  <c r="D962" i="2"/>
  <c r="K961" i="2"/>
  <c r="J961" i="2"/>
  <c r="I961" i="2"/>
  <c r="H961" i="2"/>
  <c r="G961" i="2"/>
  <c r="F961" i="2"/>
  <c r="E961" i="2"/>
  <c r="D961" i="2"/>
  <c r="K960" i="2"/>
  <c r="J960" i="2"/>
  <c r="I960" i="2"/>
  <c r="H960" i="2"/>
  <c r="G960" i="2"/>
  <c r="F960" i="2"/>
  <c r="E960" i="2"/>
  <c r="D960" i="2"/>
  <c r="K959" i="2"/>
  <c r="J959" i="2"/>
  <c r="I959" i="2"/>
  <c r="H959" i="2"/>
  <c r="G959" i="2"/>
  <c r="F959" i="2"/>
  <c r="E959" i="2"/>
  <c r="D959" i="2"/>
  <c r="K958" i="2"/>
  <c r="J958" i="2"/>
  <c r="I958" i="2"/>
  <c r="H958" i="2"/>
  <c r="G958" i="2"/>
  <c r="F958" i="2"/>
  <c r="E958" i="2"/>
  <c r="D958" i="2"/>
  <c r="K957" i="2"/>
  <c r="J957" i="2"/>
  <c r="I957" i="2"/>
  <c r="H957" i="2"/>
  <c r="G957" i="2"/>
  <c r="F957" i="2"/>
  <c r="E957" i="2"/>
  <c r="D957" i="2"/>
  <c r="K956" i="2"/>
  <c r="J956" i="2"/>
  <c r="I956" i="2"/>
  <c r="H956" i="2"/>
  <c r="G956" i="2"/>
  <c r="F956" i="2"/>
  <c r="E956" i="2"/>
  <c r="D956" i="2"/>
  <c r="K955" i="2"/>
  <c r="J955" i="2"/>
  <c r="I955" i="2"/>
  <c r="H955" i="2"/>
  <c r="G955" i="2"/>
  <c r="F955" i="2"/>
  <c r="E955" i="2"/>
  <c r="D955" i="2"/>
  <c r="K954" i="2"/>
  <c r="J954" i="2"/>
  <c r="I954" i="2"/>
  <c r="H954" i="2"/>
  <c r="G954" i="2"/>
  <c r="F954" i="2"/>
  <c r="E954" i="2"/>
  <c r="D954" i="2"/>
  <c r="K953" i="2"/>
  <c r="J953" i="2"/>
  <c r="I953" i="2"/>
  <c r="H953" i="2"/>
  <c r="G953" i="2"/>
  <c r="F953" i="2"/>
  <c r="E953" i="2"/>
  <c r="D953" i="2"/>
  <c r="K952" i="2"/>
  <c r="J952" i="2"/>
  <c r="I952" i="2"/>
  <c r="H952" i="2"/>
  <c r="G952" i="2"/>
  <c r="F952" i="2"/>
  <c r="E952" i="2"/>
  <c r="D952" i="2"/>
  <c r="K951" i="2"/>
  <c r="J951" i="2"/>
  <c r="I951" i="2"/>
  <c r="H951" i="2"/>
  <c r="G951" i="2"/>
  <c r="F951" i="2"/>
  <c r="E951" i="2"/>
  <c r="D951" i="2"/>
  <c r="K950" i="2"/>
  <c r="J950" i="2"/>
  <c r="I950" i="2"/>
  <c r="H950" i="2"/>
  <c r="G950" i="2"/>
  <c r="F950" i="2"/>
  <c r="E950" i="2"/>
  <c r="D950" i="2"/>
  <c r="K949" i="2"/>
  <c r="J949" i="2"/>
  <c r="I949" i="2"/>
  <c r="H949" i="2"/>
  <c r="G949" i="2"/>
  <c r="F949" i="2"/>
  <c r="E949" i="2"/>
  <c r="D949" i="2"/>
  <c r="K948" i="2"/>
  <c r="J948" i="2"/>
  <c r="I948" i="2"/>
  <c r="H948" i="2"/>
  <c r="G948" i="2"/>
  <c r="F948" i="2"/>
  <c r="E948" i="2"/>
  <c r="D948" i="2"/>
  <c r="K947" i="2"/>
  <c r="J947" i="2"/>
  <c r="I947" i="2"/>
  <c r="H947" i="2"/>
  <c r="G947" i="2"/>
  <c r="F947" i="2"/>
  <c r="E947" i="2"/>
  <c r="D947" i="2"/>
  <c r="K946" i="2"/>
  <c r="J946" i="2"/>
  <c r="I946" i="2"/>
  <c r="H946" i="2"/>
  <c r="G946" i="2"/>
  <c r="F946" i="2"/>
  <c r="E946" i="2"/>
  <c r="D946" i="2"/>
  <c r="K945" i="2"/>
  <c r="J945" i="2"/>
  <c r="I945" i="2"/>
  <c r="H945" i="2"/>
  <c r="G945" i="2"/>
  <c r="F945" i="2"/>
  <c r="E945" i="2"/>
  <c r="D945" i="2"/>
  <c r="K944" i="2"/>
  <c r="J944" i="2"/>
  <c r="I944" i="2"/>
  <c r="H944" i="2"/>
  <c r="G944" i="2"/>
  <c r="F944" i="2"/>
  <c r="E944" i="2"/>
  <c r="D944" i="2"/>
  <c r="K943" i="2"/>
  <c r="J943" i="2"/>
  <c r="I943" i="2"/>
  <c r="H943" i="2"/>
  <c r="G943" i="2"/>
  <c r="F943" i="2"/>
  <c r="E943" i="2"/>
  <c r="D943" i="2"/>
  <c r="K942" i="2"/>
  <c r="J942" i="2"/>
  <c r="I942" i="2"/>
  <c r="H942" i="2"/>
  <c r="G942" i="2"/>
  <c r="F942" i="2"/>
  <c r="E942" i="2"/>
  <c r="D942" i="2"/>
  <c r="K941" i="2"/>
  <c r="J941" i="2"/>
  <c r="I941" i="2"/>
  <c r="H941" i="2"/>
  <c r="G941" i="2"/>
  <c r="F941" i="2"/>
  <c r="E941" i="2"/>
  <c r="D941" i="2"/>
  <c r="K940" i="2"/>
  <c r="J940" i="2"/>
  <c r="I940" i="2"/>
  <c r="H940" i="2"/>
  <c r="G940" i="2"/>
  <c r="F940" i="2"/>
  <c r="E940" i="2"/>
  <c r="D940" i="2"/>
  <c r="K939" i="2"/>
  <c r="J939" i="2"/>
  <c r="I939" i="2"/>
  <c r="H939" i="2"/>
  <c r="G939" i="2"/>
  <c r="F939" i="2"/>
  <c r="E939" i="2"/>
  <c r="D939" i="2"/>
  <c r="K938" i="2"/>
  <c r="K970" i="2" s="1"/>
  <c r="J938" i="2"/>
  <c r="J970" i="2" s="1"/>
  <c r="I938" i="2"/>
  <c r="I970" i="2" s="1"/>
  <c r="H938" i="2"/>
  <c r="H970" i="2" s="1"/>
  <c r="G938" i="2"/>
  <c r="G970" i="2" s="1"/>
  <c r="F938" i="2"/>
  <c r="F970" i="2" s="1"/>
  <c r="E938" i="2"/>
  <c r="E970" i="2" s="1"/>
  <c r="D938" i="2"/>
  <c r="D970" i="2" s="1"/>
  <c r="K930" i="2"/>
  <c r="J930" i="2"/>
  <c r="I930" i="2"/>
  <c r="H930" i="2"/>
  <c r="G930" i="2"/>
  <c r="F930" i="2"/>
  <c r="E930" i="2"/>
  <c r="D930" i="2"/>
  <c r="K928" i="2"/>
  <c r="J928" i="2"/>
  <c r="I928" i="2"/>
  <c r="H928" i="2"/>
  <c r="G928" i="2"/>
  <c r="F928" i="2"/>
  <c r="E928" i="2"/>
  <c r="D928" i="2"/>
  <c r="K927" i="2"/>
  <c r="J927" i="2"/>
  <c r="I927" i="2"/>
  <c r="H927" i="2"/>
  <c r="G927" i="2"/>
  <c r="F927" i="2"/>
  <c r="E927" i="2"/>
  <c r="D927" i="2"/>
  <c r="K926" i="2"/>
  <c r="J926" i="2"/>
  <c r="I926" i="2"/>
  <c r="H926" i="2"/>
  <c r="G926" i="2"/>
  <c r="F926" i="2"/>
  <c r="E926" i="2"/>
  <c r="D926" i="2"/>
  <c r="K925" i="2"/>
  <c r="J925" i="2"/>
  <c r="I925" i="2"/>
  <c r="H925" i="2"/>
  <c r="G925" i="2"/>
  <c r="F925" i="2"/>
  <c r="E925" i="2"/>
  <c r="D925" i="2"/>
  <c r="K924" i="2"/>
  <c r="J924" i="2"/>
  <c r="I924" i="2"/>
  <c r="H924" i="2"/>
  <c r="G924" i="2"/>
  <c r="F924" i="2"/>
  <c r="E924" i="2"/>
  <c r="D924" i="2"/>
  <c r="K923" i="2"/>
  <c r="J923" i="2"/>
  <c r="I923" i="2"/>
  <c r="H923" i="2"/>
  <c r="G923" i="2"/>
  <c r="F923" i="2"/>
  <c r="E923" i="2"/>
  <c r="D923" i="2"/>
  <c r="K922" i="2"/>
  <c r="J922" i="2"/>
  <c r="I922" i="2"/>
  <c r="H922" i="2"/>
  <c r="G922" i="2"/>
  <c r="F922" i="2"/>
  <c r="E922" i="2"/>
  <c r="D922" i="2"/>
  <c r="K921" i="2"/>
  <c r="J921" i="2"/>
  <c r="I921" i="2"/>
  <c r="H921" i="2"/>
  <c r="G921" i="2"/>
  <c r="F921" i="2"/>
  <c r="E921" i="2"/>
  <c r="D921" i="2"/>
  <c r="K920" i="2"/>
  <c r="J920" i="2"/>
  <c r="I920" i="2"/>
  <c r="H920" i="2"/>
  <c r="G920" i="2"/>
  <c r="F920" i="2"/>
  <c r="E920" i="2"/>
  <c r="D920" i="2"/>
  <c r="K919" i="2"/>
  <c r="J919" i="2"/>
  <c r="I919" i="2"/>
  <c r="H919" i="2"/>
  <c r="G919" i="2"/>
  <c r="F919" i="2"/>
  <c r="E919" i="2"/>
  <c r="D919" i="2"/>
  <c r="K918" i="2"/>
  <c r="J918" i="2"/>
  <c r="I918" i="2"/>
  <c r="H918" i="2"/>
  <c r="G918" i="2"/>
  <c r="F918" i="2"/>
  <c r="E918" i="2"/>
  <c r="D918" i="2"/>
  <c r="K917" i="2"/>
  <c r="J917" i="2"/>
  <c r="I917" i="2"/>
  <c r="H917" i="2"/>
  <c r="G917" i="2"/>
  <c r="F917" i="2"/>
  <c r="E917" i="2"/>
  <c r="D917" i="2"/>
  <c r="K916" i="2"/>
  <c r="J916" i="2"/>
  <c r="I916" i="2"/>
  <c r="H916" i="2"/>
  <c r="G916" i="2"/>
  <c r="F916" i="2"/>
  <c r="E916" i="2"/>
  <c r="D916" i="2"/>
  <c r="K915" i="2"/>
  <c r="J915" i="2"/>
  <c r="I915" i="2"/>
  <c r="H915" i="2"/>
  <c r="G915" i="2"/>
  <c r="F915" i="2"/>
  <c r="E915" i="2"/>
  <c r="D915" i="2"/>
  <c r="K914" i="2"/>
  <c r="J914" i="2"/>
  <c r="I914" i="2"/>
  <c r="H914" i="2"/>
  <c r="G914" i="2"/>
  <c r="F914" i="2"/>
  <c r="E914" i="2"/>
  <c r="D914" i="2"/>
  <c r="K913" i="2"/>
  <c r="J913" i="2"/>
  <c r="I913" i="2"/>
  <c r="H913" i="2"/>
  <c r="G913" i="2"/>
  <c r="F913" i="2"/>
  <c r="E913" i="2"/>
  <c r="D913" i="2"/>
  <c r="K912" i="2"/>
  <c r="J912" i="2"/>
  <c r="I912" i="2"/>
  <c r="H912" i="2"/>
  <c r="G912" i="2"/>
  <c r="F912" i="2"/>
  <c r="E912" i="2"/>
  <c r="D912" i="2"/>
  <c r="K911" i="2"/>
  <c r="J911" i="2"/>
  <c r="I911" i="2"/>
  <c r="H911" i="2"/>
  <c r="G911" i="2"/>
  <c r="F911" i="2"/>
  <c r="E911" i="2"/>
  <c r="D911" i="2"/>
  <c r="K910" i="2"/>
  <c r="J910" i="2"/>
  <c r="I910" i="2"/>
  <c r="H910" i="2"/>
  <c r="G910" i="2"/>
  <c r="F910" i="2"/>
  <c r="E910" i="2"/>
  <c r="D910" i="2"/>
  <c r="K909" i="2"/>
  <c r="J909" i="2"/>
  <c r="I909" i="2"/>
  <c r="H909" i="2"/>
  <c r="G909" i="2"/>
  <c r="F909" i="2"/>
  <c r="E909" i="2"/>
  <c r="D909" i="2"/>
  <c r="K908" i="2"/>
  <c r="J908" i="2"/>
  <c r="I908" i="2"/>
  <c r="H908" i="2"/>
  <c r="G908" i="2"/>
  <c r="F908" i="2"/>
  <c r="E908" i="2"/>
  <c r="D908" i="2"/>
  <c r="K907" i="2"/>
  <c r="J907" i="2"/>
  <c r="I907" i="2"/>
  <c r="H907" i="2"/>
  <c r="G907" i="2"/>
  <c r="F907" i="2"/>
  <c r="E907" i="2"/>
  <c r="D907" i="2"/>
  <c r="K906" i="2"/>
  <c r="J906" i="2"/>
  <c r="I906" i="2"/>
  <c r="H906" i="2"/>
  <c r="G906" i="2"/>
  <c r="F906" i="2"/>
  <c r="E906" i="2"/>
  <c r="D906" i="2"/>
  <c r="K905" i="2"/>
  <c r="J905" i="2"/>
  <c r="I905" i="2"/>
  <c r="H905" i="2"/>
  <c r="G905" i="2"/>
  <c r="F905" i="2"/>
  <c r="E905" i="2"/>
  <c r="D905" i="2"/>
  <c r="K904" i="2"/>
  <c r="J904" i="2"/>
  <c r="I904" i="2"/>
  <c r="H904" i="2"/>
  <c r="G904" i="2"/>
  <c r="F904" i="2"/>
  <c r="E904" i="2"/>
  <c r="D904" i="2"/>
  <c r="K903" i="2"/>
  <c r="J903" i="2"/>
  <c r="I903" i="2"/>
  <c r="H903" i="2"/>
  <c r="G903" i="2"/>
  <c r="F903" i="2"/>
  <c r="E903" i="2"/>
  <c r="D903" i="2"/>
  <c r="K902" i="2"/>
  <c r="K934" i="2" s="1"/>
  <c r="J902" i="2"/>
  <c r="J934" i="2" s="1"/>
  <c r="I902" i="2"/>
  <c r="I934" i="2" s="1"/>
  <c r="H902" i="2"/>
  <c r="H934" i="2" s="1"/>
  <c r="G902" i="2"/>
  <c r="G934" i="2" s="1"/>
  <c r="F902" i="2"/>
  <c r="F934" i="2" s="1"/>
  <c r="E902" i="2"/>
  <c r="E934" i="2" s="1"/>
  <c r="D902" i="2"/>
  <c r="D934" i="2" s="1"/>
  <c r="K894" i="2"/>
  <c r="J894" i="2"/>
  <c r="I894" i="2"/>
  <c r="H894" i="2"/>
  <c r="G894" i="2"/>
  <c r="F894" i="2"/>
  <c r="E894" i="2"/>
  <c r="D894" i="2"/>
  <c r="K892" i="2"/>
  <c r="J892" i="2"/>
  <c r="I892" i="2"/>
  <c r="H892" i="2"/>
  <c r="G892" i="2"/>
  <c r="F892" i="2"/>
  <c r="E892" i="2"/>
  <c r="D892" i="2"/>
  <c r="K891" i="2"/>
  <c r="J891" i="2"/>
  <c r="I891" i="2"/>
  <c r="H891" i="2"/>
  <c r="G891" i="2"/>
  <c r="F891" i="2"/>
  <c r="E891" i="2"/>
  <c r="D891" i="2"/>
  <c r="K890" i="2"/>
  <c r="J890" i="2"/>
  <c r="I890" i="2"/>
  <c r="H890" i="2"/>
  <c r="G890" i="2"/>
  <c r="F890" i="2"/>
  <c r="E890" i="2"/>
  <c r="D890" i="2"/>
  <c r="K889" i="2"/>
  <c r="J889" i="2"/>
  <c r="I889" i="2"/>
  <c r="H889" i="2"/>
  <c r="G889" i="2"/>
  <c r="F889" i="2"/>
  <c r="E889" i="2"/>
  <c r="D889" i="2"/>
  <c r="K888" i="2"/>
  <c r="J888" i="2"/>
  <c r="I888" i="2"/>
  <c r="H888" i="2"/>
  <c r="G888" i="2"/>
  <c r="F888" i="2"/>
  <c r="E888" i="2"/>
  <c r="D888" i="2"/>
  <c r="K887" i="2"/>
  <c r="J887" i="2"/>
  <c r="I887" i="2"/>
  <c r="H887" i="2"/>
  <c r="G887" i="2"/>
  <c r="F887" i="2"/>
  <c r="E887" i="2"/>
  <c r="D887" i="2"/>
  <c r="K886" i="2"/>
  <c r="J886" i="2"/>
  <c r="I886" i="2"/>
  <c r="H886" i="2"/>
  <c r="G886" i="2"/>
  <c r="F886" i="2"/>
  <c r="E886" i="2"/>
  <c r="D886" i="2"/>
  <c r="K885" i="2"/>
  <c r="J885" i="2"/>
  <c r="I885" i="2"/>
  <c r="H885" i="2"/>
  <c r="G885" i="2"/>
  <c r="F885" i="2"/>
  <c r="E885" i="2"/>
  <c r="D885" i="2"/>
  <c r="K884" i="2"/>
  <c r="J884" i="2"/>
  <c r="I884" i="2"/>
  <c r="H884" i="2"/>
  <c r="G884" i="2"/>
  <c r="F884" i="2"/>
  <c r="E884" i="2"/>
  <c r="D884" i="2"/>
  <c r="K883" i="2"/>
  <c r="J883" i="2"/>
  <c r="I883" i="2"/>
  <c r="H883" i="2"/>
  <c r="G883" i="2"/>
  <c r="F883" i="2"/>
  <c r="E883" i="2"/>
  <c r="D883" i="2"/>
  <c r="K882" i="2"/>
  <c r="J882" i="2"/>
  <c r="I882" i="2"/>
  <c r="H882" i="2"/>
  <c r="G882" i="2"/>
  <c r="F882" i="2"/>
  <c r="E882" i="2"/>
  <c r="D882" i="2"/>
  <c r="K881" i="2"/>
  <c r="J881" i="2"/>
  <c r="I881" i="2"/>
  <c r="H881" i="2"/>
  <c r="G881" i="2"/>
  <c r="F881" i="2"/>
  <c r="E881" i="2"/>
  <c r="D881" i="2"/>
  <c r="K880" i="2"/>
  <c r="J880" i="2"/>
  <c r="I880" i="2"/>
  <c r="H880" i="2"/>
  <c r="G880" i="2"/>
  <c r="F880" i="2"/>
  <c r="E880" i="2"/>
  <c r="D880" i="2"/>
  <c r="K879" i="2"/>
  <c r="J879" i="2"/>
  <c r="I879" i="2"/>
  <c r="H879" i="2"/>
  <c r="G879" i="2"/>
  <c r="F879" i="2"/>
  <c r="E879" i="2"/>
  <c r="D879" i="2"/>
  <c r="K878" i="2"/>
  <c r="J878" i="2"/>
  <c r="I878" i="2"/>
  <c r="H878" i="2"/>
  <c r="G878" i="2"/>
  <c r="F878" i="2"/>
  <c r="E878" i="2"/>
  <c r="D878" i="2"/>
  <c r="K877" i="2"/>
  <c r="J877" i="2"/>
  <c r="I877" i="2"/>
  <c r="H877" i="2"/>
  <c r="G877" i="2"/>
  <c r="F877" i="2"/>
  <c r="E877" i="2"/>
  <c r="D877" i="2"/>
  <c r="K876" i="2"/>
  <c r="J876" i="2"/>
  <c r="I876" i="2"/>
  <c r="H876" i="2"/>
  <c r="G876" i="2"/>
  <c r="F876" i="2"/>
  <c r="E876" i="2"/>
  <c r="D876" i="2"/>
  <c r="K875" i="2"/>
  <c r="J875" i="2"/>
  <c r="I875" i="2"/>
  <c r="H875" i="2"/>
  <c r="G875" i="2"/>
  <c r="F875" i="2"/>
  <c r="E875" i="2"/>
  <c r="D875" i="2"/>
  <c r="K874" i="2"/>
  <c r="J874" i="2"/>
  <c r="I874" i="2"/>
  <c r="H874" i="2"/>
  <c r="G874" i="2"/>
  <c r="F874" i="2"/>
  <c r="E874" i="2"/>
  <c r="D874" i="2"/>
  <c r="K873" i="2"/>
  <c r="J873" i="2"/>
  <c r="I873" i="2"/>
  <c r="H873" i="2"/>
  <c r="G873" i="2"/>
  <c r="F873" i="2"/>
  <c r="E873" i="2"/>
  <c r="D873" i="2"/>
  <c r="K872" i="2"/>
  <c r="J872" i="2"/>
  <c r="I872" i="2"/>
  <c r="H872" i="2"/>
  <c r="G872" i="2"/>
  <c r="F872" i="2"/>
  <c r="E872" i="2"/>
  <c r="D872" i="2"/>
  <c r="K871" i="2"/>
  <c r="J871" i="2"/>
  <c r="I871" i="2"/>
  <c r="H871" i="2"/>
  <c r="G871" i="2"/>
  <c r="F871" i="2"/>
  <c r="E871" i="2"/>
  <c r="D871" i="2"/>
  <c r="K870" i="2"/>
  <c r="J870" i="2"/>
  <c r="I870" i="2"/>
  <c r="H870" i="2"/>
  <c r="G870" i="2"/>
  <c r="F870" i="2"/>
  <c r="E870" i="2"/>
  <c r="D870" i="2"/>
  <c r="K869" i="2"/>
  <c r="J869" i="2"/>
  <c r="I869" i="2"/>
  <c r="H869" i="2"/>
  <c r="G869" i="2"/>
  <c r="F869" i="2"/>
  <c r="E869" i="2"/>
  <c r="D869" i="2"/>
  <c r="K868" i="2"/>
  <c r="J868" i="2"/>
  <c r="I868" i="2"/>
  <c r="H868" i="2"/>
  <c r="G868" i="2"/>
  <c r="F868" i="2"/>
  <c r="E868" i="2"/>
  <c r="D868" i="2"/>
  <c r="K867" i="2"/>
  <c r="J867" i="2"/>
  <c r="I867" i="2"/>
  <c r="H867" i="2"/>
  <c r="G867" i="2"/>
  <c r="F867" i="2"/>
  <c r="E867" i="2"/>
  <c r="D867" i="2"/>
  <c r="K866" i="2"/>
  <c r="K898" i="2" s="1"/>
  <c r="J866" i="2"/>
  <c r="J898" i="2" s="1"/>
  <c r="I866" i="2"/>
  <c r="I898" i="2" s="1"/>
  <c r="H866" i="2"/>
  <c r="H898" i="2" s="1"/>
  <c r="G866" i="2"/>
  <c r="G898" i="2" s="1"/>
  <c r="F866" i="2"/>
  <c r="F898" i="2" s="1"/>
  <c r="E866" i="2"/>
  <c r="E898" i="2" s="1"/>
  <c r="D866" i="2"/>
  <c r="D898" i="2" s="1"/>
  <c r="K858" i="2"/>
  <c r="J858" i="2"/>
  <c r="I858" i="2"/>
  <c r="H858" i="2"/>
  <c r="G858" i="2"/>
  <c r="F858" i="2"/>
  <c r="E858" i="2"/>
  <c r="D858" i="2"/>
  <c r="K856" i="2"/>
  <c r="J856" i="2"/>
  <c r="I856" i="2"/>
  <c r="H856" i="2"/>
  <c r="G856" i="2"/>
  <c r="F856" i="2"/>
  <c r="E856" i="2"/>
  <c r="D856" i="2"/>
  <c r="K855" i="2"/>
  <c r="J855" i="2"/>
  <c r="I855" i="2"/>
  <c r="H855" i="2"/>
  <c r="G855" i="2"/>
  <c r="F855" i="2"/>
  <c r="E855" i="2"/>
  <c r="D855" i="2"/>
  <c r="K854" i="2"/>
  <c r="J854" i="2"/>
  <c r="I854" i="2"/>
  <c r="H854" i="2"/>
  <c r="G854" i="2"/>
  <c r="F854" i="2"/>
  <c r="E854" i="2"/>
  <c r="D854" i="2"/>
  <c r="K853" i="2"/>
  <c r="J853" i="2"/>
  <c r="I853" i="2"/>
  <c r="H853" i="2"/>
  <c r="G853" i="2"/>
  <c r="F853" i="2"/>
  <c r="E853" i="2"/>
  <c r="D853" i="2"/>
  <c r="K852" i="2"/>
  <c r="J852" i="2"/>
  <c r="I852" i="2"/>
  <c r="H852" i="2"/>
  <c r="G852" i="2"/>
  <c r="F852" i="2"/>
  <c r="E852" i="2"/>
  <c r="D852" i="2"/>
  <c r="K851" i="2"/>
  <c r="J851" i="2"/>
  <c r="I851" i="2"/>
  <c r="H851" i="2"/>
  <c r="G851" i="2"/>
  <c r="F851" i="2"/>
  <c r="E851" i="2"/>
  <c r="D851" i="2"/>
  <c r="K850" i="2"/>
  <c r="J850" i="2"/>
  <c r="I850" i="2"/>
  <c r="H850" i="2"/>
  <c r="G850" i="2"/>
  <c r="F850" i="2"/>
  <c r="E850" i="2"/>
  <c r="D850" i="2"/>
  <c r="K849" i="2"/>
  <c r="J849" i="2"/>
  <c r="I849" i="2"/>
  <c r="H849" i="2"/>
  <c r="G849" i="2"/>
  <c r="F849" i="2"/>
  <c r="E849" i="2"/>
  <c r="D849" i="2"/>
  <c r="K848" i="2"/>
  <c r="J848" i="2"/>
  <c r="I848" i="2"/>
  <c r="H848" i="2"/>
  <c r="G848" i="2"/>
  <c r="F848" i="2"/>
  <c r="E848" i="2"/>
  <c r="D848" i="2"/>
  <c r="K847" i="2"/>
  <c r="J847" i="2"/>
  <c r="I847" i="2"/>
  <c r="H847" i="2"/>
  <c r="G847" i="2"/>
  <c r="F847" i="2"/>
  <c r="E847" i="2"/>
  <c r="D847" i="2"/>
  <c r="K846" i="2"/>
  <c r="J846" i="2"/>
  <c r="I846" i="2"/>
  <c r="H846" i="2"/>
  <c r="G846" i="2"/>
  <c r="F846" i="2"/>
  <c r="E846" i="2"/>
  <c r="D846" i="2"/>
  <c r="K845" i="2"/>
  <c r="J845" i="2"/>
  <c r="I845" i="2"/>
  <c r="H845" i="2"/>
  <c r="G845" i="2"/>
  <c r="F845" i="2"/>
  <c r="E845" i="2"/>
  <c r="D845" i="2"/>
  <c r="K844" i="2"/>
  <c r="J844" i="2"/>
  <c r="I844" i="2"/>
  <c r="H844" i="2"/>
  <c r="G844" i="2"/>
  <c r="F844" i="2"/>
  <c r="E844" i="2"/>
  <c r="D844" i="2"/>
  <c r="K843" i="2"/>
  <c r="J843" i="2"/>
  <c r="I843" i="2"/>
  <c r="H843" i="2"/>
  <c r="G843" i="2"/>
  <c r="F843" i="2"/>
  <c r="E843" i="2"/>
  <c r="D843" i="2"/>
  <c r="K842" i="2"/>
  <c r="J842" i="2"/>
  <c r="I842" i="2"/>
  <c r="H842" i="2"/>
  <c r="G842" i="2"/>
  <c r="F842" i="2"/>
  <c r="E842" i="2"/>
  <c r="D842" i="2"/>
  <c r="K841" i="2"/>
  <c r="J841" i="2"/>
  <c r="I841" i="2"/>
  <c r="H841" i="2"/>
  <c r="G841" i="2"/>
  <c r="F841" i="2"/>
  <c r="E841" i="2"/>
  <c r="D841" i="2"/>
  <c r="K840" i="2"/>
  <c r="J840" i="2"/>
  <c r="I840" i="2"/>
  <c r="H840" i="2"/>
  <c r="G840" i="2"/>
  <c r="F840" i="2"/>
  <c r="E840" i="2"/>
  <c r="D840" i="2"/>
  <c r="K839" i="2"/>
  <c r="J839" i="2"/>
  <c r="I839" i="2"/>
  <c r="H839" i="2"/>
  <c r="G839" i="2"/>
  <c r="F839" i="2"/>
  <c r="E839" i="2"/>
  <c r="D839" i="2"/>
  <c r="K838" i="2"/>
  <c r="J838" i="2"/>
  <c r="I838" i="2"/>
  <c r="H838" i="2"/>
  <c r="G838" i="2"/>
  <c r="F838" i="2"/>
  <c r="E838" i="2"/>
  <c r="D838" i="2"/>
  <c r="K837" i="2"/>
  <c r="J837" i="2"/>
  <c r="I837" i="2"/>
  <c r="H837" i="2"/>
  <c r="G837" i="2"/>
  <c r="F837" i="2"/>
  <c r="E837" i="2"/>
  <c r="D837" i="2"/>
  <c r="K836" i="2"/>
  <c r="J836" i="2"/>
  <c r="I836" i="2"/>
  <c r="H836" i="2"/>
  <c r="G836" i="2"/>
  <c r="F836" i="2"/>
  <c r="E836" i="2"/>
  <c r="D836" i="2"/>
  <c r="K835" i="2"/>
  <c r="J835" i="2"/>
  <c r="I835" i="2"/>
  <c r="H835" i="2"/>
  <c r="G835" i="2"/>
  <c r="F835" i="2"/>
  <c r="E835" i="2"/>
  <c r="D835" i="2"/>
  <c r="K834" i="2"/>
  <c r="J834" i="2"/>
  <c r="I834" i="2"/>
  <c r="H834" i="2"/>
  <c r="G834" i="2"/>
  <c r="F834" i="2"/>
  <c r="E834" i="2"/>
  <c r="D834" i="2"/>
  <c r="K833" i="2"/>
  <c r="J833" i="2"/>
  <c r="I833" i="2"/>
  <c r="H833" i="2"/>
  <c r="G833" i="2"/>
  <c r="F833" i="2"/>
  <c r="E833" i="2"/>
  <c r="D833" i="2"/>
  <c r="K832" i="2"/>
  <c r="J832" i="2"/>
  <c r="I832" i="2"/>
  <c r="H832" i="2"/>
  <c r="G832" i="2"/>
  <c r="F832" i="2"/>
  <c r="E832" i="2"/>
  <c r="D832" i="2"/>
  <c r="K831" i="2"/>
  <c r="J831" i="2"/>
  <c r="I831" i="2"/>
  <c r="H831" i="2"/>
  <c r="G831" i="2"/>
  <c r="F831" i="2"/>
  <c r="E831" i="2"/>
  <c r="D831" i="2"/>
  <c r="K830" i="2"/>
  <c r="K862" i="2" s="1"/>
  <c r="J830" i="2"/>
  <c r="J862" i="2" s="1"/>
  <c r="I830" i="2"/>
  <c r="I862" i="2" s="1"/>
  <c r="H830" i="2"/>
  <c r="H862" i="2" s="1"/>
  <c r="G830" i="2"/>
  <c r="G862" i="2" s="1"/>
  <c r="F830" i="2"/>
  <c r="F862" i="2" s="1"/>
  <c r="E830" i="2"/>
  <c r="E862" i="2" s="1"/>
  <c r="D830" i="2"/>
  <c r="D862" i="2" s="1"/>
  <c r="K822" i="2"/>
  <c r="J822" i="2"/>
  <c r="I822" i="2"/>
  <c r="H822" i="2"/>
  <c r="G822" i="2"/>
  <c r="F822" i="2"/>
  <c r="E822" i="2"/>
  <c r="D822" i="2"/>
  <c r="K820" i="2"/>
  <c r="J820" i="2"/>
  <c r="I820" i="2"/>
  <c r="H820" i="2"/>
  <c r="G820" i="2"/>
  <c r="F820" i="2"/>
  <c r="E820" i="2"/>
  <c r="D820" i="2"/>
  <c r="K819" i="2"/>
  <c r="J819" i="2"/>
  <c r="I819" i="2"/>
  <c r="H819" i="2"/>
  <c r="G819" i="2"/>
  <c r="F819" i="2"/>
  <c r="E819" i="2"/>
  <c r="D819" i="2"/>
  <c r="K818" i="2"/>
  <c r="J818" i="2"/>
  <c r="I818" i="2"/>
  <c r="H818" i="2"/>
  <c r="G818" i="2"/>
  <c r="F818" i="2"/>
  <c r="E818" i="2"/>
  <c r="D818" i="2"/>
  <c r="K817" i="2"/>
  <c r="J817" i="2"/>
  <c r="I817" i="2"/>
  <c r="H817" i="2"/>
  <c r="G817" i="2"/>
  <c r="F817" i="2"/>
  <c r="E817" i="2"/>
  <c r="D817" i="2"/>
  <c r="K816" i="2"/>
  <c r="J816" i="2"/>
  <c r="I816" i="2"/>
  <c r="H816" i="2"/>
  <c r="G816" i="2"/>
  <c r="F816" i="2"/>
  <c r="E816" i="2"/>
  <c r="D816" i="2"/>
  <c r="K815" i="2"/>
  <c r="J815" i="2"/>
  <c r="I815" i="2"/>
  <c r="H815" i="2"/>
  <c r="G815" i="2"/>
  <c r="F815" i="2"/>
  <c r="E815" i="2"/>
  <c r="D815" i="2"/>
  <c r="K814" i="2"/>
  <c r="J814" i="2"/>
  <c r="I814" i="2"/>
  <c r="H814" i="2"/>
  <c r="G814" i="2"/>
  <c r="F814" i="2"/>
  <c r="E814" i="2"/>
  <c r="D814" i="2"/>
  <c r="K813" i="2"/>
  <c r="J813" i="2"/>
  <c r="I813" i="2"/>
  <c r="H813" i="2"/>
  <c r="G813" i="2"/>
  <c r="F813" i="2"/>
  <c r="E813" i="2"/>
  <c r="D813" i="2"/>
  <c r="K812" i="2"/>
  <c r="J812" i="2"/>
  <c r="I812" i="2"/>
  <c r="H812" i="2"/>
  <c r="G812" i="2"/>
  <c r="F812" i="2"/>
  <c r="E812" i="2"/>
  <c r="D812" i="2"/>
  <c r="K811" i="2"/>
  <c r="J811" i="2"/>
  <c r="I811" i="2"/>
  <c r="H811" i="2"/>
  <c r="G811" i="2"/>
  <c r="F811" i="2"/>
  <c r="E811" i="2"/>
  <c r="D811" i="2"/>
  <c r="K810" i="2"/>
  <c r="J810" i="2"/>
  <c r="I810" i="2"/>
  <c r="H810" i="2"/>
  <c r="G810" i="2"/>
  <c r="F810" i="2"/>
  <c r="E810" i="2"/>
  <c r="D810" i="2"/>
  <c r="K809" i="2"/>
  <c r="J809" i="2"/>
  <c r="I809" i="2"/>
  <c r="H809" i="2"/>
  <c r="G809" i="2"/>
  <c r="F809" i="2"/>
  <c r="E809" i="2"/>
  <c r="D809" i="2"/>
  <c r="K808" i="2"/>
  <c r="J808" i="2"/>
  <c r="I808" i="2"/>
  <c r="H808" i="2"/>
  <c r="G808" i="2"/>
  <c r="F808" i="2"/>
  <c r="E808" i="2"/>
  <c r="D808" i="2"/>
  <c r="K807" i="2"/>
  <c r="J807" i="2"/>
  <c r="I807" i="2"/>
  <c r="H807" i="2"/>
  <c r="G807" i="2"/>
  <c r="F807" i="2"/>
  <c r="E807" i="2"/>
  <c r="D807" i="2"/>
  <c r="K806" i="2"/>
  <c r="J806" i="2"/>
  <c r="I806" i="2"/>
  <c r="H806" i="2"/>
  <c r="G806" i="2"/>
  <c r="F806" i="2"/>
  <c r="E806" i="2"/>
  <c r="D806" i="2"/>
  <c r="K805" i="2"/>
  <c r="J805" i="2"/>
  <c r="I805" i="2"/>
  <c r="H805" i="2"/>
  <c r="G805" i="2"/>
  <c r="F805" i="2"/>
  <c r="E805" i="2"/>
  <c r="D805" i="2"/>
  <c r="K804" i="2"/>
  <c r="J804" i="2"/>
  <c r="I804" i="2"/>
  <c r="H804" i="2"/>
  <c r="G804" i="2"/>
  <c r="F804" i="2"/>
  <c r="E804" i="2"/>
  <c r="D804" i="2"/>
  <c r="K803" i="2"/>
  <c r="J803" i="2"/>
  <c r="I803" i="2"/>
  <c r="H803" i="2"/>
  <c r="G803" i="2"/>
  <c r="F803" i="2"/>
  <c r="E803" i="2"/>
  <c r="D803" i="2"/>
  <c r="K802" i="2"/>
  <c r="J802" i="2"/>
  <c r="I802" i="2"/>
  <c r="H802" i="2"/>
  <c r="G802" i="2"/>
  <c r="F802" i="2"/>
  <c r="E802" i="2"/>
  <c r="D802" i="2"/>
  <c r="K801" i="2"/>
  <c r="J801" i="2"/>
  <c r="I801" i="2"/>
  <c r="H801" i="2"/>
  <c r="G801" i="2"/>
  <c r="F801" i="2"/>
  <c r="E801" i="2"/>
  <c r="D801" i="2"/>
  <c r="K800" i="2"/>
  <c r="J800" i="2"/>
  <c r="I800" i="2"/>
  <c r="H800" i="2"/>
  <c r="G800" i="2"/>
  <c r="F800" i="2"/>
  <c r="E800" i="2"/>
  <c r="D800" i="2"/>
  <c r="K799" i="2"/>
  <c r="J799" i="2"/>
  <c r="I799" i="2"/>
  <c r="H799" i="2"/>
  <c r="G799" i="2"/>
  <c r="F799" i="2"/>
  <c r="E799" i="2"/>
  <c r="D799" i="2"/>
  <c r="K798" i="2"/>
  <c r="J798" i="2"/>
  <c r="I798" i="2"/>
  <c r="H798" i="2"/>
  <c r="G798" i="2"/>
  <c r="F798" i="2"/>
  <c r="E798" i="2"/>
  <c r="D798" i="2"/>
  <c r="K797" i="2"/>
  <c r="J797" i="2"/>
  <c r="I797" i="2"/>
  <c r="H797" i="2"/>
  <c r="G797" i="2"/>
  <c r="F797" i="2"/>
  <c r="E797" i="2"/>
  <c r="D797" i="2"/>
  <c r="K796" i="2"/>
  <c r="J796" i="2"/>
  <c r="I796" i="2"/>
  <c r="H796" i="2"/>
  <c r="G796" i="2"/>
  <c r="F796" i="2"/>
  <c r="E796" i="2"/>
  <c r="D796" i="2"/>
  <c r="K795" i="2"/>
  <c r="J795" i="2"/>
  <c r="I795" i="2"/>
  <c r="H795" i="2"/>
  <c r="G795" i="2"/>
  <c r="F795" i="2"/>
  <c r="E795" i="2"/>
  <c r="D795" i="2"/>
  <c r="K794" i="2"/>
  <c r="K826" i="2" s="1"/>
  <c r="J794" i="2"/>
  <c r="J826" i="2" s="1"/>
  <c r="I794" i="2"/>
  <c r="I826" i="2" s="1"/>
  <c r="H794" i="2"/>
  <c r="H826" i="2" s="1"/>
  <c r="G794" i="2"/>
  <c r="G826" i="2" s="1"/>
  <c r="F794" i="2"/>
  <c r="F826" i="2" s="1"/>
  <c r="E794" i="2"/>
  <c r="E826" i="2" s="1"/>
  <c r="D794" i="2"/>
  <c r="D826" i="2" s="1"/>
  <c r="K786" i="2"/>
  <c r="J786" i="2"/>
  <c r="I786" i="2"/>
  <c r="H786" i="2"/>
  <c r="G786" i="2"/>
  <c r="F786" i="2"/>
  <c r="E786" i="2"/>
  <c r="D786" i="2"/>
  <c r="K784" i="2"/>
  <c r="J784" i="2"/>
  <c r="I784" i="2"/>
  <c r="H784" i="2"/>
  <c r="G784" i="2"/>
  <c r="F784" i="2"/>
  <c r="E784" i="2"/>
  <c r="D784" i="2"/>
  <c r="K783" i="2"/>
  <c r="J783" i="2"/>
  <c r="I783" i="2"/>
  <c r="H783" i="2"/>
  <c r="G783" i="2"/>
  <c r="F783" i="2"/>
  <c r="E783" i="2"/>
  <c r="D783" i="2"/>
  <c r="K782" i="2"/>
  <c r="J782" i="2"/>
  <c r="I782" i="2"/>
  <c r="H782" i="2"/>
  <c r="G782" i="2"/>
  <c r="F782" i="2"/>
  <c r="E782" i="2"/>
  <c r="D782" i="2"/>
  <c r="K781" i="2"/>
  <c r="J781" i="2"/>
  <c r="I781" i="2"/>
  <c r="H781" i="2"/>
  <c r="G781" i="2"/>
  <c r="F781" i="2"/>
  <c r="E781" i="2"/>
  <c r="D781" i="2"/>
  <c r="K780" i="2"/>
  <c r="J780" i="2"/>
  <c r="I780" i="2"/>
  <c r="H780" i="2"/>
  <c r="G780" i="2"/>
  <c r="F780" i="2"/>
  <c r="E780" i="2"/>
  <c r="D780" i="2"/>
  <c r="K779" i="2"/>
  <c r="J779" i="2"/>
  <c r="I779" i="2"/>
  <c r="H779" i="2"/>
  <c r="G779" i="2"/>
  <c r="F779" i="2"/>
  <c r="E779" i="2"/>
  <c r="D779" i="2"/>
  <c r="K778" i="2"/>
  <c r="J778" i="2"/>
  <c r="I778" i="2"/>
  <c r="H778" i="2"/>
  <c r="G778" i="2"/>
  <c r="F778" i="2"/>
  <c r="E778" i="2"/>
  <c r="D778" i="2"/>
  <c r="K777" i="2"/>
  <c r="J777" i="2"/>
  <c r="I777" i="2"/>
  <c r="H777" i="2"/>
  <c r="G777" i="2"/>
  <c r="F777" i="2"/>
  <c r="E777" i="2"/>
  <c r="D777" i="2"/>
  <c r="K776" i="2"/>
  <c r="J776" i="2"/>
  <c r="I776" i="2"/>
  <c r="H776" i="2"/>
  <c r="G776" i="2"/>
  <c r="F776" i="2"/>
  <c r="E776" i="2"/>
  <c r="D776" i="2"/>
  <c r="K775" i="2"/>
  <c r="J775" i="2"/>
  <c r="I775" i="2"/>
  <c r="H775" i="2"/>
  <c r="G775" i="2"/>
  <c r="F775" i="2"/>
  <c r="E775" i="2"/>
  <c r="D775" i="2"/>
  <c r="K774" i="2"/>
  <c r="J774" i="2"/>
  <c r="I774" i="2"/>
  <c r="H774" i="2"/>
  <c r="G774" i="2"/>
  <c r="F774" i="2"/>
  <c r="E774" i="2"/>
  <c r="D774" i="2"/>
  <c r="K773" i="2"/>
  <c r="J773" i="2"/>
  <c r="I773" i="2"/>
  <c r="H773" i="2"/>
  <c r="G773" i="2"/>
  <c r="F773" i="2"/>
  <c r="E773" i="2"/>
  <c r="D773" i="2"/>
  <c r="K772" i="2"/>
  <c r="J772" i="2"/>
  <c r="I772" i="2"/>
  <c r="H772" i="2"/>
  <c r="G772" i="2"/>
  <c r="F772" i="2"/>
  <c r="E772" i="2"/>
  <c r="D772" i="2"/>
  <c r="K771" i="2"/>
  <c r="J771" i="2"/>
  <c r="I771" i="2"/>
  <c r="H771" i="2"/>
  <c r="G771" i="2"/>
  <c r="F771" i="2"/>
  <c r="E771" i="2"/>
  <c r="D771" i="2"/>
  <c r="K770" i="2"/>
  <c r="J770" i="2"/>
  <c r="I770" i="2"/>
  <c r="H770" i="2"/>
  <c r="G770" i="2"/>
  <c r="F770" i="2"/>
  <c r="E770" i="2"/>
  <c r="D770" i="2"/>
  <c r="K769" i="2"/>
  <c r="J769" i="2"/>
  <c r="I769" i="2"/>
  <c r="H769" i="2"/>
  <c r="G769" i="2"/>
  <c r="F769" i="2"/>
  <c r="E769" i="2"/>
  <c r="D769" i="2"/>
  <c r="K768" i="2"/>
  <c r="J768" i="2"/>
  <c r="I768" i="2"/>
  <c r="H768" i="2"/>
  <c r="G768" i="2"/>
  <c r="F768" i="2"/>
  <c r="E768" i="2"/>
  <c r="D768" i="2"/>
  <c r="K767" i="2"/>
  <c r="J767" i="2"/>
  <c r="I767" i="2"/>
  <c r="H767" i="2"/>
  <c r="G767" i="2"/>
  <c r="F767" i="2"/>
  <c r="E767" i="2"/>
  <c r="D767" i="2"/>
  <c r="K766" i="2"/>
  <c r="J766" i="2"/>
  <c r="I766" i="2"/>
  <c r="H766" i="2"/>
  <c r="G766" i="2"/>
  <c r="F766" i="2"/>
  <c r="E766" i="2"/>
  <c r="D766" i="2"/>
  <c r="K765" i="2"/>
  <c r="J765" i="2"/>
  <c r="I765" i="2"/>
  <c r="H765" i="2"/>
  <c r="G765" i="2"/>
  <c r="F765" i="2"/>
  <c r="E765" i="2"/>
  <c r="D765" i="2"/>
  <c r="K764" i="2"/>
  <c r="J764" i="2"/>
  <c r="I764" i="2"/>
  <c r="H764" i="2"/>
  <c r="G764" i="2"/>
  <c r="F764" i="2"/>
  <c r="E764" i="2"/>
  <c r="D764" i="2"/>
  <c r="K763" i="2"/>
  <c r="J763" i="2"/>
  <c r="I763" i="2"/>
  <c r="H763" i="2"/>
  <c r="G763" i="2"/>
  <c r="F763" i="2"/>
  <c r="E763" i="2"/>
  <c r="D763" i="2"/>
  <c r="K762" i="2"/>
  <c r="J762" i="2"/>
  <c r="I762" i="2"/>
  <c r="H762" i="2"/>
  <c r="G762" i="2"/>
  <c r="F762" i="2"/>
  <c r="E762" i="2"/>
  <c r="D762" i="2"/>
  <c r="K761" i="2"/>
  <c r="J761" i="2"/>
  <c r="I761" i="2"/>
  <c r="H761" i="2"/>
  <c r="G761" i="2"/>
  <c r="F761" i="2"/>
  <c r="E761" i="2"/>
  <c r="D761" i="2"/>
  <c r="K760" i="2"/>
  <c r="J760" i="2"/>
  <c r="I760" i="2"/>
  <c r="H760" i="2"/>
  <c r="G760" i="2"/>
  <c r="F760" i="2"/>
  <c r="E760" i="2"/>
  <c r="D760" i="2"/>
  <c r="K759" i="2"/>
  <c r="J759" i="2"/>
  <c r="I759" i="2"/>
  <c r="H759" i="2"/>
  <c r="G759" i="2"/>
  <c r="F759" i="2"/>
  <c r="E759" i="2"/>
  <c r="D759" i="2"/>
  <c r="K758" i="2"/>
  <c r="K790" i="2" s="1"/>
  <c r="J758" i="2"/>
  <c r="J790" i="2" s="1"/>
  <c r="I758" i="2"/>
  <c r="I790" i="2" s="1"/>
  <c r="H758" i="2"/>
  <c r="H790" i="2" s="1"/>
  <c r="G758" i="2"/>
  <c r="G790" i="2" s="1"/>
  <c r="F758" i="2"/>
  <c r="F790" i="2" s="1"/>
  <c r="E758" i="2"/>
  <c r="E790" i="2" s="1"/>
  <c r="D758" i="2"/>
  <c r="D790" i="2" s="1"/>
  <c r="K750" i="2"/>
  <c r="J750" i="2"/>
  <c r="I750" i="2"/>
  <c r="H750" i="2"/>
  <c r="G750" i="2"/>
  <c r="F750" i="2"/>
  <c r="E750" i="2"/>
  <c r="D750" i="2"/>
  <c r="K748" i="2"/>
  <c r="J748" i="2"/>
  <c r="I748" i="2"/>
  <c r="H748" i="2"/>
  <c r="G748" i="2"/>
  <c r="F748" i="2"/>
  <c r="E748" i="2"/>
  <c r="D748" i="2"/>
  <c r="K747" i="2"/>
  <c r="J747" i="2"/>
  <c r="I747" i="2"/>
  <c r="H747" i="2"/>
  <c r="G747" i="2"/>
  <c r="F747" i="2"/>
  <c r="E747" i="2"/>
  <c r="D747" i="2"/>
  <c r="K746" i="2"/>
  <c r="J746" i="2"/>
  <c r="I746" i="2"/>
  <c r="H746" i="2"/>
  <c r="G746" i="2"/>
  <c r="F746" i="2"/>
  <c r="E746" i="2"/>
  <c r="D746" i="2"/>
  <c r="K745" i="2"/>
  <c r="J745" i="2"/>
  <c r="I745" i="2"/>
  <c r="H745" i="2"/>
  <c r="G745" i="2"/>
  <c r="F745" i="2"/>
  <c r="E745" i="2"/>
  <c r="D745" i="2"/>
  <c r="K744" i="2"/>
  <c r="J744" i="2"/>
  <c r="I744" i="2"/>
  <c r="H744" i="2"/>
  <c r="G744" i="2"/>
  <c r="F744" i="2"/>
  <c r="E744" i="2"/>
  <c r="D744" i="2"/>
  <c r="K743" i="2"/>
  <c r="J743" i="2"/>
  <c r="I743" i="2"/>
  <c r="H743" i="2"/>
  <c r="G743" i="2"/>
  <c r="F743" i="2"/>
  <c r="E743" i="2"/>
  <c r="D743" i="2"/>
  <c r="K742" i="2"/>
  <c r="J742" i="2"/>
  <c r="I742" i="2"/>
  <c r="H742" i="2"/>
  <c r="G742" i="2"/>
  <c r="F742" i="2"/>
  <c r="E742" i="2"/>
  <c r="D742" i="2"/>
  <c r="K741" i="2"/>
  <c r="J741" i="2"/>
  <c r="I741" i="2"/>
  <c r="H741" i="2"/>
  <c r="G741" i="2"/>
  <c r="F741" i="2"/>
  <c r="E741" i="2"/>
  <c r="D741" i="2"/>
  <c r="K740" i="2"/>
  <c r="J740" i="2"/>
  <c r="I740" i="2"/>
  <c r="H740" i="2"/>
  <c r="G740" i="2"/>
  <c r="F740" i="2"/>
  <c r="E740" i="2"/>
  <c r="D740" i="2"/>
  <c r="K739" i="2"/>
  <c r="J739" i="2"/>
  <c r="I739" i="2"/>
  <c r="H739" i="2"/>
  <c r="G739" i="2"/>
  <c r="F739" i="2"/>
  <c r="E739" i="2"/>
  <c r="D739" i="2"/>
  <c r="K738" i="2"/>
  <c r="J738" i="2"/>
  <c r="I738" i="2"/>
  <c r="H738" i="2"/>
  <c r="G738" i="2"/>
  <c r="F738" i="2"/>
  <c r="E738" i="2"/>
  <c r="D738" i="2"/>
  <c r="K737" i="2"/>
  <c r="J737" i="2"/>
  <c r="I737" i="2"/>
  <c r="H737" i="2"/>
  <c r="G737" i="2"/>
  <c r="F737" i="2"/>
  <c r="E737" i="2"/>
  <c r="D737" i="2"/>
  <c r="K736" i="2"/>
  <c r="J736" i="2"/>
  <c r="I736" i="2"/>
  <c r="H736" i="2"/>
  <c r="G736" i="2"/>
  <c r="F736" i="2"/>
  <c r="E736" i="2"/>
  <c r="D736" i="2"/>
  <c r="K735" i="2"/>
  <c r="J735" i="2"/>
  <c r="I735" i="2"/>
  <c r="H735" i="2"/>
  <c r="G735" i="2"/>
  <c r="F735" i="2"/>
  <c r="E735" i="2"/>
  <c r="D735" i="2"/>
  <c r="K734" i="2"/>
  <c r="J734" i="2"/>
  <c r="I734" i="2"/>
  <c r="H734" i="2"/>
  <c r="G734" i="2"/>
  <c r="F734" i="2"/>
  <c r="E734" i="2"/>
  <c r="D734" i="2"/>
  <c r="K733" i="2"/>
  <c r="J733" i="2"/>
  <c r="I733" i="2"/>
  <c r="H733" i="2"/>
  <c r="G733" i="2"/>
  <c r="F733" i="2"/>
  <c r="E733" i="2"/>
  <c r="D733" i="2"/>
  <c r="K732" i="2"/>
  <c r="J732" i="2"/>
  <c r="I732" i="2"/>
  <c r="H732" i="2"/>
  <c r="G732" i="2"/>
  <c r="F732" i="2"/>
  <c r="E732" i="2"/>
  <c r="D732" i="2"/>
  <c r="K731" i="2"/>
  <c r="J731" i="2"/>
  <c r="I731" i="2"/>
  <c r="H731" i="2"/>
  <c r="G731" i="2"/>
  <c r="F731" i="2"/>
  <c r="E731" i="2"/>
  <c r="D731" i="2"/>
  <c r="K730" i="2"/>
  <c r="J730" i="2"/>
  <c r="I730" i="2"/>
  <c r="H730" i="2"/>
  <c r="G730" i="2"/>
  <c r="F730" i="2"/>
  <c r="E730" i="2"/>
  <c r="D730" i="2"/>
  <c r="K729" i="2"/>
  <c r="J729" i="2"/>
  <c r="I729" i="2"/>
  <c r="H729" i="2"/>
  <c r="G729" i="2"/>
  <c r="F729" i="2"/>
  <c r="E729" i="2"/>
  <c r="D729" i="2"/>
  <c r="K728" i="2"/>
  <c r="J728" i="2"/>
  <c r="I728" i="2"/>
  <c r="H728" i="2"/>
  <c r="G728" i="2"/>
  <c r="F728" i="2"/>
  <c r="E728" i="2"/>
  <c r="D728" i="2"/>
  <c r="K727" i="2"/>
  <c r="J727" i="2"/>
  <c r="I727" i="2"/>
  <c r="H727" i="2"/>
  <c r="G727" i="2"/>
  <c r="F727" i="2"/>
  <c r="E727" i="2"/>
  <c r="D727" i="2"/>
  <c r="K726" i="2"/>
  <c r="J726" i="2"/>
  <c r="I726" i="2"/>
  <c r="H726" i="2"/>
  <c r="G726" i="2"/>
  <c r="F726" i="2"/>
  <c r="E726" i="2"/>
  <c r="D726" i="2"/>
  <c r="K725" i="2"/>
  <c r="J725" i="2"/>
  <c r="I725" i="2"/>
  <c r="H725" i="2"/>
  <c r="G725" i="2"/>
  <c r="F725" i="2"/>
  <c r="E725" i="2"/>
  <c r="D725" i="2"/>
  <c r="K724" i="2"/>
  <c r="J724" i="2"/>
  <c r="I724" i="2"/>
  <c r="H724" i="2"/>
  <c r="G724" i="2"/>
  <c r="F724" i="2"/>
  <c r="E724" i="2"/>
  <c r="D724" i="2"/>
  <c r="K723" i="2"/>
  <c r="J723" i="2"/>
  <c r="I723" i="2"/>
  <c r="H723" i="2"/>
  <c r="G723" i="2"/>
  <c r="F723" i="2"/>
  <c r="E723" i="2"/>
  <c r="D723" i="2"/>
  <c r="K722" i="2"/>
  <c r="K754" i="2" s="1"/>
  <c r="J722" i="2"/>
  <c r="J754" i="2" s="1"/>
  <c r="I722" i="2"/>
  <c r="I754" i="2" s="1"/>
  <c r="H722" i="2"/>
  <c r="H754" i="2" s="1"/>
  <c r="G722" i="2"/>
  <c r="G754" i="2" s="1"/>
  <c r="F722" i="2"/>
  <c r="F754" i="2" s="1"/>
  <c r="E722" i="2"/>
  <c r="E754" i="2" s="1"/>
  <c r="D722" i="2"/>
  <c r="D754" i="2" s="1"/>
  <c r="K714" i="2"/>
  <c r="J714" i="2"/>
  <c r="I714" i="2"/>
  <c r="H714" i="2"/>
  <c r="G714" i="2"/>
  <c r="F714" i="2"/>
  <c r="E714" i="2"/>
  <c r="D714" i="2"/>
  <c r="K712" i="2"/>
  <c r="J712" i="2"/>
  <c r="I712" i="2"/>
  <c r="H712" i="2"/>
  <c r="G712" i="2"/>
  <c r="F712" i="2"/>
  <c r="E712" i="2"/>
  <c r="D712" i="2"/>
  <c r="K711" i="2"/>
  <c r="J711" i="2"/>
  <c r="I711" i="2"/>
  <c r="H711" i="2"/>
  <c r="G711" i="2"/>
  <c r="F711" i="2"/>
  <c r="E711" i="2"/>
  <c r="D711" i="2"/>
  <c r="K710" i="2"/>
  <c r="J710" i="2"/>
  <c r="I710" i="2"/>
  <c r="H710" i="2"/>
  <c r="G710" i="2"/>
  <c r="F710" i="2"/>
  <c r="E710" i="2"/>
  <c r="D710" i="2"/>
  <c r="K709" i="2"/>
  <c r="J709" i="2"/>
  <c r="I709" i="2"/>
  <c r="H709" i="2"/>
  <c r="G709" i="2"/>
  <c r="F709" i="2"/>
  <c r="E709" i="2"/>
  <c r="D709" i="2"/>
  <c r="K708" i="2"/>
  <c r="J708" i="2"/>
  <c r="I708" i="2"/>
  <c r="H708" i="2"/>
  <c r="G708" i="2"/>
  <c r="F708" i="2"/>
  <c r="E708" i="2"/>
  <c r="D708" i="2"/>
  <c r="K707" i="2"/>
  <c r="J707" i="2"/>
  <c r="I707" i="2"/>
  <c r="H707" i="2"/>
  <c r="G707" i="2"/>
  <c r="F707" i="2"/>
  <c r="E707" i="2"/>
  <c r="D707" i="2"/>
  <c r="K706" i="2"/>
  <c r="J706" i="2"/>
  <c r="I706" i="2"/>
  <c r="H706" i="2"/>
  <c r="G706" i="2"/>
  <c r="F706" i="2"/>
  <c r="E706" i="2"/>
  <c r="D706" i="2"/>
  <c r="K705" i="2"/>
  <c r="J705" i="2"/>
  <c r="I705" i="2"/>
  <c r="H705" i="2"/>
  <c r="G705" i="2"/>
  <c r="F705" i="2"/>
  <c r="E705" i="2"/>
  <c r="D705" i="2"/>
  <c r="K704" i="2"/>
  <c r="J704" i="2"/>
  <c r="I704" i="2"/>
  <c r="H704" i="2"/>
  <c r="G704" i="2"/>
  <c r="F704" i="2"/>
  <c r="E704" i="2"/>
  <c r="D704" i="2"/>
  <c r="K703" i="2"/>
  <c r="J703" i="2"/>
  <c r="I703" i="2"/>
  <c r="H703" i="2"/>
  <c r="G703" i="2"/>
  <c r="F703" i="2"/>
  <c r="E703" i="2"/>
  <c r="D703" i="2"/>
  <c r="K702" i="2"/>
  <c r="J702" i="2"/>
  <c r="I702" i="2"/>
  <c r="H702" i="2"/>
  <c r="G702" i="2"/>
  <c r="F702" i="2"/>
  <c r="E702" i="2"/>
  <c r="D702" i="2"/>
  <c r="K701" i="2"/>
  <c r="J701" i="2"/>
  <c r="I701" i="2"/>
  <c r="H701" i="2"/>
  <c r="G701" i="2"/>
  <c r="F701" i="2"/>
  <c r="E701" i="2"/>
  <c r="D701" i="2"/>
  <c r="K700" i="2"/>
  <c r="J700" i="2"/>
  <c r="I700" i="2"/>
  <c r="H700" i="2"/>
  <c r="G700" i="2"/>
  <c r="F700" i="2"/>
  <c r="E700" i="2"/>
  <c r="D700" i="2"/>
  <c r="K699" i="2"/>
  <c r="J699" i="2"/>
  <c r="I699" i="2"/>
  <c r="H699" i="2"/>
  <c r="G699" i="2"/>
  <c r="F699" i="2"/>
  <c r="E699" i="2"/>
  <c r="D699" i="2"/>
  <c r="K698" i="2"/>
  <c r="J698" i="2"/>
  <c r="I698" i="2"/>
  <c r="H698" i="2"/>
  <c r="G698" i="2"/>
  <c r="F698" i="2"/>
  <c r="E698" i="2"/>
  <c r="D698" i="2"/>
  <c r="K697" i="2"/>
  <c r="J697" i="2"/>
  <c r="I697" i="2"/>
  <c r="H697" i="2"/>
  <c r="G697" i="2"/>
  <c r="F697" i="2"/>
  <c r="E697" i="2"/>
  <c r="D697" i="2"/>
  <c r="K696" i="2"/>
  <c r="J696" i="2"/>
  <c r="I696" i="2"/>
  <c r="H696" i="2"/>
  <c r="G696" i="2"/>
  <c r="F696" i="2"/>
  <c r="E696" i="2"/>
  <c r="D696" i="2"/>
  <c r="K695" i="2"/>
  <c r="J695" i="2"/>
  <c r="I695" i="2"/>
  <c r="H695" i="2"/>
  <c r="G695" i="2"/>
  <c r="F695" i="2"/>
  <c r="E695" i="2"/>
  <c r="D695" i="2"/>
  <c r="K694" i="2"/>
  <c r="J694" i="2"/>
  <c r="I694" i="2"/>
  <c r="H694" i="2"/>
  <c r="G694" i="2"/>
  <c r="F694" i="2"/>
  <c r="E694" i="2"/>
  <c r="D694" i="2"/>
  <c r="K693" i="2"/>
  <c r="J693" i="2"/>
  <c r="I693" i="2"/>
  <c r="H693" i="2"/>
  <c r="G693" i="2"/>
  <c r="F693" i="2"/>
  <c r="E693" i="2"/>
  <c r="D693" i="2"/>
  <c r="K692" i="2"/>
  <c r="J692" i="2"/>
  <c r="I692" i="2"/>
  <c r="H692" i="2"/>
  <c r="G692" i="2"/>
  <c r="F692" i="2"/>
  <c r="E692" i="2"/>
  <c r="D692" i="2"/>
  <c r="K691" i="2"/>
  <c r="J691" i="2"/>
  <c r="I691" i="2"/>
  <c r="H691" i="2"/>
  <c r="G691" i="2"/>
  <c r="F691" i="2"/>
  <c r="E691" i="2"/>
  <c r="D691" i="2"/>
  <c r="K690" i="2"/>
  <c r="J690" i="2"/>
  <c r="I690" i="2"/>
  <c r="H690" i="2"/>
  <c r="G690" i="2"/>
  <c r="F690" i="2"/>
  <c r="E690" i="2"/>
  <c r="D690" i="2"/>
  <c r="K689" i="2"/>
  <c r="J689" i="2"/>
  <c r="I689" i="2"/>
  <c r="H689" i="2"/>
  <c r="G689" i="2"/>
  <c r="F689" i="2"/>
  <c r="E689" i="2"/>
  <c r="D689" i="2"/>
  <c r="K688" i="2"/>
  <c r="J688" i="2"/>
  <c r="I688" i="2"/>
  <c r="H688" i="2"/>
  <c r="G688" i="2"/>
  <c r="F688" i="2"/>
  <c r="E688" i="2"/>
  <c r="D688" i="2"/>
  <c r="K687" i="2"/>
  <c r="J687" i="2"/>
  <c r="I687" i="2"/>
  <c r="H687" i="2"/>
  <c r="G687" i="2"/>
  <c r="F687" i="2"/>
  <c r="E687" i="2"/>
  <c r="D687" i="2"/>
  <c r="K686" i="2"/>
  <c r="K718" i="2" s="1"/>
  <c r="J686" i="2"/>
  <c r="J718" i="2" s="1"/>
  <c r="I686" i="2"/>
  <c r="I718" i="2" s="1"/>
  <c r="H686" i="2"/>
  <c r="H718" i="2" s="1"/>
  <c r="G686" i="2"/>
  <c r="G718" i="2" s="1"/>
  <c r="F686" i="2"/>
  <c r="F718" i="2" s="1"/>
  <c r="E686" i="2"/>
  <c r="E718" i="2" s="1"/>
  <c r="D686" i="2"/>
  <c r="D718" i="2" s="1"/>
  <c r="K678" i="2"/>
  <c r="J678" i="2"/>
  <c r="I678" i="2"/>
  <c r="H678" i="2"/>
  <c r="G678" i="2"/>
  <c r="F678" i="2"/>
  <c r="E678" i="2"/>
  <c r="D678" i="2"/>
  <c r="K676" i="2"/>
  <c r="J676" i="2"/>
  <c r="I676" i="2"/>
  <c r="H676" i="2"/>
  <c r="G676" i="2"/>
  <c r="F676" i="2"/>
  <c r="E676" i="2"/>
  <c r="D676" i="2"/>
  <c r="K675" i="2"/>
  <c r="J675" i="2"/>
  <c r="I675" i="2"/>
  <c r="H675" i="2"/>
  <c r="G675" i="2"/>
  <c r="F675" i="2"/>
  <c r="E675" i="2"/>
  <c r="D675" i="2"/>
  <c r="K674" i="2"/>
  <c r="J674" i="2"/>
  <c r="I674" i="2"/>
  <c r="H674" i="2"/>
  <c r="G674" i="2"/>
  <c r="F674" i="2"/>
  <c r="E674" i="2"/>
  <c r="D674" i="2"/>
  <c r="K673" i="2"/>
  <c r="J673" i="2"/>
  <c r="I673" i="2"/>
  <c r="H673" i="2"/>
  <c r="G673" i="2"/>
  <c r="F673" i="2"/>
  <c r="E673" i="2"/>
  <c r="D673" i="2"/>
  <c r="K672" i="2"/>
  <c r="J672" i="2"/>
  <c r="I672" i="2"/>
  <c r="H672" i="2"/>
  <c r="G672" i="2"/>
  <c r="F672" i="2"/>
  <c r="E672" i="2"/>
  <c r="D672" i="2"/>
  <c r="K671" i="2"/>
  <c r="J671" i="2"/>
  <c r="I671" i="2"/>
  <c r="H671" i="2"/>
  <c r="G671" i="2"/>
  <c r="F671" i="2"/>
  <c r="E671" i="2"/>
  <c r="D671" i="2"/>
  <c r="K670" i="2"/>
  <c r="J670" i="2"/>
  <c r="I670" i="2"/>
  <c r="H670" i="2"/>
  <c r="G670" i="2"/>
  <c r="F670" i="2"/>
  <c r="E670" i="2"/>
  <c r="D670" i="2"/>
  <c r="K669" i="2"/>
  <c r="J669" i="2"/>
  <c r="I669" i="2"/>
  <c r="H669" i="2"/>
  <c r="G669" i="2"/>
  <c r="F669" i="2"/>
  <c r="E669" i="2"/>
  <c r="D669" i="2"/>
  <c r="K668" i="2"/>
  <c r="J668" i="2"/>
  <c r="I668" i="2"/>
  <c r="H668" i="2"/>
  <c r="G668" i="2"/>
  <c r="F668" i="2"/>
  <c r="E668" i="2"/>
  <c r="D668" i="2"/>
  <c r="K667" i="2"/>
  <c r="J667" i="2"/>
  <c r="I667" i="2"/>
  <c r="H667" i="2"/>
  <c r="G667" i="2"/>
  <c r="F667" i="2"/>
  <c r="E667" i="2"/>
  <c r="D667" i="2"/>
  <c r="K666" i="2"/>
  <c r="J666" i="2"/>
  <c r="I666" i="2"/>
  <c r="H666" i="2"/>
  <c r="G666" i="2"/>
  <c r="F666" i="2"/>
  <c r="E666" i="2"/>
  <c r="D666" i="2"/>
  <c r="K665" i="2"/>
  <c r="J665" i="2"/>
  <c r="I665" i="2"/>
  <c r="H665" i="2"/>
  <c r="G665" i="2"/>
  <c r="F665" i="2"/>
  <c r="E665" i="2"/>
  <c r="D665" i="2"/>
  <c r="K664" i="2"/>
  <c r="J664" i="2"/>
  <c r="I664" i="2"/>
  <c r="H664" i="2"/>
  <c r="G664" i="2"/>
  <c r="F664" i="2"/>
  <c r="E664" i="2"/>
  <c r="D664" i="2"/>
  <c r="K663" i="2"/>
  <c r="J663" i="2"/>
  <c r="I663" i="2"/>
  <c r="H663" i="2"/>
  <c r="G663" i="2"/>
  <c r="F663" i="2"/>
  <c r="E663" i="2"/>
  <c r="D663" i="2"/>
  <c r="K662" i="2"/>
  <c r="J662" i="2"/>
  <c r="I662" i="2"/>
  <c r="H662" i="2"/>
  <c r="G662" i="2"/>
  <c r="F662" i="2"/>
  <c r="E662" i="2"/>
  <c r="D662" i="2"/>
  <c r="K661" i="2"/>
  <c r="J661" i="2"/>
  <c r="I661" i="2"/>
  <c r="H661" i="2"/>
  <c r="G661" i="2"/>
  <c r="F661" i="2"/>
  <c r="E661" i="2"/>
  <c r="D661" i="2"/>
  <c r="K660" i="2"/>
  <c r="J660" i="2"/>
  <c r="I660" i="2"/>
  <c r="H660" i="2"/>
  <c r="G660" i="2"/>
  <c r="F660" i="2"/>
  <c r="E660" i="2"/>
  <c r="D660" i="2"/>
  <c r="K659" i="2"/>
  <c r="J659" i="2"/>
  <c r="I659" i="2"/>
  <c r="H659" i="2"/>
  <c r="G659" i="2"/>
  <c r="F659" i="2"/>
  <c r="E659" i="2"/>
  <c r="D659" i="2"/>
  <c r="K658" i="2"/>
  <c r="J658" i="2"/>
  <c r="I658" i="2"/>
  <c r="H658" i="2"/>
  <c r="G658" i="2"/>
  <c r="F658" i="2"/>
  <c r="E658" i="2"/>
  <c r="D658" i="2"/>
  <c r="K657" i="2"/>
  <c r="J657" i="2"/>
  <c r="I657" i="2"/>
  <c r="H657" i="2"/>
  <c r="G657" i="2"/>
  <c r="F657" i="2"/>
  <c r="E657" i="2"/>
  <c r="D657" i="2"/>
  <c r="K656" i="2"/>
  <c r="J656" i="2"/>
  <c r="I656" i="2"/>
  <c r="H656" i="2"/>
  <c r="G656" i="2"/>
  <c r="F656" i="2"/>
  <c r="E656" i="2"/>
  <c r="D656" i="2"/>
  <c r="K655" i="2"/>
  <c r="J655" i="2"/>
  <c r="I655" i="2"/>
  <c r="H655" i="2"/>
  <c r="G655" i="2"/>
  <c r="F655" i="2"/>
  <c r="E655" i="2"/>
  <c r="D655" i="2"/>
  <c r="K654" i="2"/>
  <c r="J654" i="2"/>
  <c r="I654" i="2"/>
  <c r="H654" i="2"/>
  <c r="G654" i="2"/>
  <c r="F654" i="2"/>
  <c r="E654" i="2"/>
  <c r="D654" i="2"/>
  <c r="K653" i="2"/>
  <c r="J653" i="2"/>
  <c r="I653" i="2"/>
  <c r="H653" i="2"/>
  <c r="G653" i="2"/>
  <c r="F653" i="2"/>
  <c r="E653" i="2"/>
  <c r="D653" i="2"/>
  <c r="K652" i="2"/>
  <c r="J652" i="2"/>
  <c r="I652" i="2"/>
  <c r="H652" i="2"/>
  <c r="G652" i="2"/>
  <c r="F652" i="2"/>
  <c r="E652" i="2"/>
  <c r="D652" i="2"/>
  <c r="K651" i="2"/>
  <c r="J651" i="2"/>
  <c r="I651" i="2"/>
  <c r="H651" i="2"/>
  <c r="G651" i="2"/>
  <c r="F651" i="2"/>
  <c r="E651" i="2"/>
  <c r="D651" i="2"/>
  <c r="K650" i="2"/>
  <c r="K682" i="2" s="1"/>
  <c r="J650" i="2"/>
  <c r="J682" i="2" s="1"/>
  <c r="I650" i="2"/>
  <c r="I682" i="2" s="1"/>
  <c r="H650" i="2"/>
  <c r="H682" i="2" s="1"/>
  <c r="G650" i="2"/>
  <c r="G682" i="2" s="1"/>
  <c r="F650" i="2"/>
  <c r="F682" i="2" s="1"/>
  <c r="E650" i="2"/>
  <c r="E682" i="2" s="1"/>
  <c r="D650" i="2"/>
  <c r="D682" i="2" s="1"/>
  <c r="K642" i="2"/>
  <c r="J642" i="2"/>
  <c r="I642" i="2"/>
  <c r="H642" i="2"/>
  <c r="G642" i="2"/>
  <c r="F642" i="2"/>
  <c r="E642" i="2"/>
  <c r="D642" i="2"/>
  <c r="K640" i="2"/>
  <c r="J640" i="2"/>
  <c r="I640" i="2"/>
  <c r="H640" i="2"/>
  <c r="G640" i="2"/>
  <c r="F640" i="2"/>
  <c r="E640" i="2"/>
  <c r="D640" i="2"/>
  <c r="K639" i="2"/>
  <c r="J639" i="2"/>
  <c r="I639" i="2"/>
  <c r="H639" i="2"/>
  <c r="G639" i="2"/>
  <c r="F639" i="2"/>
  <c r="E639" i="2"/>
  <c r="D639" i="2"/>
  <c r="K638" i="2"/>
  <c r="J638" i="2"/>
  <c r="I638" i="2"/>
  <c r="H638" i="2"/>
  <c r="G638" i="2"/>
  <c r="F638" i="2"/>
  <c r="E638" i="2"/>
  <c r="D638" i="2"/>
  <c r="K637" i="2"/>
  <c r="J637" i="2"/>
  <c r="I637" i="2"/>
  <c r="H637" i="2"/>
  <c r="G637" i="2"/>
  <c r="F637" i="2"/>
  <c r="E637" i="2"/>
  <c r="D637" i="2"/>
  <c r="K636" i="2"/>
  <c r="J636" i="2"/>
  <c r="I636" i="2"/>
  <c r="H636" i="2"/>
  <c r="G636" i="2"/>
  <c r="F636" i="2"/>
  <c r="E636" i="2"/>
  <c r="D636" i="2"/>
  <c r="K635" i="2"/>
  <c r="J635" i="2"/>
  <c r="I635" i="2"/>
  <c r="H635" i="2"/>
  <c r="G635" i="2"/>
  <c r="F635" i="2"/>
  <c r="E635" i="2"/>
  <c r="D635" i="2"/>
  <c r="K634" i="2"/>
  <c r="J634" i="2"/>
  <c r="I634" i="2"/>
  <c r="H634" i="2"/>
  <c r="G634" i="2"/>
  <c r="F634" i="2"/>
  <c r="E634" i="2"/>
  <c r="D634" i="2"/>
  <c r="K633" i="2"/>
  <c r="J633" i="2"/>
  <c r="I633" i="2"/>
  <c r="H633" i="2"/>
  <c r="G633" i="2"/>
  <c r="F633" i="2"/>
  <c r="E633" i="2"/>
  <c r="D633" i="2"/>
  <c r="K632" i="2"/>
  <c r="J632" i="2"/>
  <c r="I632" i="2"/>
  <c r="H632" i="2"/>
  <c r="G632" i="2"/>
  <c r="F632" i="2"/>
  <c r="E632" i="2"/>
  <c r="D632" i="2"/>
  <c r="K631" i="2"/>
  <c r="J631" i="2"/>
  <c r="I631" i="2"/>
  <c r="H631" i="2"/>
  <c r="G631" i="2"/>
  <c r="F631" i="2"/>
  <c r="E631" i="2"/>
  <c r="D631" i="2"/>
  <c r="K630" i="2"/>
  <c r="J630" i="2"/>
  <c r="I630" i="2"/>
  <c r="H630" i="2"/>
  <c r="G630" i="2"/>
  <c r="F630" i="2"/>
  <c r="E630" i="2"/>
  <c r="D630" i="2"/>
  <c r="K629" i="2"/>
  <c r="J629" i="2"/>
  <c r="I629" i="2"/>
  <c r="H629" i="2"/>
  <c r="G629" i="2"/>
  <c r="F629" i="2"/>
  <c r="E629" i="2"/>
  <c r="D629" i="2"/>
  <c r="K628" i="2"/>
  <c r="J628" i="2"/>
  <c r="I628" i="2"/>
  <c r="H628" i="2"/>
  <c r="G628" i="2"/>
  <c r="F628" i="2"/>
  <c r="E628" i="2"/>
  <c r="D628" i="2"/>
  <c r="K627" i="2"/>
  <c r="J627" i="2"/>
  <c r="I627" i="2"/>
  <c r="H627" i="2"/>
  <c r="G627" i="2"/>
  <c r="F627" i="2"/>
  <c r="E627" i="2"/>
  <c r="D627" i="2"/>
  <c r="K626" i="2"/>
  <c r="J626" i="2"/>
  <c r="I626" i="2"/>
  <c r="H626" i="2"/>
  <c r="G626" i="2"/>
  <c r="F626" i="2"/>
  <c r="E626" i="2"/>
  <c r="D626" i="2"/>
  <c r="K625" i="2"/>
  <c r="J625" i="2"/>
  <c r="I625" i="2"/>
  <c r="H625" i="2"/>
  <c r="G625" i="2"/>
  <c r="F625" i="2"/>
  <c r="E625" i="2"/>
  <c r="D625" i="2"/>
  <c r="K624" i="2"/>
  <c r="J624" i="2"/>
  <c r="I624" i="2"/>
  <c r="H624" i="2"/>
  <c r="G624" i="2"/>
  <c r="F624" i="2"/>
  <c r="E624" i="2"/>
  <c r="D624" i="2"/>
  <c r="K623" i="2"/>
  <c r="J623" i="2"/>
  <c r="I623" i="2"/>
  <c r="H623" i="2"/>
  <c r="G623" i="2"/>
  <c r="F623" i="2"/>
  <c r="E623" i="2"/>
  <c r="D623" i="2"/>
  <c r="K622" i="2"/>
  <c r="J622" i="2"/>
  <c r="I622" i="2"/>
  <c r="H622" i="2"/>
  <c r="G622" i="2"/>
  <c r="F622" i="2"/>
  <c r="E622" i="2"/>
  <c r="D622" i="2"/>
  <c r="K621" i="2"/>
  <c r="J621" i="2"/>
  <c r="I621" i="2"/>
  <c r="H621" i="2"/>
  <c r="G621" i="2"/>
  <c r="F621" i="2"/>
  <c r="E621" i="2"/>
  <c r="D621" i="2"/>
  <c r="K620" i="2"/>
  <c r="J620" i="2"/>
  <c r="I620" i="2"/>
  <c r="H620" i="2"/>
  <c r="G620" i="2"/>
  <c r="F620" i="2"/>
  <c r="E620" i="2"/>
  <c r="D620" i="2"/>
  <c r="K619" i="2"/>
  <c r="J619" i="2"/>
  <c r="I619" i="2"/>
  <c r="H619" i="2"/>
  <c r="G619" i="2"/>
  <c r="F619" i="2"/>
  <c r="E619" i="2"/>
  <c r="D619" i="2"/>
  <c r="K618" i="2"/>
  <c r="J618" i="2"/>
  <c r="I618" i="2"/>
  <c r="H618" i="2"/>
  <c r="G618" i="2"/>
  <c r="F618" i="2"/>
  <c r="E618" i="2"/>
  <c r="D618" i="2"/>
  <c r="K617" i="2"/>
  <c r="J617" i="2"/>
  <c r="I617" i="2"/>
  <c r="H617" i="2"/>
  <c r="G617" i="2"/>
  <c r="F617" i="2"/>
  <c r="E617" i="2"/>
  <c r="D617" i="2"/>
  <c r="K616" i="2"/>
  <c r="J616" i="2"/>
  <c r="I616" i="2"/>
  <c r="H616" i="2"/>
  <c r="G616" i="2"/>
  <c r="F616" i="2"/>
  <c r="E616" i="2"/>
  <c r="D616" i="2"/>
  <c r="K615" i="2"/>
  <c r="J615" i="2"/>
  <c r="I615" i="2"/>
  <c r="H615" i="2"/>
  <c r="G615" i="2"/>
  <c r="F615" i="2"/>
  <c r="E615" i="2"/>
  <c r="D615" i="2"/>
  <c r="K614" i="2"/>
  <c r="K646" i="2" s="1"/>
  <c r="J614" i="2"/>
  <c r="J646" i="2" s="1"/>
  <c r="I614" i="2"/>
  <c r="I646" i="2" s="1"/>
  <c r="H614" i="2"/>
  <c r="H646" i="2" s="1"/>
  <c r="G614" i="2"/>
  <c r="G646" i="2" s="1"/>
  <c r="F614" i="2"/>
  <c r="F646" i="2" s="1"/>
  <c r="E614" i="2"/>
  <c r="E646" i="2" s="1"/>
  <c r="D614" i="2"/>
  <c r="D646" i="2" s="1"/>
  <c r="K606" i="2"/>
  <c r="J606" i="2"/>
  <c r="I606" i="2"/>
  <c r="H606" i="2"/>
  <c r="G606" i="2"/>
  <c r="F606" i="2"/>
  <c r="E606" i="2"/>
  <c r="D606" i="2"/>
  <c r="K604" i="2"/>
  <c r="J604" i="2"/>
  <c r="I604" i="2"/>
  <c r="H604" i="2"/>
  <c r="G604" i="2"/>
  <c r="F604" i="2"/>
  <c r="E604" i="2"/>
  <c r="D604" i="2"/>
  <c r="K603" i="2"/>
  <c r="J603" i="2"/>
  <c r="I603" i="2"/>
  <c r="H603" i="2"/>
  <c r="G603" i="2"/>
  <c r="F603" i="2"/>
  <c r="E603" i="2"/>
  <c r="D603" i="2"/>
  <c r="K602" i="2"/>
  <c r="J602" i="2"/>
  <c r="I602" i="2"/>
  <c r="H602" i="2"/>
  <c r="G602" i="2"/>
  <c r="F602" i="2"/>
  <c r="E602" i="2"/>
  <c r="D602" i="2"/>
  <c r="K601" i="2"/>
  <c r="J601" i="2"/>
  <c r="I601" i="2"/>
  <c r="H601" i="2"/>
  <c r="G601" i="2"/>
  <c r="F601" i="2"/>
  <c r="E601" i="2"/>
  <c r="D601" i="2"/>
  <c r="K600" i="2"/>
  <c r="J600" i="2"/>
  <c r="I600" i="2"/>
  <c r="H600" i="2"/>
  <c r="G600" i="2"/>
  <c r="F600" i="2"/>
  <c r="E600" i="2"/>
  <c r="D600" i="2"/>
  <c r="K599" i="2"/>
  <c r="J599" i="2"/>
  <c r="I599" i="2"/>
  <c r="H599" i="2"/>
  <c r="G599" i="2"/>
  <c r="F599" i="2"/>
  <c r="E599" i="2"/>
  <c r="D599" i="2"/>
  <c r="K598" i="2"/>
  <c r="J598" i="2"/>
  <c r="I598" i="2"/>
  <c r="H598" i="2"/>
  <c r="G598" i="2"/>
  <c r="F598" i="2"/>
  <c r="E598" i="2"/>
  <c r="D598" i="2"/>
  <c r="K597" i="2"/>
  <c r="J597" i="2"/>
  <c r="I597" i="2"/>
  <c r="H597" i="2"/>
  <c r="G597" i="2"/>
  <c r="F597" i="2"/>
  <c r="E597" i="2"/>
  <c r="D597" i="2"/>
  <c r="K596" i="2"/>
  <c r="J596" i="2"/>
  <c r="I596" i="2"/>
  <c r="H596" i="2"/>
  <c r="G596" i="2"/>
  <c r="F596" i="2"/>
  <c r="E596" i="2"/>
  <c r="D596" i="2"/>
  <c r="K595" i="2"/>
  <c r="J595" i="2"/>
  <c r="I595" i="2"/>
  <c r="H595" i="2"/>
  <c r="G595" i="2"/>
  <c r="F595" i="2"/>
  <c r="E595" i="2"/>
  <c r="D595" i="2"/>
  <c r="K594" i="2"/>
  <c r="J594" i="2"/>
  <c r="I594" i="2"/>
  <c r="H594" i="2"/>
  <c r="G594" i="2"/>
  <c r="F594" i="2"/>
  <c r="E594" i="2"/>
  <c r="D594" i="2"/>
  <c r="K593" i="2"/>
  <c r="J593" i="2"/>
  <c r="I593" i="2"/>
  <c r="H593" i="2"/>
  <c r="G593" i="2"/>
  <c r="F593" i="2"/>
  <c r="E593" i="2"/>
  <c r="D593" i="2"/>
  <c r="K592" i="2"/>
  <c r="J592" i="2"/>
  <c r="I592" i="2"/>
  <c r="H592" i="2"/>
  <c r="G592" i="2"/>
  <c r="F592" i="2"/>
  <c r="E592" i="2"/>
  <c r="D592" i="2"/>
  <c r="K591" i="2"/>
  <c r="J591" i="2"/>
  <c r="I591" i="2"/>
  <c r="H591" i="2"/>
  <c r="G591" i="2"/>
  <c r="F591" i="2"/>
  <c r="E591" i="2"/>
  <c r="D591" i="2"/>
  <c r="K590" i="2"/>
  <c r="J590" i="2"/>
  <c r="I590" i="2"/>
  <c r="H590" i="2"/>
  <c r="G590" i="2"/>
  <c r="F590" i="2"/>
  <c r="E590" i="2"/>
  <c r="D590" i="2"/>
  <c r="K589" i="2"/>
  <c r="J589" i="2"/>
  <c r="I589" i="2"/>
  <c r="H589" i="2"/>
  <c r="G589" i="2"/>
  <c r="F589" i="2"/>
  <c r="E589" i="2"/>
  <c r="D589" i="2"/>
  <c r="K588" i="2"/>
  <c r="J588" i="2"/>
  <c r="I588" i="2"/>
  <c r="H588" i="2"/>
  <c r="G588" i="2"/>
  <c r="F588" i="2"/>
  <c r="E588" i="2"/>
  <c r="D588" i="2"/>
  <c r="K587" i="2"/>
  <c r="J587" i="2"/>
  <c r="I587" i="2"/>
  <c r="H587" i="2"/>
  <c r="G587" i="2"/>
  <c r="F587" i="2"/>
  <c r="E587" i="2"/>
  <c r="D587" i="2"/>
  <c r="K586" i="2"/>
  <c r="J586" i="2"/>
  <c r="I586" i="2"/>
  <c r="H586" i="2"/>
  <c r="G586" i="2"/>
  <c r="F586" i="2"/>
  <c r="E586" i="2"/>
  <c r="D586" i="2"/>
  <c r="K585" i="2"/>
  <c r="J585" i="2"/>
  <c r="I585" i="2"/>
  <c r="H585" i="2"/>
  <c r="G585" i="2"/>
  <c r="F585" i="2"/>
  <c r="E585" i="2"/>
  <c r="D585" i="2"/>
  <c r="K584" i="2"/>
  <c r="J584" i="2"/>
  <c r="I584" i="2"/>
  <c r="H584" i="2"/>
  <c r="G584" i="2"/>
  <c r="F584" i="2"/>
  <c r="E584" i="2"/>
  <c r="D584" i="2"/>
  <c r="K583" i="2"/>
  <c r="J583" i="2"/>
  <c r="I583" i="2"/>
  <c r="H583" i="2"/>
  <c r="G583" i="2"/>
  <c r="F583" i="2"/>
  <c r="E583" i="2"/>
  <c r="D583" i="2"/>
  <c r="K582" i="2"/>
  <c r="J582" i="2"/>
  <c r="I582" i="2"/>
  <c r="H582" i="2"/>
  <c r="G582" i="2"/>
  <c r="F582" i="2"/>
  <c r="E582" i="2"/>
  <c r="D582" i="2"/>
  <c r="K581" i="2"/>
  <c r="J581" i="2"/>
  <c r="I581" i="2"/>
  <c r="H581" i="2"/>
  <c r="G581" i="2"/>
  <c r="F581" i="2"/>
  <c r="E581" i="2"/>
  <c r="D581" i="2"/>
  <c r="K580" i="2"/>
  <c r="J580" i="2"/>
  <c r="I580" i="2"/>
  <c r="H580" i="2"/>
  <c r="G580" i="2"/>
  <c r="F580" i="2"/>
  <c r="E580" i="2"/>
  <c r="D580" i="2"/>
  <c r="K579" i="2"/>
  <c r="J579" i="2"/>
  <c r="I579" i="2"/>
  <c r="H579" i="2"/>
  <c r="G579" i="2"/>
  <c r="F579" i="2"/>
  <c r="E579" i="2"/>
  <c r="D579" i="2"/>
  <c r="K578" i="2"/>
  <c r="K610" i="2" s="1"/>
  <c r="J578" i="2"/>
  <c r="J610" i="2" s="1"/>
  <c r="I578" i="2"/>
  <c r="I610" i="2" s="1"/>
  <c r="H578" i="2"/>
  <c r="H610" i="2" s="1"/>
  <c r="G578" i="2"/>
  <c r="G610" i="2" s="1"/>
  <c r="F578" i="2"/>
  <c r="F610" i="2" s="1"/>
  <c r="E578" i="2"/>
  <c r="E610" i="2" s="1"/>
  <c r="D578" i="2"/>
  <c r="D610" i="2" s="1"/>
  <c r="K570" i="2"/>
  <c r="J570" i="2"/>
  <c r="I570" i="2"/>
  <c r="H570" i="2"/>
  <c r="G570" i="2"/>
  <c r="F570" i="2"/>
  <c r="E570" i="2"/>
  <c r="D570" i="2"/>
  <c r="K568" i="2"/>
  <c r="J568" i="2"/>
  <c r="I568" i="2"/>
  <c r="H568" i="2"/>
  <c r="G568" i="2"/>
  <c r="F568" i="2"/>
  <c r="E568" i="2"/>
  <c r="D568" i="2"/>
  <c r="K567" i="2"/>
  <c r="J567" i="2"/>
  <c r="I567" i="2"/>
  <c r="H567" i="2"/>
  <c r="G567" i="2"/>
  <c r="F567" i="2"/>
  <c r="E567" i="2"/>
  <c r="D567" i="2"/>
  <c r="K566" i="2"/>
  <c r="J566" i="2"/>
  <c r="I566" i="2"/>
  <c r="H566" i="2"/>
  <c r="G566" i="2"/>
  <c r="F566" i="2"/>
  <c r="E566" i="2"/>
  <c r="D566" i="2"/>
  <c r="K565" i="2"/>
  <c r="J565" i="2"/>
  <c r="I565" i="2"/>
  <c r="H565" i="2"/>
  <c r="G565" i="2"/>
  <c r="F565" i="2"/>
  <c r="E565" i="2"/>
  <c r="D565" i="2"/>
  <c r="K564" i="2"/>
  <c r="J564" i="2"/>
  <c r="I564" i="2"/>
  <c r="H564" i="2"/>
  <c r="G564" i="2"/>
  <c r="F564" i="2"/>
  <c r="E564" i="2"/>
  <c r="D564" i="2"/>
  <c r="K563" i="2"/>
  <c r="J563" i="2"/>
  <c r="I563" i="2"/>
  <c r="H563" i="2"/>
  <c r="G563" i="2"/>
  <c r="F563" i="2"/>
  <c r="E563" i="2"/>
  <c r="D563" i="2"/>
  <c r="K562" i="2"/>
  <c r="J562" i="2"/>
  <c r="I562" i="2"/>
  <c r="H562" i="2"/>
  <c r="G562" i="2"/>
  <c r="F562" i="2"/>
  <c r="E562" i="2"/>
  <c r="D562" i="2"/>
  <c r="K561" i="2"/>
  <c r="J561" i="2"/>
  <c r="I561" i="2"/>
  <c r="H561" i="2"/>
  <c r="G561" i="2"/>
  <c r="F561" i="2"/>
  <c r="E561" i="2"/>
  <c r="D561" i="2"/>
  <c r="K560" i="2"/>
  <c r="J560" i="2"/>
  <c r="I560" i="2"/>
  <c r="H560" i="2"/>
  <c r="G560" i="2"/>
  <c r="F560" i="2"/>
  <c r="E560" i="2"/>
  <c r="D560" i="2"/>
  <c r="K559" i="2"/>
  <c r="J559" i="2"/>
  <c r="I559" i="2"/>
  <c r="H559" i="2"/>
  <c r="G559" i="2"/>
  <c r="F559" i="2"/>
  <c r="E559" i="2"/>
  <c r="D559" i="2"/>
  <c r="K558" i="2"/>
  <c r="J558" i="2"/>
  <c r="I558" i="2"/>
  <c r="H558" i="2"/>
  <c r="G558" i="2"/>
  <c r="F558" i="2"/>
  <c r="E558" i="2"/>
  <c r="D558" i="2"/>
  <c r="K557" i="2"/>
  <c r="J557" i="2"/>
  <c r="I557" i="2"/>
  <c r="H557" i="2"/>
  <c r="G557" i="2"/>
  <c r="F557" i="2"/>
  <c r="E557" i="2"/>
  <c r="D557" i="2"/>
  <c r="K556" i="2"/>
  <c r="J556" i="2"/>
  <c r="I556" i="2"/>
  <c r="H556" i="2"/>
  <c r="G556" i="2"/>
  <c r="F556" i="2"/>
  <c r="E556" i="2"/>
  <c r="D556" i="2"/>
  <c r="K555" i="2"/>
  <c r="J555" i="2"/>
  <c r="I555" i="2"/>
  <c r="H555" i="2"/>
  <c r="G555" i="2"/>
  <c r="F555" i="2"/>
  <c r="E555" i="2"/>
  <c r="D555" i="2"/>
  <c r="K554" i="2"/>
  <c r="J554" i="2"/>
  <c r="I554" i="2"/>
  <c r="H554" i="2"/>
  <c r="G554" i="2"/>
  <c r="F554" i="2"/>
  <c r="E554" i="2"/>
  <c r="D554" i="2"/>
  <c r="K553" i="2"/>
  <c r="J553" i="2"/>
  <c r="I553" i="2"/>
  <c r="H553" i="2"/>
  <c r="G553" i="2"/>
  <c r="F553" i="2"/>
  <c r="E553" i="2"/>
  <c r="D553" i="2"/>
  <c r="K552" i="2"/>
  <c r="J552" i="2"/>
  <c r="I552" i="2"/>
  <c r="H552" i="2"/>
  <c r="G552" i="2"/>
  <c r="F552" i="2"/>
  <c r="E552" i="2"/>
  <c r="D552" i="2"/>
  <c r="K551" i="2"/>
  <c r="J551" i="2"/>
  <c r="I551" i="2"/>
  <c r="H551" i="2"/>
  <c r="G551" i="2"/>
  <c r="F551" i="2"/>
  <c r="E551" i="2"/>
  <c r="D551" i="2"/>
  <c r="K550" i="2"/>
  <c r="J550" i="2"/>
  <c r="I550" i="2"/>
  <c r="H550" i="2"/>
  <c r="G550" i="2"/>
  <c r="F550" i="2"/>
  <c r="E550" i="2"/>
  <c r="D550" i="2"/>
  <c r="K549" i="2"/>
  <c r="J549" i="2"/>
  <c r="I549" i="2"/>
  <c r="H549" i="2"/>
  <c r="G549" i="2"/>
  <c r="F549" i="2"/>
  <c r="E549" i="2"/>
  <c r="D549" i="2"/>
  <c r="K548" i="2"/>
  <c r="J548" i="2"/>
  <c r="I548" i="2"/>
  <c r="H548" i="2"/>
  <c r="G548" i="2"/>
  <c r="F548" i="2"/>
  <c r="E548" i="2"/>
  <c r="D548" i="2"/>
  <c r="K547" i="2"/>
  <c r="J547" i="2"/>
  <c r="I547" i="2"/>
  <c r="H547" i="2"/>
  <c r="G547" i="2"/>
  <c r="F547" i="2"/>
  <c r="E547" i="2"/>
  <c r="D547" i="2"/>
  <c r="K546" i="2"/>
  <c r="J546" i="2"/>
  <c r="I546" i="2"/>
  <c r="H546" i="2"/>
  <c r="G546" i="2"/>
  <c r="F546" i="2"/>
  <c r="E546" i="2"/>
  <c r="D546" i="2"/>
  <c r="K545" i="2"/>
  <c r="J545" i="2"/>
  <c r="I545" i="2"/>
  <c r="H545" i="2"/>
  <c r="G545" i="2"/>
  <c r="F545" i="2"/>
  <c r="E545" i="2"/>
  <c r="D545" i="2"/>
  <c r="K544" i="2"/>
  <c r="J544" i="2"/>
  <c r="I544" i="2"/>
  <c r="H544" i="2"/>
  <c r="G544" i="2"/>
  <c r="F544" i="2"/>
  <c r="E544" i="2"/>
  <c r="D544" i="2"/>
  <c r="K543" i="2"/>
  <c r="J543" i="2"/>
  <c r="I543" i="2"/>
  <c r="H543" i="2"/>
  <c r="G543" i="2"/>
  <c r="F543" i="2"/>
  <c r="E543" i="2"/>
  <c r="D543" i="2"/>
  <c r="K542" i="2"/>
  <c r="K574" i="2" s="1"/>
  <c r="J542" i="2"/>
  <c r="J574" i="2" s="1"/>
  <c r="I542" i="2"/>
  <c r="I574" i="2" s="1"/>
  <c r="H542" i="2"/>
  <c r="H574" i="2" s="1"/>
  <c r="G542" i="2"/>
  <c r="G574" i="2" s="1"/>
  <c r="F542" i="2"/>
  <c r="F574" i="2" s="1"/>
  <c r="E542" i="2"/>
  <c r="E574" i="2" s="1"/>
  <c r="D542" i="2"/>
  <c r="D574" i="2" s="1"/>
  <c r="K534" i="2"/>
  <c r="J534" i="2"/>
  <c r="I534" i="2"/>
  <c r="H534" i="2"/>
  <c r="G534" i="2"/>
  <c r="F534" i="2"/>
  <c r="E534" i="2"/>
  <c r="D534" i="2"/>
  <c r="K532" i="2"/>
  <c r="J532" i="2"/>
  <c r="I532" i="2"/>
  <c r="H532" i="2"/>
  <c r="G532" i="2"/>
  <c r="F532" i="2"/>
  <c r="E532" i="2"/>
  <c r="D532" i="2"/>
  <c r="K531" i="2"/>
  <c r="J531" i="2"/>
  <c r="I531" i="2"/>
  <c r="H531" i="2"/>
  <c r="G531" i="2"/>
  <c r="F531" i="2"/>
  <c r="E531" i="2"/>
  <c r="D531" i="2"/>
  <c r="K530" i="2"/>
  <c r="J530" i="2"/>
  <c r="I530" i="2"/>
  <c r="H530" i="2"/>
  <c r="G530" i="2"/>
  <c r="F530" i="2"/>
  <c r="E530" i="2"/>
  <c r="D530" i="2"/>
  <c r="K529" i="2"/>
  <c r="J529" i="2"/>
  <c r="I529" i="2"/>
  <c r="H529" i="2"/>
  <c r="G529" i="2"/>
  <c r="F529" i="2"/>
  <c r="E529" i="2"/>
  <c r="D529" i="2"/>
  <c r="K528" i="2"/>
  <c r="J528" i="2"/>
  <c r="I528" i="2"/>
  <c r="H528" i="2"/>
  <c r="G528" i="2"/>
  <c r="F528" i="2"/>
  <c r="E528" i="2"/>
  <c r="D528" i="2"/>
  <c r="K527" i="2"/>
  <c r="J527" i="2"/>
  <c r="I527" i="2"/>
  <c r="H527" i="2"/>
  <c r="G527" i="2"/>
  <c r="F527" i="2"/>
  <c r="E527" i="2"/>
  <c r="D527" i="2"/>
  <c r="K526" i="2"/>
  <c r="J526" i="2"/>
  <c r="I526" i="2"/>
  <c r="H526" i="2"/>
  <c r="G526" i="2"/>
  <c r="F526" i="2"/>
  <c r="E526" i="2"/>
  <c r="D526" i="2"/>
  <c r="K525" i="2"/>
  <c r="J525" i="2"/>
  <c r="I525" i="2"/>
  <c r="H525" i="2"/>
  <c r="G525" i="2"/>
  <c r="F525" i="2"/>
  <c r="E525" i="2"/>
  <c r="D525" i="2"/>
  <c r="K524" i="2"/>
  <c r="J524" i="2"/>
  <c r="I524" i="2"/>
  <c r="H524" i="2"/>
  <c r="G524" i="2"/>
  <c r="F524" i="2"/>
  <c r="E524" i="2"/>
  <c r="D524" i="2"/>
  <c r="K523" i="2"/>
  <c r="J523" i="2"/>
  <c r="I523" i="2"/>
  <c r="H523" i="2"/>
  <c r="G523" i="2"/>
  <c r="F523" i="2"/>
  <c r="E523" i="2"/>
  <c r="D523" i="2"/>
  <c r="K522" i="2"/>
  <c r="J522" i="2"/>
  <c r="I522" i="2"/>
  <c r="H522" i="2"/>
  <c r="G522" i="2"/>
  <c r="F522" i="2"/>
  <c r="E522" i="2"/>
  <c r="D522" i="2"/>
  <c r="K521" i="2"/>
  <c r="J521" i="2"/>
  <c r="I521" i="2"/>
  <c r="H521" i="2"/>
  <c r="G521" i="2"/>
  <c r="F521" i="2"/>
  <c r="E521" i="2"/>
  <c r="D521" i="2"/>
  <c r="K520" i="2"/>
  <c r="J520" i="2"/>
  <c r="I520" i="2"/>
  <c r="H520" i="2"/>
  <c r="G520" i="2"/>
  <c r="F520" i="2"/>
  <c r="E520" i="2"/>
  <c r="D520" i="2"/>
  <c r="K519" i="2"/>
  <c r="J519" i="2"/>
  <c r="I519" i="2"/>
  <c r="H519" i="2"/>
  <c r="G519" i="2"/>
  <c r="F519" i="2"/>
  <c r="E519" i="2"/>
  <c r="D519" i="2"/>
  <c r="K518" i="2"/>
  <c r="J518" i="2"/>
  <c r="I518" i="2"/>
  <c r="H518" i="2"/>
  <c r="G518" i="2"/>
  <c r="F518" i="2"/>
  <c r="E518" i="2"/>
  <c r="D518" i="2"/>
  <c r="K517" i="2"/>
  <c r="J517" i="2"/>
  <c r="I517" i="2"/>
  <c r="H517" i="2"/>
  <c r="G517" i="2"/>
  <c r="F517" i="2"/>
  <c r="E517" i="2"/>
  <c r="D517" i="2"/>
  <c r="K516" i="2"/>
  <c r="J516" i="2"/>
  <c r="I516" i="2"/>
  <c r="H516" i="2"/>
  <c r="G516" i="2"/>
  <c r="F516" i="2"/>
  <c r="E516" i="2"/>
  <c r="D516" i="2"/>
  <c r="K515" i="2"/>
  <c r="J515" i="2"/>
  <c r="I515" i="2"/>
  <c r="H515" i="2"/>
  <c r="G515" i="2"/>
  <c r="F515" i="2"/>
  <c r="E515" i="2"/>
  <c r="D515" i="2"/>
  <c r="K514" i="2"/>
  <c r="J514" i="2"/>
  <c r="I514" i="2"/>
  <c r="H514" i="2"/>
  <c r="G514" i="2"/>
  <c r="F514" i="2"/>
  <c r="E514" i="2"/>
  <c r="D514" i="2"/>
  <c r="K513" i="2"/>
  <c r="J513" i="2"/>
  <c r="I513" i="2"/>
  <c r="H513" i="2"/>
  <c r="G513" i="2"/>
  <c r="F513" i="2"/>
  <c r="E513" i="2"/>
  <c r="D513" i="2"/>
  <c r="K512" i="2"/>
  <c r="J512" i="2"/>
  <c r="I512" i="2"/>
  <c r="H512" i="2"/>
  <c r="G512" i="2"/>
  <c r="F512" i="2"/>
  <c r="E512" i="2"/>
  <c r="D512" i="2"/>
  <c r="K511" i="2"/>
  <c r="J511" i="2"/>
  <c r="I511" i="2"/>
  <c r="H511" i="2"/>
  <c r="G511" i="2"/>
  <c r="F511" i="2"/>
  <c r="E511" i="2"/>
  <c r="D511" i="2"/>
  <c r="K510" i="2"/>
  <c r="J510" i="2"/>
  <c r="I510" i="2"/>
  <c r="H510" i="2"/>
  <c r="G510" i="2"/>
  <c r="F510" i="2"/>
  <c r="E510" i="2"/>
  <c r="D510" i="2"/>
  <c r="K509" i="2"/>
  <c r="J509" i="2"/>
  <c r="I509" i="2"/>
  <c r="H509" i="2"/>
  <c r="G509" i="2"/>
  <c r="F509" i="2"/>
  <c r="E509" i="2"/>
  <c r="D509" i="2"/>
  <c r="K508" i="2"/>
  <c r="J508" i="2"/>
  <c r="I508" i="2"/>
  <c r="H508" i="2"/>
  <c r="G508" i="2"/>
  <c r="F508" i="2"/>
  <c r="E508" i="2"/>
  <c r="D508" i="2"/>
  <c r="K507" i="2"/>
  <c r="J507" i="2"/>
  <c r="I507" i="2"/>
  <c r="H507" i="2"/>
  <c r="G507" i="2"/>
  <c r="F507" i="2"/>
  <c r="E507" i="2"/>
  <c r="D507" i="2"/>
  <c r="K506" i="2"/>
  <c r="J506" i="2"/>
  <c r="J538" i="2" s="1"/>
  <c r="I506" i="2"/>
  <c r="I538" i="2" s="1"/>
  <c r="H506" i="2"/>
  <c r="H538" i="2" s="1"/>
  <c r="G506" i="2"/>
  <c r="F506" i="2"/>
  <c r="F538" i="2" s="1"/>
  <c r="E506" i="2"/>
  <c r="E538" i="2" s="1"/>
  <c r="D506" i="2"/>
  <c r="D538" i="2" s="1"/>
  <c r="K498" i="2"/>
  <c r="J498" i="2"/>
  <c r="I498" i="2"/>
  <c r="H498" i="2"/>
  <c r="G498" i="2"/>
  <c r="F498" i="2"/>
  <c r="E498" i="2"/>
  <c r="D498" i="2"/>
  <c r="K496" i="2"/>
  <c r="J496" i="2"/>
  <c r="I496" i="2"/>
  <c r="H496" i="2"/>
  <c r="G496" i="2"/>
  <c r="F496" i="2"/>
  <c r="E496" i="2"/>
  <c r="D496" i="2"/>
  <c r="K495" i="2"/>
  <c r="J495" i="2"/>
  <c r="I495" i="2"/>
  <c r="H495" i="2"/>
  <c r="G495" i="2"/>
  <c r="F495" i="2"/>
  <c r="E495" i="2"/>
  <c r="D495" i="2"/>
  <c r="K494" i="2"/>
  <c r="J494" i="2"/>
  <c r="I494" i="2"/>
  <c r="H494" i="2"/>
  <c r="G494" i="2"/>
  <c r="F494" i="2"/>
  <c r="E494" i="2"/>
  <c r="D494" i="2"/>
  <c r="K493" i="2"/>
  <c r="J493" i="2"/>
  <c r="I493" i="2"/>
  <c r="H493" i="2"/>
  <c r="G493" i="2"/>
  <c r="F493" i="2"/>
  <c r="E493" i="2"/>
  <c r="D493" i="2"/>
  <c r="K492" i="2"/>
  <c r="J492" i="2"/>
  <c r="I492" i="2"/>
  <c r="H492" i="2"/>
  <c r="G492" i="2"/>
  <c r="F492" i="2"/>
  <c r="E492" i="2"/>
  <c r="D492" i="2"/>
  <c r="K491" i="2"/>
  <c r="J491" i="2"/>
  <c r="I491" i="2"/>
  <c r="H491" i="2"/>
  <c r="G491" i="2"/>
  <c r="F491" i="2"/>
  <c r="E491" i="2"/>
  <c r="D491" i="2"/>
  <c r="K490" i="2"/>
  <c r="J490" i="2"/>
  <c r="I490" i="2"/>
  <c r="H490" i="2"/>
  <c r="G490" i="2"/>
  <c r="F490" i="2"/>
  <c r="E490" i="2"/>
  <c r="D490" i="2"/>
  <c r="K489" i="2"/>
  <c r="J489" i="2"/>
  <c r="I489" i="2"/>
  <c r="H489" i="2"/>
  <c r="G489" i="2"/>
  <c r="F489" i="2"/>
  <c r="E489" i="2"/>
  <c r="D489" i="2"/>
  <c r="K488" i="2"/>
  <c r="J488" i="2"/>
  <c r="I488" i="2"/>
  <c r="H488" i="2"/>
  <c r="G488" i="2"/>
  <c r="F488" i="2"/>
  <c r="E488" i="2"/>
  <c r="D488" i="2"/>
  <c r="K487" i="2"/>
  <c r="J487" i="2"/>
  <c r="I487" i="2"/>
  <c r="H487" i="2"/>
  <c r="G487" i="2"/>
  <c r="F487" i="2"/>
  <c r="E487" i="2"/>
  <c r="D487" i="2"/>
  <c r="K486" i="2"/>
  <c r="J486" i="2"/>
  <c r="I486" i="2"/>
  <c r="H486" i="2"/>
  <c r="G486" i="2"/>
  <c r="F486" i="2"/>
  <c r="E486" i="2"/>
  <c r="D486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G484" i="2"/>
  <c r="F484" i="2"/>
  <c r="E484" i="2"/>
  <c r="D484" i="2"/>
  <c r="K483" i="2"/>
  <c r="J483" i="2"/>
  <c r="I483" i="2"/>
  <c r="H483" i="2"/>
  <c r="G483" i="2"/>
  <c r="F483" i="2"/>
  <c r="E483" i="2"/>
  <c r="D483" i="2"/>
  <c r="K482" i="2"/>
  <c r="J482" i="2"/>
  <c r="I482" i="2"/>
  <c r="H482" i="2"/>
  <c r="G482" i="2"/>
  <c r="F482" i="2"/>
  <c r="E482" i="2"/>
  <c r="D482" i="2"/>
  <c r="K481" i="2"/>
  <c r="J481" i="2"/>
  <c r="I481" i="2"/>
  <c r="H481" i="2"/>
  <c r="G481" i="2"/>
  <c r="F481" i="2"/>
  <c r="E481" i="2"/>
  <c r="D481" i="2"/>
  <c r="K480" i="2"/>
  <c r="J480" i="2"/>
  <c r="I480" i="2"/>
  <c r="H480" i="2"/>
  <c r="G480" i="2"/>
  <c r="F480" i="2"/>
  <c r="E480" i="2"/>
  <c r="D480" i="2"/>
  <c r="K479" i="2"/>
  <c r="J479" i="2"/>
  <c r="I479" i="2"/>
  <c r="H479" i="2"/>
  <c r="G479" i="2"/>
  <c r="F479" i="2"/>
  <c r="E479" i="2"/>
  <c r="D479" i="2"/>
  <c r="K478" i="2"/>
  <c r="J478" i="2"/>
  <c r="I478" i="2"/>
  <c r="H478" i="2"/>
  <c r="G478" i="2"/>
  <c r="F478" i="2"/>
  <c r="E478" i="2"/>
  <c r="D478" i="2"/>
  <c r="K477" i="2"/>
  <c r="J477" i="2"/>
  <c r="I477" i="2"/>
  <c r="H477" i="2"/>
  <c r="G477" i="2"/>
  <c r="F477" i="2"/>
  <c r="E477" i="2"/>
  <c r="D477" i="2"/>
  <c r="K476" i="2"/>
  <c r="J476" i="2"/>
  <c r="I476" i="2"/>
  <c r="H476" i="2"/>
  <c r="G476" i="2"/>
  <c r="F476" i="2"/>
  <c r="E476" i="2"/>
  <c r="D476" i="2"/>
  <c r="K475" i="2"/>
  <c r="J475" i="2"/>
  <c r="I475" i="2"/>
  <c r="H475" i="2"/>
  <c r="G475" i="2"/>
  <c r="F475" i="2"/>
  <c r="E475" i="2"/>
  <c r="D475" i="2"/>
  <c r="K474" i="2"/>
  <c r="J474" i="2"/>
  <c r="I474" i="2"/>
  <c r="H474" i="2"/>
  <c r="G474" i="2"/>
  <c r="F474" i="2"/>
  <c r="E474" i="2"/>
  <c r="D474" i="2"/>
  <c r="K473" i="2"/>
  <c r="J473" i="2"/>
  <c r="I473" i="2"/>
  <c r="H473" i="2"/>
  <c r="G473" i="2"/>
  <c r="F473" i="2"/>
  <c r="E473" i="2"/>
  <c r="D473" i="2"/>
  <c r="K472" i="2"/>
  <c r="J472" i="2"/>
  <c r="I472" i="2"/>
  <c r="H472" i="2"/>
  <c r="G472" i="2"/>
  <c r="F472" i="2"/>
  <c r="E472" i="2"/>
  <c r="D472" i="2"/>
  <c r="K471" i="2"/>
  <c r="J471" i="2"/>
  <c r="I471" i="2"/>
  <c r="H471" i="2"/>
  <c r="G471" i="2"/>
  <c r="F471" i="2"/>
  <c r="E471" i="2"/>
  <c r="D471" i="2"/>
  <c r="K470" i="2"/>
  <c r="K502" i="2" s="1"/>
  <c r="J470" i="2"/>
  <c r="J502" i="2" s="1"/>
  <c r="I470" i="2"/>
  <c r="I502" i="2" s="1"/>
  <c r="H470" i="2"/>
  <c r="H502" i="2" s="1"/>
  <c r="G470" i="2"/>
  <c r="G502" i="2" s="1"/>
  <c r="F470" i="2"/>
  <c r="F502" i="2" s="1"/>
  <c r="E470" i="2"/>
  <c r="E502" i="2" s="1"/>
  <c r="D470" i="2"/>
  <c r="D502" i="2" s="1"/>
  <c r="K462" i="2"/>
  <c r="J462" i="2"/>
  <c r="I462" i="2"/>
  <c r="H462" i="2"/>
  <c r="G462" i="2"/>
  <c r="F462" i="2"/>
  <c r="E462" i="2"/>
  <c r="D462" i="2"/>
  <c r="K460" i="2"/>
  <c r="J460" i="2"/>
  <c r="I460" i="2"/>
  <c r="H460" i="2"/>
  <c r="G460" i="2"/>
  <c r="F460" i="2"/>
  <c r="E460" i="2"/>
  <c r="D460" i="2"/>
  <c r="K459" i="2"/>
  <c r="J459" i="2"/>
  <c r="I459" i="2"/>
  <c r="H459" i="2"/>
  <c r="G459" i="2"/>
  <c r="F459" i="2"/>
  <c r="E459" i="2"/>
  <c r="D459" i="2"/>
  <c r="K458" i="2"/>
  <c r="J458" i="2"/>
  <c r="I458" i="2"/>
  <c r="H458" i="2"/>
  <c r="G458" i="2"/>
  <c r="F458" i="2"/>
  <c r="E458" i="2"/>
  <c r="D458" i="2"/>
  <c r="K457" i="2"/>
  <c r="J457" i="2"/>
  <c r="I457" i="2"/>
  <c r="H457" i="2"/>
  <c r="G457" i="2"/>
  <c r="F457" i="2"/>
  <c r="E457" i="2"/>
  <c r="D457" i="2"/>
  <c r="K456" i="2"/>
  <c r="J456" i="2"/>
  <c r="I456" i="2"/>
  <c r="H456" i="2"/>
  <c r="G456" i="2"/>
  <c r="F456" i="2"/>
  <c r="E456" i="2"/>
  <c r="D456" i="2"/>
  <c r="K455" i="2"/>
  <c r="J455" i="2"/>
  <c r="I455" i="2"/>
  <c r="H455" i="2"/>
  <c r="G455" i="2"/>
  <c r="F455" i="2"/>
  <c r="E455" i="2"/>
  <c r="D455" i="2"/>
  <c r="K454" i="2"/>
  <c r="J454" i="2"/>
  <c r="I454" i="2"/>
  <c r="H454" i="2"/>
  <c r="G454" i="2"/>
  <c r="F454" i="2"/>
  <c r="E454" i="2"/>
  <c r="D454" i="2"/>
  <c r="K453" i="2"/>
  <c r="J453" i="2"/>
  <c r="I453" i="2"/>
  <c r="H453" i="2"/>
  <c r="G453" i="2"/>
  <c r="F453" i="2"/>
  <c r="E453" i="2"/>
  <c r="D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J444" i="2"/>
  <c r="I444" i="2"/>
  <c r="H444" i="2"/>
  <c r="G444" i="2"/>
  <c r="F444" i="2"/>
  <c r="E444" i="2"/>
  <c r="D444" i="2"/>
  <c r="K443" i="2"/>
  <c r="J443" i="2"/>
  <c r="I443" i="2"/>
  <c r="H443" i="2"/>
  <c r="G443" i="2"/>
  <c r="F443" i="2"/>
  <c r="E443" i="2"/>
  <c r="D443" i="2"/>
  <c r="K442" i="2"/>
  <c r="J442" i="2"/>
  <c r="I442" i="2"/>
  <c r="H442" i="2"/>
  <c r="G442" i="2"/>
  <c r="F442" i="2"/>
  <c r="E442" i="2"/>
  <c r="D442" i="2"/>
  <c r="K441" i="2"/>
  <c r="J441" i="2"/>
  <c r="I441" i="2"/>
  <c r="H441" i="2"/>
  <c r="G441" i="2"/>
  <c r="F441" i="2"/>
  <c r="E441" i="2"/>
  <c r="D441" i="2"/>
  <c r="K440" i="2"/>
  <c r="J440" i="2"/>
  <c r="I440" i="2"/>
  <c r="H440" i="2"/>
  <c r="G440" i="2"/>
  <c r="F440" i="2"/>
  <c r="E440" i="2"/>
  <c r="D440" i="2"/>
  <c r="K439" i="2"/>
  <c r="J439" i="2"/>
  <c r="I439" i="2"/>
  <c r="H439" i="2"/>
  <c r="G439" i="2"/>
  <c r="F439" i="2"/>
  <c r="E439" i="2"/>
  <c r="D439" i="2"/>
  <c r="K438" i="2"/>
  <c r="J438" i="2"/>
  <c r="I438" i="2"/>
  <c r="H438" i="2"/>
  <c r="G438" i="2"/>
  <c r="F438" i="2"/>
  <c r="E438" i="2"/>
  <c r="D438" i="2"/>
  <c r="K437" i="2"/>
  <c r="J437" i="2"/>
  <c r="I437" i="2"/>
  <c r="H437" i="2"/>
  <c r="G437" i="2"/>
  <c r="F437" i="2"/>
  <c r="E437" i="2"/>
  <c r="D437" i="2"/>
  <c r="K436" i="2"/>
  <c r="J436" i="2"/>
  <c r="I436" i="2"/>
  <c r="H436" i="2"/>
  <c r="G436" i="2"/>
  <c r="F436" i="2"/>
  <c r="E436" i="2"/>
  <c r="D436" i="2"/>
  <c r="K435" i="2"/>
  <c r="J435" i="2"/>
  <c r="I435" i="2"/>
  <c r="H435" i="2"/>
  <c r="G435" i="2"/>
  <c r="F435" i="2"/>
  <c r="E435" i="2"/>
  <c r="D435" i="2"/>
  <c r="K434" i="2"/>
  <c r="K466" i="2" s="1"/>
  <c r="J434" i="2"/>
  <c r="J466" i="2" s="1"/>
  <c r="I434" i="2"/>
  <c r="I466" i="2" s="1"/>
  <c r="H434" i="2"/>
  <c r="H466" i="2" s="1"/>
  <c r="G434" i="2"/>
  <c r="F434" i="2"/>
  <c r="F466" i="2" s="1"/>
  <c r="E434" i="2"/>
  <c r="E466" i="2" s="1"/>
  <c r="D434" i="2"/>
  <c r="D466" i="2" s="1"/>
  <c r="K426" i="2"/>
  <c r="J426" i="2"/>
  <c r="I426" i="2"/>
  <c r="H426" i="2"/>
  <c r="G426" i="2"/>
  <c r="F426" i="2"/>
  <c r="E426" i="2"/>
  <c r="D426" i="2"/>
  <c r="K424" i="2"/>
  <c r="J424" i="2"/>
  <c r="I424" i="2"/>
  <c r="H424" i="2"/>
  <c r="G424" i="2"/>
  <c r="F424" i="2"/>
  <c r="E424" i="2"/>
  <c r="D424" i="2"/>
  <c r="K423" i="2"/>
  <c r="J423" i="2"/>
  <c r="I423" i="2"/>
  <c r="H423" i="2"/>
  <c r="G423" i="2"/>
  <c r="F423" i="2"/>
  <c r="E423" i="2"/>
  <c r="D423" i="2"/>
  <c r="K422" i="2"/>
  <c r="J422" i="2"/>
  <c r="I422" i="2"/>
  <c r="H422" i="2"/>
  <c r="G422" i="2"/>
  <c r="F422" i="2"/>
  <c r="E422" i="2"/>
  <c r="D422" i="2"/>
  <c r="K421" i="2"/>
  <c r="J421" i="2"/>
  <c r="I421" i="2"/>
  <c r="H421" i="2"/>
  <c r="G421" i="2"/>
  <c r="F421" i="2"/>
  <c r="E421" i="2"/>
  <c r="D421" i="2"/>
  <c r="K420" i="2"/>
  <c r="J420" i="2"/>
  <c r="I420" i="2"/>
  <c r="H420" i="2"/>
  <c r="G420" i="2"/>
  <c r="F420" i="2"/>
  <c r="E420" i="2"/>
  <c r="D420" i="2"/>
  <c r="K419" i="2"/>
  <c r="J419" i="2"/>
  <c r="I419" i="2"/>
  <c r="H419" i="2"/>
  <c r="G419" i="2"/>
  <c r="F419" i="2"/>
  <c r="E419" i="2"/>
  <c r="D419" i="2"/>
  <c r="K418" i="2"/>
  <c r="J418" i="2"/>
  <c r="I418" i="2"/>
  <c r="H418" i="2"/>
  <c r="G418" i="2"/>
  <c r="F418" i="2"/>
  <c r="E418" i="2"/>
  <c r="D418" i="2"/>
  <c r="K417" i="2"/>
  <c r="J417" i="2"/>
  <c r="I417" i="2"/>
  <c r="H417" i="2"/>
  <c r="G417" i="2"/>
  <c r="F417" i="2"/>
  <c r="E417" i="2"/>
  <c r="D417" i="2"/>
  <c r="K416" i="2"/>
  <c r="J416" i="2"/>
  <c r="I416" i="2"/>
  <c r="H416" i="2"/>
  <c r="G416" i="2"/>
  <c r="F416" i="2"/>
  <c r="E416" i="2"/>
  <c r="D416" i="2"/>
  <c r="K415" i="2"/>
  <c r="J415" i="2"/>
  <c r="I415" i="2"/>
  <c r="H415" i="2"/>
  <c r="G415" i="2"/>
  <c r="F415" i="2"/>
  <c r="E415" i="2"/>
  <c r="D415" i="2"/>
  <c r="K414" i="2"/>
  <c r="J414" i="2"/>
  <c r="I414" i="2"/>
  <c r="H414" i="2"/>
  <c r="G414" i="2"/>
  <c r="F414" i="2"/>
  <c r="E414" i="2"/>
  <c r="D414" i="2"/>
  <c r="K413" i="2"/>
  <c r="J413" i="2"/>
  <c r="I413" i="2"/>
  <c r="H413" i="2"/>
  <c r="G413" i="2"/>
  <c r="F413" i="2"/>
  <c r="E413" i="2"/>
  <c r="D413" i="2"/>
  <c r="K412" i="2"/>
  <c r="J412" i="2"/>
  <c r="I412" i="2"/>
  <c r="H412" i="2"/>
  <c r="G412" i="2"/>
  <c r="F412" i="2"/>
  <c r="E412" i="2"/>
  <c r="D412" i="2"/>
  <c r="K411" i="2"/>
  <c r="J411" i="2"/>
  <c r="I411" i="2"/>
  <c r="H411" i="2"/>
  <c r="G411" i="2"/>
  <c r="F411" i="2"/>
  <c r="E411" i="2"/>
  <c r="D411" i="2"/>
  <c r="K410" i="2"/>
  <c r="J410" i="2"/>
  <c r="I410" i="2"/>
  <c r="H410" i="2"/>
  <c r="G410" i="2"/>
  <c r="F410" i="2"/>
  <c r="E410" i="2"/>
  <c r="D410" i="2"/>
  <c r="K409" i="2"/>
  <c r="J409" i="2"/>
  <c r="I409" i="2"/>
  <c r="H409" i="2"/>
  <c r="G409" i="2"/>
  <c r="F409" i="2"/>
  <c r="E409" i="2"/>
  <c r="D409" i="2"/>
  <c r="K408" i="2"/>
  <c r="J408" i="2"/>
  <c r="I408" i="2"/>
  <c r="H408" i="2"/>
  <c r="G408" i="2"/>
  <c r="F408" i="2"/>
  <c r="E408" i="2"/>
  <c r="D408" i="2"/>
  <c r="K407" i="2"/>
  <c r="J407" i="2"/>
  <c r="I407" i="2"/>
  <c r="H407" i="2"/>
  <c r="G407" i="2"/>
  <c r="F407" i="2"/>
  <c r="E407" i="2"/>
  <c r="D407" i="2"/>
  <c r="K406" i="2"/>
  <c r="J406" i="2"/>
  <c r="I406" i="2"/>
  <c r="H406" i="2"/>
  <c r="G406" i="2"/>
  <c r="F406" i="2"/>
  <c r="E406" i="2"/>
  <c r="D406" i="2"/>
  <c r="K405" i="2"/>
  <c r="J405" i="2"/>
  <c r="I405" i="2"/>
  <c r="H405" i="2"/>
  <c r="G405" i="2"/>
  <c r="F405" i="2"/>
  <c r="E405" i="2"/>
  <c r="D405" i="2"/>
  <c r="K404" i="2"/>
  <c r="J404" i="2"/>
  <c r="I404" i="2"/>
  <c r="H404" i="2"/>
  <c r="G404" i="2"/>
  <c r="F404" i="2"/>
  <c r="E404" i="2"/>
  <c r="D404" i="2"/>
  <c r="K403" i="2"/>
  <c r="J403" i="2"/>
  <c r="I403" i="2"/>
  <c r="H403" i="2"/>
  <c r="G403" i="2"/>
  <c r="F403" i="2"/>
  <c r="E403" i="2"/>
  <c r="D403" i="2"/>
  <c r="K402" i="2"/>
  <c r="J402" i="2"/>
  <c r="I402" i="2"/>
  <c r="H402" i="2"/>
  <c r="G402" i="2"/>
  <c r="F402" i="2"/>
  <c r="E402" i="2"/>
  <c r="D402" i="2"/>
  <c r="K401" i="2"/>
  <c r="J401" i="2"/>
  <c r="I401" i="2"/>
  <c r="H401" i="2"/>
  <c r="G401" i="2"/>
  <c r="F401" i="2"/>
  <c r="E401" i="2"/>
  <c r="D401" i="2"/>
  <c r="K400" i="2"/>
  <c r="J400" i="2"/>
  <c r="I400" i="2"/>
  <c r="H400" i="2"/>
  <c r="G400" i="2"/>
  <c r="F400" i="2"/>
  <c r="E400" i="2"/>
  <c r="D400" i="2"/>
  <c r="K399" i="2"/>
  <c r="J399" i="2"/>
  <c r="I399" i="2"/>
  <c r="H399" i="2"/>
  <c r="G399" i="2"/>
  <c r="F399" i="2"/>
  <c r="E399" i="2"/>
  <c r="D399" i="2"/>
  <c r="K398" i="2"/>
  <c r="K430" i="2" s="1"/>
  <c r="J398" i="2"/>
  <c r="J430" i="2" s="1"/>
  <c r="I398" i="2"/>
  <c r="I430" i="2" s="1"/>
  <c r="H398" i="2"/>
  <c r="H430" i="2" s="1"/>
  <c r="G398" i="2"/>
  <c r="G430" i="2" s="1"/>
  <c r="F398" i="2"/>
  <c r="F430" i="2" s="1"/>
  <c r="E398" i="2"/>
  <c r="E430" i="2" s="1"/>
  <c r="D398" i="2"/>
  <c r="D430" i="2" s="1"/>
  <c r="K390" i="2"/>
  <c r="J390" i="2"/>
  <c r="I390" i="2"/>
  <c r="H390" i="2"/>
  <c r="G390" i="2"/>
  <c r="F390" i="2"/>
  <c r="E390" i="2"/>
  <c r="D390" i="2"/>
  <c r="J388" i="2"/>
  <c r="I388" i="2"/>
  <c r="H388" i="2"/>
  <c r="G388" i="2"/>
  <c r="F388" i="2"/>
  <c r="E388" i="2"/>
  <c r="D388" i="2"/>
  <c r="J387" i="2"/>
  <c r="I387" i="2"/>
  <c r="H387" i="2"/>
  <c r="G387" i="2"/>
  <c r="F387" i="2"/>
  <c r="E387" i="2"/>
  <c r="D387" i="2"/>
  <c r="J386" i="2"/>
  <c r="I386" i="2"/>
  <c r="H386" i="2"/>
  <c r="G386" i="2"/>
  <c r="F386" i="2"/>
  <c r="E386" i="2"/>
  <c r="D386" i="2"/>
  <c r="J385" i="2"/>
  <c r="I385" i="2"/>
  <c r="H385" i="2"/>
  <c r="G385" i="2"/>
  <c r="F385" i="2"/>
  <c r="E385" i="2"/>
  <c r="D385" i="2"/>
  <c r="J384" i="2"/>
  <c r="I384" i="2"/>
  <c r="H384" i="2"/>
  <c r="G384" i="2"/>
  <c r="F384" i="2"/>
  <c r="E384" i="2"/>
  <c r="D384" i="2"/>
  <c r="J383" i="2"/>
  <c r="I383" i="2"/>
  <c r="H383" i="2"/>
  <c r="G383" i="2"/>
  <c r="F383" i="2"/>
  <c r="E383" i="2"/>
  <c r="D383" i="2"/>
  <c r="J382" i="2"/>
  <c r="I382" i="2"/>
  <c r="H382" i="2"/>
  <c r="G382" i="2"/>
  <c r="F382" i="2"/>
  <c r="E382" i="2"/>
  <c r="D382" i="2"/>
  <c r="J381" i="2"/>
  <c r="I381" i="2"/>
  <c r="H381" i="2"/>
  <c r="G381" i="2"/>
  <c r="F381" i="2"/>
  <c r="E381" i="2"/>
  <c r="D381" i="2"/>
  <c r="J380" i="2"/>
  <c r="I380" i="2"/>
  <c r="H380" i="2"/>
  <c r="G380" i="2"/>
  <c r="F380" i="2"/>
  <c r="E380" i="2"/>
  <c r="D380" i="2"/>
  <c r="J379" i="2"/>
  <c r="I379" i="2"/>
  <c r="H379" i="2"/>
  <c r="G379" i="2"/>
  <c r="F379" i="2"/>
  <c r="E379" i="2"/>
  <c r="D379" i="2"/>
  <c r="J378" i="2"/>
  <c r="I378" i="2"/>
  <c r="H378" i="2"/>
  <c r="G378" i="2"/>
  <c r="F378" i="2"/>
  <c r="E378" i="2"/>
  <c r="D378" i="2"/>
  <c r="J377" i="2"/>
  <c r="I377" i="2"/>
  <c r="H377" i="2"/>
  <c r="G377" i="2"/>
  <c r="F377" i="2"/>
  <c r="E377" i="2"/>
  <c r="D377" i="2"/>
  <c r="J376" i="2"/>
  <c r="I376" i="2"/>
  <c r="H376" i="2"/>
  <c r="G376" i="2"/>
  <c r="F376" i="2"/>
  <c r="E376" i="2"/>
  <c r="D376" i="2"/>
  <c r="J375" i="2"/>
  <c r="I375" i="2"/>
  <c r="H375" i="2"/>
  <c r="G375" i="2"/>
  <c r="F375" i="2"/>
  <c r="E375" i="2"/>
  <c r="D375" i="2"/>
  <c r="J374" i="2"/>
  <c r="I374" i="2"/>
  <c r="H374" i="2"/>
  <c r="G374" i="2"/>
  <c r="F374" i="2"/>
  <c r="E374" i="2"/>
  <c r="D374" i="2"/>
  <c r="J373" i="2"/>
  <c r="I373" i="2"/>
  <c r="H373" i="2"/>
  <c r="G373" i="2"/>
  <c r="F373" i="2"/>
  <c r="E373" i="2"/>
  <c r="D373" i="2"/>
  <c r="J372" i="2"/>
  <c r="I372" i="2"/>
  <c r="H372" i="2"/>
  <c r="G372" i="2"/>
  <c r="F372" i="2"/>
  <c r="E372" i="2"/>
  <c r="D372" i="2"/>
  <c r="J371" i="2"/>
  <c r="I371" i="2"/>
  <c r="H371" i="2"/>
  <c r="G371" i="2"/>
  <c r="F371" i="2"/>
  <c r="E371" i="2"/>
  <c r="D371" i="2"/>
  <c r="J370" i="2"/>
  <c r="I370" i="2"/>
  <c r="H370" i="2"/>
  <c r="G370" i="2"/>
  <c r="F370" i="2"/>
  <c r="E370" i="2"/>
  <c r="D370" i="2"/>
  <c r="J369" i="2"/>
  <c r="I369" i="2"/>
  <c r="H369" i="2"/>
  <c r="G369" i="2"/>
  <c r="F369" i="2"/>
  <c r="E369" i="2"/>
  <c r="D369" i="2"/>
  <c r="J368" i="2"/>
  <c r="I368" i="2"/>
  <c r="H368" i="2"/>
  <c r="G368" i="2"/>
  <c r="F368" i="2"/>
  <c r="E368" i="2"/>
  <c r="D368" i="2"/>
  <c r="J367" i="2"/>
  <c r="I367" i="2"/>
  <c r="H367" i="2"/>
  <c r="G367" i="2"/>
  <c r="F367" i="2"/>
  <c r="E367" i="2"/>
  <c r="D367" i="2"/>
  <c r="J366" i="2"/>
  <c r="I366" i="2"/>
  <c r="H366" i="2"/>
  <c r="G366" i="2"/>
  <c r="F366" i="2"/>
  <c r="E366" i="2"/>
  <c r="D366" i="2"/>
  <c r="J365" i="2"/>
  <c r="I365" i="2"/>
  <c r="H365" i="2"/>
  <c r="G365" i="2"/>
  <c r="F365" i="2"/>
  <c r="E365" i="2"/>
  <c r="D365" i="2"/>
  <c r="J364" i="2"/>
  <c r="I364" i="2"/>
  <c r="H364" i="2"/>
  <c r="G364" i="2"/>
  <c r="F364" i="2"/>
  <c r="E364" i="2"/>
  <c r="D364" i="2"/>
  <c r="J363" i="2"/>
  <c r="I363" i="2"/>
  <c r="H363" i="2"/>
  <c r="G363" i="2"/>
  <c r="F363" i="2"/>
  <c r="E363" i="2"/>
  <c r="D363" i="2"/>
  <c r="K362" i="2"/>
  <c r="K394" i="2" s="1"/>
  <c r="J362" i="2"/>
  <c r="I362" i="2"/>
  <c r="I394" i="2" s="1"/>
  <c r="H362" i="2"/>
  <c r="G362" i="2"/>
  <c r="F362" i="2"/>
  <c r="E362" i="2"/>
  <c r="E394" i="2" s="1"/>
  <c r="D362" i="2"/>
  <c r="K354" i="2"/>
  <c r="J354" i="2"/>
  <c r="I354" i="2"/>
  <c r="H354" i="2"/>
  <c r="G354" i="2"/>
  <c r="F354" i="2"/>
  <c r="E354" i="2"/>
  <c r="D354" i="2"/>
  <c r="K352" i="2"/>
  <c r="J352" i="2"/>
  <c r="I352" i="2"/>
  <c r="H352" i="2"/>
  <c r="G352" i="2"/>
  <c r="F352" i="2"/>
  <c r="E352" i="2"/>
  <c r="D352" i="2"/>
  <c r="K351" i="2"/>
  <c r="J351" i="2"/>
  <c r="I351" i="2"/>
  <c r="H351" i="2"/>
  <c r="G351" i="2"/>
  <c r="F351" i="2"/>
  <c r="E351" i="2"/>
  <c r="D351" i="2"/>
  <c r="K350" i="2"/>
  <c r="J350" i="2"/>
  <c r="I350" i="2"/>
  <c r="H350" i="2"/>
  <c r="G350" i="2"/>
  <c r="F350" i="2"/>
  <c r="E350" i="2"/>
  <c r="D350" i="2"/>
  <c r="K349" i="2"/>
  <c r="J349" i="2"/>
  <c r="I349" i="2"/>
  <c r="H349" i="2"/>
  <c r="G349" i="2"/>
  <c r="F349" i="2"/>
  <c r="E349" i="2"/>
  <c r="D349" i="2"/>
  <c r="K348" i="2"/>
  <c r="J348" i="2"/>
  <c r="I348" i="2"/>
  <c r="H348" i="2"/>
  <c r="G348" i="2"/>
  <c r="F348" i="2"/>
  <c r="E348" i="2"/>
  <c r="D348" i="2"/>
  <c r="K347" i="2"/>
  <c r="J347" i="2"/>
  <c r="I347" i="2"/>
  <c r="H347" i="2"/>
  <c r="G347" i="2"/>
  <c r="F347" i="2"/>
  <c r="E347" i="2"/>
  <c r="D347" i="2"/>
  <c r="K346" i="2"/>
  <c r="J346" i="2"/>
  <c r="I346" i="2"/>
  <c r="H346" i="2"/>
  <c r="G346" i="2"/>
  <c r="F346" i="2"/>
  <c r="E346" i="2"/>
  <c r="D346" i="2"/>
  <c r="K345" i="2"/>
  <c r="J345" i="2"/>
  <c r="I345" i="2"/>
  <c r="H345" i="2"/>
  <c r="G345" i="2"/>
  <c r="F345" i="2"/>
  <c r="E345" i="2"/>
  <c r="D345" i="2"/>
  <c r="K344" i="2"/>
  <c r="J344" i="2"/>
  <c r="I344" i="2"/>
  <c r="H344" i="2"/>
  <c r="G344" i="2"/>
  <c r="F344" i="2"/>
  <c r="E344" i="2"/>
  <c r="D344" i="2"/>
  <c r="K343" i="2"/>
  <c r="J343" i="2"/>
  <c r="I343" i="2"/>
  <c r="H343" i="2"/>
  <c r="G343" i="2"/>
  <c r="F343" i="2"/>
  <c r="E343" i="2"/>
  <c r="D343" i="2"/>
  <c r="K342" i="2"/>
  <c r="J342" i="2"/>
  <c r="I342" i="2"/>
  <c r="H342" i="2"/>
  <c r="G342" i="2"/>
  <c r="F342" i="2"/>
  <c r="E342" i="2"/>
  <c r="D342" i="2"/>
  <c r="K341" i="2"/>
  <c r="J341" i="2"/>
  <c r="I341" i="2"/>
  <c r="H341" i="2"/>
  <c r="G341" i="2"/>
  <c r="F341" i="2"/>
  <c r="E341" i="2"/>
  <c r="D341" i="2"/>
  <c r="K340" i="2"/>
  <c r="J340" i="2"/>
  <c r="I340" i="2"/>
  <c r="H340" i="2"/>
  <c r="G340" i="2"/>
  <c r="F340" i="2"/>
  <c r="E340" i="2"/>
  <c r="D340" i="2"/>
  <c r="K339" i="2"/>
  <c r="J339" i="2"/>
  <c r="I339" i="2"/>
  <c r="H339" i="2"/>
  <c r="G339" i="2"/>
  <c r="F339" i="2"/>
  <c r="E339" i="2"/>
  <c r="D339" i="2"/>
  <c r="K338" i="2"/>
  <c r="J338" i="2"/>
  <c r="I338" i="2"/>
  <c r="H338" i="2"/>
  <c r="G338" i="2"/>
  <c r="F338" i="2"/>
  <c r="E338" i="2"/>
  <c r="D338" i="2"/>
  <c r="K337" i="2"/>
  <c r="J337" i="2"/>
  <c r="I337" i="2"/>
  <c r="H337" i="2"/>
  <c r="G337" i="2"/>
  <c r="F337" i="2"/>
  <c r="E337" i="2"/>
  <c r="D337" i="2"/>
  <c r="K336" i="2"/>
  <c r="J336" i="2"/>
  <c r="I336" i="2"/>
  <c r="H336" i="2"/>
  <c r="G336" i="2"/>
  <c r="F336" i="2"/>
  <c r="E336" i="2"/>
  <c r="D336" i="2"/>
  <c r="K335" i="2"/>
  <c r="J335" i="2"/>
  <c r="I335" i="2"/>
  <c r="H335" i="2"/>
  <c r="G335" i="2"/>
  <c r="F335" i="2"/>
  <c r="E335" i="2"/>
  <c r="D335" i="2"/>
  <c r="K334" i="2"/>
  <c r="J334" i="2"/>
  <c r="I334" i="2"/>
  <c r="H334" i="2"/>
  <c r="G334" i="2"/>
  <c r="F334" i="2"/>
  <c r="E334" i="2"/>
  <c r="D334" i="2"/>
  <c r="K333" i="2"/>
  <c r="J333" i="2"/>
  <c r="I333" i="2"/>
  <c r="H333" i="2"/>
  <c r="G333" i="2"/>
  <c r="F333" i="2"/>
  <c r="E333" i="2"/>
  <c r="D333" i="2"/>
  <c r="K332" i="2"/>
  <c r="J332" i="2"/>
  <c r="I332" i="2"/>
  <c r="H332" i="2"/>
  <c r="G332" i="2"/>
  <c r="F332" i="2"/>
  <c r="E332" i="2"/>
  <c r="D332" i="2"/>
  <c r="K331" i="2"/>
  <c r="J331" i="2"/>
  <c r="I331" i="2"/>
  <c r="H331" i="2"/>
  <c r="G331" i="2"/>
  <c r="F331" i="2"/>
  <c r="E331" i="2"/>
  <c r="D331" i="2"/>
  <c r="K330" i="2"/>
  <c r="J330" i="2"/>
  <c r="I330" i="2"/>
  <c r="H330" i="2"/>
  <c r="G330" i="2"/>
  <c r="F330" i="2"/>
  <c r="E330" i="2"/>
  <c r="D330" i="2"/>
  <c r="K329" i="2"/>
  <c r="J329" i="2"/>
  <c r="I329" i="2"/>
  <c r="H329" i="2"/>
  <c r="G329" i="2"/>
  <c r="F329" i="2"/>
  <c r="E329" i="2"/>
  <c r="D329" i="2"/>
  <c r="K328" i="2"/>
  <c r="J328" i="2"/>
  <c r="I328" i="2"/>
  <c r="H328" i="2"/>
  <c r="G328" i="2"/>
  <c r="F328" i="2"/>
  <c r="E328" i="2"/>
  <c r="D328" i="2"/>
  <c r="K327" i="2"/>
  <c r="J327" i="2"/>
  <c r="I327" i="2"/>
  <c r="H327" i="2"/>
  <c r="G327" i="2"/>
  <c r="F327" i="2"/>
  <c r="E327" i="2"/>
  <c r="D327" i="2"/>
  <c r="K326" i="2"/>
  <c r="K358" i="2" s="1"/>
  <c r="J326" i="2"/>
  <c r="J358" i="2" s="1"/>
  <c r="I326" i="2"/>
  <c r="I358" i="2" s="1"/>
  <c r="H326" i="2"/>
  <c r="H358" i="2" s="1"/>
  <c r="G326" i="2"/>
  <c r="G358" i="2" s="1"/>
  <c r="F326" i="2"/>
  <c r="F358" i="2" s="1"/>
  <c r="E326" i="2"/>
  <c r="D326" i="2"/>
  <c r="D358" i="2" s="1"/>
  <c r="J318" i="2"/>
  <c r="I318" i="2"/>
  <c r="H318" i="2"/>
  <c r="G318" i="2"/>
  <c r="F318" i="2"/>
  <c r="E318" i="2"/>
  <c r="D318" i="2"/>
  <c r="J316" i="2"/>
  <c r="I316" i="2"/>
  <c r="H316" i="2"/>
  <c r="G316" i="2"/>
  <c r="F316" i="2"/>
  <c r="E316" i="2"/>
  <c r="D316" i="2"/>
  <c r="J315" i="2"/>
  <c r="I315" i="2"/>
  <c r="H315" i="2"/>
  <c r="G315" i="2"/>
  <c r="F315" i="2"/>
  <c r="E315" i="2"/>
  <c r="D315" i="2"/>
  <c r="J314" i="2"/>
  <c r="I314" i="2"/>
  <c r="H314" i="2"/>
  <c r="G314" i="2"/>
  <c r="F314" i="2"/>
  <c r="E314" i="2"/>
  <c r="D314" i="2"/>
  <c r="J313" i="2"/>
  <c r="I313" i="2"/>
  <c r="H313" i="2"/>
  <c r="G313" i="2"/>
  <c r="F313" i="2"/>
  <c r="E313" i="2"/>
  <c r="D313" i="2"/>
  <c r="J312" i="2"/>
  <c r="I312" i="2"/>
  <c r="H312" i="2"/>
  <c r="G312" i="2"/>
  <c r="F312" i="2"/>
  <c r="E312" i="2"/>
  <c r="D312" i="2"/>
  <c r="J311" i="2"/>
  <c r="I311" i="2"/>
  <c r="H311" i="2"/>
  <c r="G311" i="2"/>
  <c r="F311" i="2"/>
  <c r="E311" i="2"/>
  <c r="D311" i="2"/>
  <c r="J310" i="2"/>
  <c r="I310" i="2"/>
  <c r="H310" i="2"/>
  <c r="G310" i="2"/>
  <c r="F310" i="2"/>
  <c r="E310" i="2"/>
  <c r="D310" i="2"/>
  <c r="J309" i="2"/>
  <c r="I309" i="2"/>
  <c r="H309" i="2"/>
  <c r="G309" i="2"/>
  <c r="F309" i="2"/>
  <c r="E309" i="2"/>
  <c r="D309" i="2"/>
  <c r="J308" i="2"/>
  <c r="I308" i="2"/>
  <c r="H308" i="2"/>
  <c r="G308" i="2"/>
  <c r="F308" i="2"/>
  <c r="E308" i="2"/>
  <c r="D308" i="2"/>
  <c r="J307" i="2"/>
  <c r="I307" i="2"/>
  <c r="H307" i="2"/>
  <c r="G307" i="2"/>
  <c r="F307" i="2"/>
  <c r="E307" i="2"/>
  <c r="D307" i="2"/>
  <c r="J306" i="2"/>
  <c r="I306" i="2"/>
  <c r="H306" i="2"/>
  <c r="G306" i="2"/>
  <c r="F306" i="2"/>
  <c r="E306" i="2"/>
  <c r="D306" i="2"/>
  <c r="J305" i="2"/>
  <c r="I305" i="2"/>
  <c r="H305" i="2"/>
  <c r="G305" i="2"/>
  <c r="F305" i="2"/>
  <c r="E305" i="2"/>
  <c r="D305" i="2"/>
  <c r="J304" i="2"/>
  <c r="I304" i="2"/>
  <c r="H304" i="2"/>
  <c r="G304" i="2"/>
  <c r="F304" i="2"/>
  <c r="E304" i="2"/>
  <c r="D304" i="2"/>
  <c r="J303" i="2"/>
  <c r="I303" i="2"/>
  <c r="H303" i="2"/>
  <c r="G303" i="2"/>
  <c r="F303" i="2"/>
  <c r="E303" i="2"/>
  <c r="D303" i="2"/>
  <c r="J302" i="2"/>
  <c r="I302" i="2"/>
  <c r="H302" i="2"/>
  <c r="G302" i="2"/>
  <c r="F302" i="2"/>
  <c r="E302" i="2"/>
  <c r="D302" i="2"/>
  <c r="J301" i="2"/>
  <c r="I301" i="2"/>
  <c r="H301" i="2"/>
  <c r="G301" i="2"/>
  <c r="F301" i="2"/>
  <c r="E301" i="2"/>
  <c r="D301" i="2"/>
  <c r="J300" i="2"/>
  <c r="I300" i="2"/>
  <c r="H300" i="2"/>
  <c r="G300" i="2"/>
  <c r="F300" i="2"/>
  <c r="E300" i="2"/>
  <c r="D300" i="2"/>
  <c r="J299" i="2"/>
  <c r="I299" i="2"/>
  <c r="H299" i="2"/>
  <c r="G299" i="2"/>
  <c r="F299" i="2"/>
  <c r="E299" i="2"/>
  <c r="D299" i="2"/>
  <c r="J298" i="2"/>
  <c r="I298" i="2"/>
  <c r="H298" i="2"/>
  <c r="G298" i="2"/>
  <c r="F298" i="2"/>
  <c r="E298" i="2"/>
  <c r="D298" i="2"/>
  <c r="J297" i="2"/>
  <c r="I297" i="2"/>
  <c r="H297" i="2"/>
  <c r="G297" i="2"/>
  <c r="F297" i="2"/>
  <c r="E297" i="2"/>
  <c r="D297" i="2"/>
  <c r="J296" i="2"/>
  <c r="I296" i="2"/>
  <c r="H296" i="2"/>
  <c r="G296" i="2"/>
  <c r="F296" i="2"/>
  <c r="E296" i="2"/>
  <c r="D296" i="2"/>
  <c r="J295" i="2"/>
  <c r="I295" i="2"/>
  <c r="H295" i="2"/>
  <c r="G295" i="2"/>
  <c r="F295" i="2"/>
  <c r="E295" i="2"/>
  <c r="D295" i="2"/>
  <c r="J294" i="2"/>
  <c r="I294" i="2"/>
  <c r="H294" i="2"/>
  <c r="G294" i="2"/>
  <c r="F294" i="2"/>
  <c r="E294" i="2"/>
  <c r="D294" i="2"/>
  <c r="J293" i="2"/>
  <c r="I293" i="2"/>
  <c r="H293" i="2"/>
  <c r="G293" i="2"/>
  <c r="F293" i="2"/>
  <c r="E293" i="2"/>
  <c r="D293" i="2"/>
  <c r="J292" i="2"/>
  <c r="I292" i="2"/>
  <c r="H292" i="2"/>
  <c r="G292" i="2"/>
  <c r="F292" i="2"/>
  <c r="E292" i="2"/>
  <c r="D292" i="2"/>
  <c r="J291" i="2"/>
  <c r="I291" i="2"/>
  <c r="H291" i="2"/>
  <c r="G291" i="2"/>
  <c r="F291" i="2"/>
  <c r="E291" i="2"/>
  <c r="D291" i="2"/>
  <c r="K290" i="2"/>
  <c r="K322" i="2" s="1"/>
  <c r="J290" i="2"/>
  <c r="J322" i="2" s="1"/>
  <c r="I290" i="2"/>
  <c r="H290" i="2"/>
  <c r="G290" i="2"/>
  <c r="F290" i="2"/>
  <c r="F322" i="2" s="1"/>
  <c r="E290" i="2"/>
  <c r="D290" i="2"/>
  <c r="K282" i="2"/>
  <c r="J282" i="2"/>
  <c r="I282" i="2"/>
  <c r="H282" i="2"/>
  <c r="G282" i="2"/>
  <c r="F282" i="2"/>
  <c r="E282" i="2"/>
  <c r="D282" i="2"/>
  <c r="K280" i="2"/>
  <c r="J280" i="2"/>
  <c r="I280" i="2"/>
  <c r="H280" i="2"/>
  <c r="G280" i="2"/>
  <c r="F280" i="2"/>
  <c r="E280" i="2"/>
  <c r="D280" i="2"/>
  <c r="K279" i="2"/>
  <c r="J279" i="2"/>
  <c r="I279" i="2"/>
  <c r="H279" i="2"/>
  <c r="G279" i="2"/>
  <c r="F279" i="2"/>
  <c r="E279" i="2"/>
  <c r="D279" i="2"/>
  <c r="K278" i="2"/>
  <c r="J278" i="2"/>
  <c r="I278" i="2"/>
  <c r="H278" i="2"/>
  <c r="G278" i="2"/>
  <c r="F278" i="2"/>
  <c r="E278" i="2"/>
  <c r="D278" i="2"/>
  <c r="K277" i="2"/>
  <c r="J277" i="2"/>
  <c r="I277" i="2"/>
  <c r="H277" i="2"/>
  <c r="G277" i="2"/>
  <c r="F277" i="2"/>
  <c r="E277" i="2"/>
  <c r="D277" i="2"/>
  <c r="K276" i="2"/>
  <c r="J276" i="2"/>
  <c r="I276" i="2"/>
  <c r="H276" i="2"/>
  <c r="G276" i="2"/>
  <c r="F276" i="2"/>
  <c r="E276" i="2"/>
  <c r="D276" i="2"/>
  <c r="K275" i="2"/>
  <c r="J275" i="2"/>
  <c r="I275" i="2"/>
  <c r="H275" i="2"/>
  <c r="G275" i="2"/>
  <c r="F275" i="2"/>
  <c r="E275" i="2"/>
  <c r="D275" i="2"/>
  <c r="K274" i="2"/>
  <c r="J274" i="2"/>
  <c r="I274" i="2"/>
  <c r="H274" i="2"/>
  <c r="G274" i="2"/>
  <c r="F274" i="2"/>
  <c r="E274" i="2"/>
  <c r="D274" i="2"/>
  <c r="K273" i="2"/>
  <c r="J273" i="2"/>
  <c r="I273" i="2"/>
  <c r="H273" i="2"/>
  <c r="G273" i="2"/>
  <c r="F273" i="2"/>
  <c r="E273" i="2"/>
  <c r="D273" i="2"/>
  <c r="K272" i="2"/>
  <c r="J272" i="2"/>
  <c r="I272" i="2"/>
  <c r="H272" i="2"/>
  <c r="G272" i="2"/>
  <c r="F272" i="2"/>
  <c r="E272" i="2"/>
  <c r="D272" i="2"/>
  <c r="K271" i="2"/>
  <c r="J271" i="2"/>
  <c r="I271" i="2"/>
  <c r="H271" i="2"/>
  <c r="G271" i="2"/>
  <c r="F271" i="2"/>
  <c r="E271" i="2"/>
  <c r="D271" i="2"/>
  <c r="K270" i="2"/>
  <c r="J270" i="2"/>
  <c r="I270" i="2"/>
  <c r="H270" i="2"/>
  <c r="G270" i="2"/>
  <c r="F270" i="2"/>
  <c r="E270" i="2"/>
  <c r="D270" i="2"/>
  <c r="K269" i="2"/>
  <c r="J269" i="2"/>
  <c r="I269" i="2"/>
  <c r="H269" i="2"/>
  <c r="G269" i="2"/>
  <c r="F269" i="2"/>
  <c r="E269" i="2"/>
  <c r="D269" i="2"/>
  <c r="K268" i="2"/>
  <c r="J268" i="2"/>
  <c r="I268" i="2"/>
  <c r="H268" i="2"/>
  <c r="G268" i="2"/>
  <c r="F268" i="2"/>
  <c r="E268" i="2"/>
  <c r="D268" i="2"/>
  <c r="K267" i="2"/>
  <c r="J267" i="2"/>
  <c r="I267" i="2"/>
  <c r="H267" i="2"/>
  <c r="G267" i="2"/>
  <c r="F267" i="2"/>
  <c r="E267" i="2"/>
  <c r="D267" i="2"/>
  <c r="K266" i="2"/>
  <c r="J266" i="2"/>
  <c r="I266" i="2"/>
  <c r="H266" i="2"/>
  <c r="G266" i="2"/>
  <c r="F266" i="2"/>
  <c r="E266" i="2"/>
  <c r="D266" i="2"/>
  <c r="K265" i="2"/>
  <c r="J265" i="2"/>
  <c r="I265" i="2"/>
  <c r="H265" i="2"/>
  <c r="G265" i="2"/>
  <c r="F265" i="2"/>
  <c r="E265" i="2"/>
  <c r="D265" i="2"/>
  <c r="K264" i="2"/>
  <c r="J264" i="2"/>
  <c r="I264" i="2"/>
  <c r="H264" i="2"/>
  <c r="G264" i="2"/>
  <c r="F264" i="2"/>
  <c r="E264" i="2"/>
  <c r="D264" i="2"/>
  <c r="K263" i="2"/>
  <c r="J263" i="2"/>
  <c r="I263" i="2"/>
  <c r="H263" i="2"/>
  <c r="G263" i="2"/>
  <c r="F263" i="2"/>
  <c r="E263" i="2"/>
  <c r="D263" i="2"/>
  <c r="K262" i="2"/>
  <c r="J262" i="2"/>
  <c r="I262" i="2"/>
  <c r="H262" i="2"/>
  <c r="G262" i="2"/>
  <c r="F262" i="2"/>
  <c r="E262" i="2"/>
  <c r="D262" i="2"/>
  <c r="K261" i="2"/>
  <c r="J261" i="2"/>
  <c r="I261" i="2"/>
  <c r="H261" i="2"/>
  <c r="G261" i="2"/>
  <c r="F261" i="2"/>
  <c r="E261" i="2"/>
  <c r="D261" i="2"/>
  <c r="K260" i="2"/>
  <c r="J260" i="2"/>
  <c r="I260" i="2"/>
  <c r="H260" i="2"/>
  <c r="G260" i="2"/>
  <c r="F260" i="2"/>
  <c r="E260" i="2"/>
  <c r="D260" i="2"/>
  <c r="K259" i="2"/>
  <c r="J259" i="2"/>
  <c r="I259" i="2"/>
  <c r="H259" i="2"/>
  <c r="G259" i="2"/>
  <c r="F259" i="2"/>
  <c r="E259" i="2"/>
  <c r="D259" i="2"/>
  <c r="K258" i="2"/>
  <c r="J258" i="2"/>
  <c r="I258" i="2"/>
  <c r="H258" i="2"/>
  <c r="G258" i="2"/>
  <c r="F258" i="2"/>
  <c r="E258" i="2"/>
  <c r="D258" i="2"/>
  <c r="K257" i="2"/>
  <c r="J257" i="2"/>
  <c r="I257" i="2"/>
  <c r="H257" i="2"/>
  <c r="G257" i="2"/>
  <c r="F257" i="2"/>
  <c r="E257" i="2"/>
  <c r="D257" i="2"/>
  <c r="K256" i="2"/>
  <c r="K286" i="2" s="1"/>
  <c r="J256" i="2"/>
  <c r="J286" i="2" s="1"/>
  <c r="I256" i="2"/>
  <c r="I286" i="2" s="1"/>
  <c r="H256" i="2"/>
  <c r="H286" i="2" s="1"/>
  <c r="G256" i="2"/>
  <c r="G286" i="2" s="1"/>
  <c r="F256" i="2"/>
  <c r="F286" i="2" s="1"/>
  <c r="E256" i="2"/>
  <c r="E286" i="2" s="1"/>
  <c r="D256" i="2"/>
  <c r="D286" i="2" s="1"/>
  <c r="Z573" i="2" l="1"/>
  <c r="Z609" i="2"/>
  <c r="Z645" i="2"/>
  <c r="Z681" i="2"/>
  <c r="Z717" i="2"/>
  <c r="Z753" i="2"/>
  <c r="Z789" i="2"/>
  <c r="Z825" i="2"/>
  <c r="Z861" i="2"/>
  <c r="Z897" i="2"/>
  <c r="Z933" i="2"/>
  <c r="Z969" i="2"/>
  <c r="Z1005" i="2"/>
  <c r="E358" i="2"/>
  <c r="G538" i="2"/>
  <c r="Z537" i="2" s="1"/>
  <c r="F394" i="2"/>
  <c r="J394" i="2"/>
  <c r="Z429" i="2"/>
  <c r="Z501" i="2"/>
  <c r="D322" i="2"/>
  <c r="H322" i="2"/>
  <c r="G394" i="2"/>
  <c r="G466" i="2"/>
  <c r="K538" i="2"/>
  <c r="G322" i="2"/>
  <c r="E322" i="2"/>
  <c r="I322" i="2"/>
  <c r="Z357" i="2"/>
  <c r="D394" i="2"/>
  <c r="H394" i="2"/>
  <c r="Y293" i="2"/>
  <c r="Y297" i="2"/>
  <c r="Y301" i="2"/>
  <c r="Y305" i="2"/>
  <c r="Y313" i="2"/>
  <c r="Y318" i="2"/>
  <c r="Y366" i="2"/>
  <c r="Y370" i="2"/>
  <c r="Y374" i="2"/>
  <c r="Y378" i="2"/>
  <c r="Y382" i="2"/>
  <c r="Y386" i="2"/>
  <c r="Y309" i="2"/>
  <c r="Y292" i="2"/>
  <c r="Y296" i="2"/>
  <c r="Y300" i="2"/>
  <c r="Y304" i="2"/>
  <c r="Y308" i="2"/>
  <c r="Y312" i="2"/>
  <c r="Y316" i="2"/>
  <c r="Y365" i="2"/>
  <c r="Y369" i="2"/>
  <c r="Y373" i="2"/>
  <c r="Y377" i="2"/>
  <c r="Y381" i="2"/>
  <c r="Y385" i="2"/>
  <c r="Y390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6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2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8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4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70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6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2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8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4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50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257" i="2"/>
  <c r="Y260" i="2"/>
  <c r="Y262" i="2"/>
  <c r="Y264" i="2"/>
  <c r="Y267" i="2"/>
  <c r="Y270" i="2"/>
  <c r="Y273" i="2"/>
  <c r="Y275" i="2"/>
  <c r="Y277" i="2"/>
  <c r="Y280" i="2"/>
  <c r="Y290" i="2"/>
  <c r="Y299" i="2"/>
  <c r="Y303" i="2"/>
  <c r="Y307" i="2"/>
  <c r="Y364" i="2"/>
  <c r="Y368" i="2"/>
  <c r="Y384" i="2"/>
  <c r="Y256" i="2"/>
  <c r="Y258" i="2"/>
  <c r="Y259" i="2"/>
  <c r="Y261" i="2"/>
  <c r="Y263" i="2"/>
  <c r="Y265" i="2"/>
  <c r="Y266" i="2"/>
  <c r="Y268" i="2"/>
  <c r="Y269" i="2"/>
  <c r="Y271" i="2"/>
  <c r="Y272" i="2"/>
  <c r="Y274" i="2"/>
  <c r="Y276" i="2"/>
  <c r="Y278" i="2"/>
  <c r="Y279" i="2"/>
  <c r="Y282" i="2"/>
  <c r="Y291" i="2"/>
  <c r="Y295" i="2"/>
  <c r="Y311" i="2"/>
  <c r="Y315" i="2"/>
  <c r="Y372" i="2"/>
  <c r="Y376" i="2"/>
  <c r="Y380" i="2"/>
  <c r="Y388" i="2"/>
  <c r="Y294" i="2"/>
  <c r="Y298" i="2"/>
  <c r="Y302" i="2"/>
  <c r="Y306" i="2"/>
  <c r="Y310" i="2"/>
  <c r="Y314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4" i="2"/>
  <c r="Y362" i="2"/>
  <c r="Y363" i="2"/>
  <c r="Y367" i="2"/>
  <c r="Y371" i="2"/>
  <c r="Y375" i="2"/>
  <c r="Y379" i="2"/>
  <c r="Y383" i="2"/>
  <c r="Y387" i="2"/>
  <c r="Y784" i="2"/>
  <c r="Y786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2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8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4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30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6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2" i="2"/>
  <c r="Z393" i="2" l="1"/>
  <c r="Z321" i="2"/>
  <c r="Z407" i="2"/>
  <c r="Z423" i="2"/>
  <c r="Z409" i="2"/>
  <c r="Z424" i="2"/>
  <c r="Z410" i="2"/>
  <c r="Z426" i="2"/>
  <c r="Z420" i="2"/>
  <c r="Z412" i="2"/>
  <c r="Z411" i="2"/>
  <c r="Z427" i="2"/>
  <c r="Z413" i="2"/>
  <c r="Z398" i="2"/>
  <c r="Z414" i="2"/>
  <c r="Z400" i="2"/>
  <c r="Z428" i="2"/>
  <c r="Z399" i="2"/>
  <c r="Z415" i="2"/>
  <c r="Z401" i="2"/>
  <c r="Z417" i="2"/>
  <c r="Z402" i="2"/>
  <c r="Z418" i="2"/>
  <c r="Z416" i="2"/>
  <c r="Z408" i="2"/>
  <c r="Z419" i="2"/>
  <c r="Z422" i="2"/>
  <c r="Z406" i="2"/>
  <c r="Z405" i="2"/>
  <c r="Z404" i="2"/>
  <c r="Z421" i="2"/>
  <c r="Z403" i="2"/>
  <c r="Z870" i="2"/>
  <c r="Z886" i="2"/>
  <c r="Z885" i="2"/>
  <c r="Z875" i="2"/>
  <c r="Z891" i="2"/>
  <c r="Z892" i="2"/>
  <c r="Z880" i="2"/>
  <c r="Z896" i="2"/>
  <c r="Z878" i="2"/>
  <c r="Z894" i="2"/>
  <c r="Z867" i="2"/>
  <c r="Z883" i="2"/>
  <c r="Z869" i="2"/>
  <c r="Z872" i="2"/>
  <c r="Z888" i="2"/>
  <c r="Z889" i="2"/>
  <c r="Z882" i="2"/>
  <c r="Z871" i="2"/>
  <c r="Z881" i="2"/>
  <c r="Z890" i="2"/>
  <c r="Z879" i="2"/>
  <c r="Z868" i="2"/>
  <c r="Z877" i="2"/>
  <c r="Z873" i="2"/>
  <c r="Z887" i="2"/>
  <c r="Z876" i="2"/>
  <c r="Z884" i="2"/>
  <c r="Z874" i="2"/>
  <c r="Z866" i="2"/>
  <c r="Z895" i="2"/>
  <c r="Z329" i="2"/>
  <c r="Z345" i="2"/>
  <c r="Z327" i="2"/>
  <c r="Z343" i="2"/>
  <c r="Z328" i="2"/>
  <c r="Z344" i="2"/>
  <c r="Z330" i="2"/>
  <c r="Z342" i="2"/>
  <c r="Z333" i="2"/>
  <c r="Z349" i="2"/>
  <c r="Z331" i="2"/>
  <c r="Z347" i="2"/>
  <c r="Z332" i="2"/>
  <c r="Z348" i="2"/>
  <c r="Z346" i="2"/>
  <c r="Z338" i="2"/>
  <c r="Z337" i="2"/>
  <c r="Z352" i="2"/>
  <c r="Z335" i="2"/>
  <c r="Z351" i="2"/>
  <c r="Z336" i="2"/>
  <c r="Z334" i="2"/>
  <c r="Z354" i="2"/>
  <c r="Z341" i="2"/>
  <c r="Z340" i="2"/>
  <c r="Z326" i="2"/>
  <c r="Z356" i="2"/>
  <c r="Z355" i="2"/>
  <c r="Z339" i="2"/>
  <c r="Z350" i="2"/>
  <c r="Z628" i="2"/>
  <c r="Z614" i="2"/>
  <c r="Z621" i="2"/>
  <c r="Z637" i="2"/>
  <c r="Z644" i="2"/>
  <c r="Z630" i="2"/>
  <c r="Z623" i="2"/>
  <c r="Z616" i="2"/>
  <c r="Z632" i="2"/>
  <c r="Z619" i="2"/>
  <c r="Z625" i="2"/>
  <c r="Z640" i="2"/>
  <c r="Z618" i="2"/>
  <c r="Z634" i="2"/>
  <c r="Z643" i="2"/>
  <c r="Z620" i="2"/>
  <c r="Z636" i="2"/>
  <c r="Z631" i="2"/>
  <c r="Z629" i="2"/>
  <c r="Z615" i="2"/>
  <c r="Z622" i="2"/>
  <c r="Z638" i="2"/>
  <c r="Z635" i="2"/>
  <c r="Z626" i="2"/>
  <c r="Z617" i="2"/>
  <c r="Z642" i="2"/>
  <c r="Z633" i="2"/>
  <c r="Z639" i="2"/>
  <c r="Z624" i="2"/>
  <c r="Z627" i="2"/>
  <c r="Z481" i="2"/>
  <c r="Z496" i="2"/>
  <c r="Z482" i="2"/>
  <c r="Z498" i="2"/>
  <c r="Z483" i="2"/>
  <c r="Z499" i="2"/>
  <c r="Z492" i="2"/>
  <c r="Z500" i="2"/>
  <c r="Z485" i="2"/>
  <c r="Z470" i="2"/>
  <c r="Z486" i="2"/>
  <c r="Z471" i="2"/>
  <c r="Z487" i="2"/>
  <c r="Z472" i="2"/>
  <c r="Z484" i="2"/>
  <c r="Z473" i="2"/>
  <c r="Z489" i="2"/>
  <c r="Z474" i="2"/>
  <c r="Z490" i="2"/>
  <c r="Z475" i="2"/>
  <c r="Z491" i="2"/>
  <c r="Z488" i="2"/>
  <c r="Z480" i="2"/>
  <c r="Z477" i="2"/>
  <c r="Z479" i="2"/>
  <c r="Z493" i="2"/>
  <c r="Z495" i="2"/>
  <c r="Z478" i="2"/>
  <c r="Z476" i="2"/>
  <c r="Z494" i="2"/>
  <c r="Z983" i="2"/>
  <c r="Z999" i="2"/>
  <c r="Z984" i="2"/>
  <c r="Z1004" i="2"/>
  <c r="Z989" i="2"/>
  <c r="Z974" i="2"/>
  <c r="Z990" i="2"/>
  <c r="Z987" i="2"/>
  <c r="Z1003" i="2"/>
  <c r="Z988" i="2"/>
  <c r="Z977" i="2"/>
  <c r="Z993" i="2"/>
  <c r="Z978" i="2"/>
  <c r="Z994" i="2"/>
  <c r="Z975" i="2"/>
  <c r="Z991" i="2"/>
  <c r="Z976" i="2"/>
  <c r="Z992" i="2"/>
  <c r="Z981" i="2"/>
  <c r="Z997" i="2"/>
  <c r="Z982" i="2"/>
  <c r="Z998" i="2"/>
  <c r="Z995" i="2"/>
  <c r="Z1000" i="2"/>
  <c r="Z980" i="2"/>
  <c r="Z986" i="2"/>
  <c r="Z996" i="2"/>
  <c r="Z1002" i="2"/>
  <c r="Z985" i="2"/>
  <c r="Z979" i="2"/>
  <c r="Z831" i="2"/>
  <c r="Z847" i="2"/>
  <c r="Z846" i="2"/>
  <c r="Z840" i="2"/>
  <c r="Z833" i="2"/>
  <c r="Z849" i="2"/>
  <c r="Z834" i="2"/>
  <c r="Z835" i="2"/>
  <c r="Z851" i="2"/>
  <c r="Z858" i="2"/>
  <c r="Z844" i="2"/>
  <c r="Z860" i="2"/>
  <c r="Z837" i="2"/>
  <c r="Z853" i="2"/>
  <c r="Z838" i="2"/>
  <c r="Z839" i="2"/>
  <c r="Z855" i="2"/>
  <c r="Z832" i="2"/>
  <c r="Z848" i="2"/>
  <c r="Z842" i="2"/>
  <c r="Z841" i="2"/>
  <c r="Z856" i="2"/>
  <c r="Z850" i="2"/>
  <c r="Z843" i="2"/>
  <c r="Z854" i="2"/>
  <c r="Z859" i="2"/>
  <c r="Z845" i="2"/>
  <c r="Z836" i="2"/>
  <c r="Z830" i="2"/>
  <c r="Z852" i="2"/>
  <c r="Z691" i="2"/>
  <c r="Z707" i="2"/>
  <c r="Z706" i="2"/>
  <c r="Z700" i="2"/>
  <c r="Z716" i="2"/>
  <c r="Z689" i="2"/>
  <c r="Z705" i="2"/>
  <c r="Z698" i="2"/>
  <c r="Z695" i="2"/>
  <c r="Z711" i="2"/>
  <c r="Z688" i="2"/>
  <c r="Z704" i="2"/>
  <c r="Z690" i="2"/>
  <c r="Z693" i="2"/>
  <c r="Z709" i="2"/>
  <c r="Z710" i="2"/>
  <c r="Z699" i="2"/>
  <c r="Z715" i="2"/>
  <c r="Z692" i="2"/>
  <c r="Z708" i="2"/>
  <c r="Z702" i="2"/>
  <c r="Z697" i="2"/>
  <c r="Z712" i="2"/>
  <c r="Z687" i="2"/>
  <c r="Z703" i="2"/>
  <c r="Z714" i="2"/>
  <c r="Z694" i="2"/>
  <c r="Z701" i="2"/>
  <c r="Z696" i="2"/>
  <c r="Z686" i="2"/>
  <c r="Z376" i="2"/>
  <c r="Z392" i="2"/>
  <c r="Z378" i="2"/>
  <c r="Z363" i="2"/>
  <c r="Z379" i="2"/>
  <c r="Z365" i="2"/>
  <c r="Z385" i="2"/>
  <c r="Z380" i="2"/>
  <c r="Z366" i="2"/>
  <c r="Z382" i="2"/>
  <c r="Z367" i="2"/>
  <c r="Z383" i="2"/>
  <c r="Z381" i="2"/>
  <c r="Z373" i="2"/>
  <c r="Z364" i="2"/>
  <c r="Z384" i="2"/>
  <c r="Z370" i="2"/>
  <c r="Z386" i="2"/>
  <c r="Z371" i="2"/>
  <c r="Z387" i="2"/>
  <c r="Z362" i="2"/>
  <c r="Z388" i="2"/>
  <c r="Z374" i="2"/>
  <c r="Z369" i="2"/>
  <c r="Z390" i="2"/>
  <c r="Z377" i="2"/>
  <c r="Z368" i="2"/>
  <c r="Z375" i="2"/>
  <c r="Z391" i="2"/>
  <c r="Z372" i="2"/>
  <c r="Z726" i="2"/>
  <c r="Z742" i="2"/>
  <c r="Z737" i="2"/>
  <c r="Z731" i="2"/>
  <c r="Z734" i="2"/>
  <c r="Z750" i="2"/>
  <c r="Z746" i="2"/>
  <c r="Z727" i="2"/>
  <c r="Z747" i="2"/>
  <c r="Z724" i="2"/>
  <c r="Z740" i="2"/>
  <c r="Z733" i="2"/>
  <c r="Z725" i="2"/>
  <c r="Z735" i="2"/>
  <c r="Z751" i="2"/>
  <c r="Z728" i="2"/>
  <c r="Z744" i="2"/>
  <c r="Z741" i="2"/>
  <c r="Z730" i="2"/>
  <c r="Z748" i="2"/>
  <c r="Z739" i="2"/>
  <c r="Z729" i="2"/>
  <c r="Z732" i="2"/>
  <c r="Z722" i="2"/>
  <c r="Z723" i="2"/>
  <c r="Z752" i="2"/>
  <c r="Z743" i="2"/>
  <c r="Z745" i="2"/>
  <c r="Z738" i="2"/>
  <c r="Z736" i="2"/>
  <c r="Z294" i="2"/>
  <c r="Z310" i="2"/>
  <c r="Z296" i="2"/>
  <c r="Z312" i="2"/>
  <c r="Z297" i="2"/>
  <c r="Z313" i="2"/>
  <c r="Z311" i="2"/>
  <c r="Z303" i="2"/>
  <c r="Z298" i="2"/>
  <c r="Z314" i="2"/>
  <c r="Z300" i="2"/>
  <c r="Z301" i="2"/>
  <c r="Z316" i="2"/>
  <c r="Z307" i="2"/>
  <c r="Z319" i="2"/>
  <c r="Z302" i="2"/>
  <c r="Z318" i="2"/>
  <c r="Z304" i="2"/>
  <c r="Z320" i="2"/>
  <c r="Z305" i="2"/>
  <c r="Z290" i="2"/>
  <c r="Z299" i="2"/>
  <c r="Z291" i="2"/>
  <c r="Z292" i="2"/>
  <c r="Z295" i="2"/>
  <c r="Z306" i="2"/>
  <c r="Z308" i="2"/>
  <c r="Z315" i="2"/>
  <c r="Z293" i="2"/>
  <c r="Z309" i="2"/>
  <c r="Z594" i="2"/>
  <c r="Z579" i="2"/>
  <c r="Z595" i="2"/>
  <c r="Z580" i="2"/>
  <c r="Z596" i="2"/>
  <c r="Z593" i="2"/>
  <c r="Z586" i="2"/>
  <c r="Z602" i="2"/>
  <c r="Z587" i="2"/>
  <c r="Z603" i="2"/>
  <c r="Z588" i="2"/>
  <c r="Z606" i="2"/>
  <c r="Z607" i="2"/>
  <c r="Z597" i="2"/>
  <c r="Z604" i="2"/>
  <c r="Z582" i="2"/>
  <c r="Z583" i="2"/>
  <c r="Z584" i="2"/>
  <c r="Z608" i="2"/>
  <c r="Z589" i="2"/>
  <c r="Z590" i="2"/>
  <c r="Z591" i="2"/>
  <c r="Z592" i="2"/>
  <c r="Z578" i="2"/>
  <c r="Z585" i="2"/>
  <c r="Z600" i="2"/>
  <c r="Z599" i="2"/>
  <c r="Z581" i="2"/>
  <c r="Z598" i="2"/>
  <c r="Z601" i="2"/>
  <c r="Z944" i="2"/>
  <c r="Z960" i="2"/>
  <c r="Z959" i="2"/>
  <c r="Z953" i="2"/>
  <c r="Z938" i="2"/>
  <c r="Z942" i="2"/>
  <c r="Z958" i="2"/>
  <c r="Z951" i="2"/>
  <c r="Z948" i="2"/>
  <c r="Z952" i="2"/>
  <c r="Z968" i="2"/>
  <c r="Z945" i="2"/>
  <c r="Z961" i="2"/>
  <c r="Z955" i="2"/>
  <c r="Z950" i="2"/>
  <c r="Z966" i="2"/>
  <c r="Z947" i="2"/>
  <c r="Z964" i="2"/>
  <c r="Z954" i="2"/>
  <c r="Z941" i="2"/>
  <c r="Z943" i="2"/>
  <c r="Z962" i="2"/>
  <c r="Z940" i="2"/>
  <c r="Z949" i="2"/>
  <c r="Z967" i="2"/>
  <c r="Z939" i="2"/>
  <c r="Z957" i="2"/>
  <c r="Z946" i="2"/>
  <c r="Z963" i="2"/>
  <c r="Z956" i="2"/>
  <c r="Z805" i="2"/>
  <c r="Z820" i="2"/>
  <c r="Z795" i="2"/>
  <c r="Z801" i="2"/>
  <c r="Z798" i="2"/>
  <c r="Z813" i="2"/>
  <c r="Z807" i="2"/>
  <c r="Z794" i="2"/>
  <c r="Z800" i="2"/>
  <c r="Z808" i="2"/>
  <c r="Z804" i="2"/>
  <c r="Z811" i="2"/>
  <c r="Z810" i="2"/>
  <c r="Z803" i="2"/>
  <c r="Z822" i="2"/>
  <c r="Z797" i="2"/>
  <c r="Z819" i="2"/>
  <c r="Z809" i="2"/>
  <c r="Z817" i="2"/>
  <c r="Z799" i="2"/>
  <c r="Z816" i="2"/>
  <c r="Z815" i="2"/>
  <c r="Z812" i="2"/>
  <c r="Z806" i="2"/>
  <c r="Z824" i="2"/>
  <c r="Z818" i="2"/>
  <c r="Z823" i="2"/>
  <c r="Z814" i="2"/>
  <c r="Z796" i="2"/>
  <c r="Z802" i="2"/>
  <c r="Z660" i="2"/>
  <c r="Z671" i="2"/>
  <c r="Z665" i="2"/>
  <c r="Z650" i="2"/>
  <c r="Z658" i="2"/>
  <c r="Z674" i="2"/>
  <c r="Z679" i="2"/>
  <c r="Z664" i="2"/>
  <c r="Z680" i="2"/>
  <c r="Z653" i="2"/>
  <c r="Z669" i="2"/>
  <c r="Z663" i="2"/>
  <c r="Z662" i="2"/>
  <c r="Z678" i="2"/>
  <c r="Z652" i="2"/>
  <c r="Z668" i="2"/>
  <c r="Z651" i="2"/>
  <c r="Z657" i="2"/>
  <c r="Z673" i="2"/>
  <c r="Z675" i="2"/>
  <c r="Z666" i="2"/>
  <c r="Z655" i="2"/>
  <c r="Z672" i="2"/>
  <c r="Z654" i="2"/>
  <c r="Z659" i="2"/>
  <c r="Z670" i="2"/>
  <c r="Z661" i="2"/>
  <c r="Z667" i="2"/>
  <c r="Z656" i="2"/>
  <c r="Z676" i="2"/>
  <c r="Z516" i="2"/>
  <c r="Z517" i="2"/>
  <c r="Z532" i="2"/>
  <c r="Z518" i="2"/>
  <c r="Z534" i="2"/>
  <c r="Z527" i="2"/>
  <c r="Z535" i="2"/>
  <c r="Z520" i="2"/>
  <c r="Z536" i="2"/>
  <c r="Z521" i="2"/>
  <c r="Z506" i="2"/>
  <c r="Z522" i="2"/>
  <c r="Z507" i="2"/>
  <c r="Z519" i="2"/>
  <c r="Z508" i="2"/>
  <c r="Z524" i="2"/>
  <c r="Z509" i="2"/>
  <c r="Z525" i="2"/>
  <c r="Z510" i="2"/>
  <c r="Z526" i="2"/>
  <c r="Z523" i="2"/>
  <c r="Z515" i="2"/>
  <c r="Z529" i="2"/>
  <c r="Z531" i="2"/>
  <c r="Z513" i="2"/>
  <c r="Z512" i="2"/>
  <c r="Z514" i="2"/>
  <c r="Z511" i="2"/>
  <c r="Z528" i="2"/>
  <c r="Z530" i="2"/>
  <c r="Z255" i="2"/>
  <c r="Z271" i="2"/>
  <c r="Z257" i="2"/>
  <c r="Z273" i="2"/>
  <c r="Z258" i="2"/>
  <c r="Z274" i="2"/>
  <c r="Z276" i="2"/>
  <c r="Z268" i="2"/>
  <c r="Z259" i="2"/>
  <c r="Z275" i="2"/>
  <c r="Z261" i="2"/>
  <c r="Z277" i="2"/>
  <c r="Z262" i="2"/>
  <c r="Z278" i="2"/>
  <c r="Z264" i="2"/>
  <c r="Z283" i="2"/>
  <c r="Z254" i="2"/>
  <c r="Z260" i="2"/>
  <c r="Z272" i="2"/>
  <c r="Z280" i="2"/>
  <c r="Z263" i="2"/>
  <c r="Z265" i="2"/>
  <c r="Z266" i="2"/>
  <c r="Z279" i="2"/>
  <c r="Z284" i="2"/>
  <c r="Z267" i="2"/>
  <c r="Z269" i="2"/>
  <c r="Z270" i="2"/>
  <c r="Z256" i="2"/>
  <c r="Z282" i="2"/>
  <c r="Z446" i="2"/>
  <c r="Z462" i="2"/>
  <c r="Z444" i="2"/>
  <c r="Z445" i="2"/>
  <c r="Z460" i="2"/>
  <c r="Z439" i="2"/>
  <c r="Z459" i="2"/>
  <c r="Z450" i="2"/>
  <c r="Z435" i="2"/>
  <c r="Z448" i="2"/>
  <c r="Z464" i="2"/>
  <c r="Z449" i="2"/>
  <c r="Z434" i="2"/>
  <c r="Z455" i="2"/>
  <c r="Z438" i="2"/>
  <c r="Z454" i="2"/>
  <c r="Z436" i="2"/>
  <c r="Z452" i="2"/>
  <c r="Z437" i="2"/>
  <c r="Z453" i="2"/>
  <c r="Z451" i="2"/>
  <c r="Z447" i="2"/>
  <c r="Z442" i="2"/>
  <c r="Z441" i="2"/>
  <c r="Z456" i="2"/>
  <c r="Z458" i="2"/>
  <c r="Z457" i="2"/>
  <c r="Z443" i="2"/>
  <c r="Z440" i="2"/>
  <c r="Z463" i="2"/>
  <c r="Z551" i="2"/>
  <c r="Z567" i="2"/>
  <c r="Z552" i="2"/>
  <c r="Z553" i="2"/>
  <c r="Z568" i="2"/>
  <c r="Z562" i="2"/>
  <c r="Z570" i="2"/>
  <c r="Z555" i="2"/>
  <c r="Z571" i="2"/>
  <c r="Z556" i="2"/>
  <c r="Z572" i="2"/>
  <c r="Z557" i="2"/>
  <c r="Z542" i="2"/>
  <c r="Z554" i="2"/>
  <c r="Z543" i="2"/>
  <c r="Z559" i="2"/>
  <c r="Z544" i="2"/>
  <c r="Z560" i="2"/>
  <c r="Z545" i="2"/>
  <c r="Z561" i="2"/>
  <c r="Z558" i="2"/>
  <c r="Z550" i="2"/>
  <c r="Z548" i="2"/>
  <c r="Z546" i="2"/>
  <c r="Z564" i="2"/>
  <c r="Z566" i="2"/>
  <c r="Z563" i="2"/>
  <c r="Z547" i="2"/>
  <c r="Z549" i="2"/>
  <c r="Z565" i="2"/>
  <c r="Z913" i="2"/>
  <c r="Z928" i="2"/>
  <c r="Z914" i="2"/>
  <c r="Z930" i="2"/>
  <c r="Z907" i="2"/>
  <c r="Z923" i="2"/>
  <c r="Z920" i="2"/>
  <c r="Z905" i="2"/>
  <c r="Z921" i="2"/>
  <c r="Z904" i="2"/>
  <c r="Z906" i="2"/>
  <c r="Z922" i="2"/>
  <c r="Z924" i="2"/>
  <c r="Z915" i="2"/>
  <c r="Z931" i="2"/>
  <c r="Z925" i="2"/>
  <c r="Z910" i="2"/>
  <c r="Z903" i="2"/>
  <c r="Z908" i="2"/>
  <c r="Z902" i="2"/>
  <c r="Z918" i="2"/>
  <c r="Z911" i="2"/>
  <c r="Z909" i="2"/>
  <c r="Z916" i="2"/>
  <c r="Z926" i="2"/>
  <c r="Z919" i="2"/>
  <c r="Z912" i="2"/>
  <c r="Z927" i="2"/>
  <c r="Z917" i="2"/>
  <c r="Z932" i="2"/>
  <c r="Z773" i="2"/>
  <c r="Z758" i="2"/>
  <c r="Z766" i="2"/>
  <c r="Z782" i="2"/>
  <c r="Z771" i="2"/>
  <c r="Z787" i="2"/>
  <c r="Z765" i="2"/>
  <c r="Z781" i="2"/>
  <c r="Z776" i="2"/>
  <c r="Z774" i="2"/>
  <c r="Z760" i="2"/>
  <c r="Z763" i="2"/>
  <c r="Z779" i="2"/>
  <c r="Z780" i="2"/>
  <c r="Z761" i="2"/>
  <c r="Z768" i="2"/>
  <c r="Z786" i="2"/>
  <c r="Z775" i="2"/>
  <c r="Z769" i="2"/>
  <c r="Z762" i="2"/>
  <c r="Z772" i="2"/>
  <c r="Z783" i="2"/>
  <c r="Z777" i="2"/>
  <c r="Z770" i="2"/>
  <c r="Z759" i="2"/>
  <c r="Z764" i="2"/>
  <c r="Z784" i="2"/>
  <c r="Z778" i="2"/>
  <c r="Z767" i="2"/>
  <c r="Z788" i="2"/>
</calcChain>
</file>

<file path=xl/sharedStrings.xml><?xml version="1.0" encoding="utf-8"?>
<sst xmlns="http://schemas.openxmlformats.org/spreadsheetml/2006/main" count="1757" uniqueCount="708">
  <si>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</si>
  <si>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</si>
  <si>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</si>
  <si>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</si>
  <si>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</si>
  <si>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</si>
  <si>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</si>
  <si>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</si>
  <si>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</si>
  <si>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</si>
  <si>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</si>
  <si>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</si>
  <si>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</si>
  <si>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</si>
  <si>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</si>
  <si>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</si>
  <si>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</si>
  <si>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</si>
  <si>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</si>
  <si>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</si>
  <si>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</si>
  <si>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</si>
  <si>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</si>
  <si>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</si>
  <si>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</si>
  <si>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</si>
  <si>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</si>
  <si>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</si>
  <si>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</si>
  <si>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</si>
  <si>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</si>
  <si>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</si>
  <si>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</si>
  <si>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</si>
  <si>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</si>
  <si>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</si>
  <si>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</si>
  <si>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</si>
  <si>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</si>
  <si>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</si>
  <si>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</si>
  <si>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Z10</t>
  </si>
  <si>
    <t>Z11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</si>
  <si>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</si>
  <si>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</si>
  <si>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</si>
  <si>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</si>
  <si>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</si>
  <si>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</si>
  <si>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</si>
  <si>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</si>
  <si>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</si>
  <si>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</si>
  <si>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</si>
  <si>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</si>
  <si>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</si>
  <si>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</si>
  <si>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</si>
  <si>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</si>
  <si>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</si>
  <si>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</si>
  <si>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</si>
  <si>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</si>
  <si>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</si>
  <si>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</si>
  <si>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</si>
  <si>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</si>
  <si>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</si>
  <si>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</si>
  <si>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</si>
  <si>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</si>
  <si>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CORR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</si>
  <si>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</si>
  <si>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</si>
  <si>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</si>
  <si>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</si>
  <si>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</si>
  <si>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</si>
  <si>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</si>
  <si>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</si>
  <si>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Z20</t>
  </si>
  <si>
    <t>Z21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</si>
  <si>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</si>
  <si>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</si>
  <si>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</si>
  <si>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</si>
  <si>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</si>
  <si>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</si>
  <si>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</si>
  <si>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</si>
  <si>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Z30</t>
  </si>
  <si>
    <t>Z31</t>
  </si>
  <si>
    <t>Z40</t>
  </si>
  <si>
    <t>Z41</t>
  </si>
  <si>
    <t>Z50</t>
  </si>
  <si>
    <t>Z51</t>
  </si>
  <si>
    <t>Z60</t>
  </si>
  <si>
    <t>Z61</t>
  </si>
  <si>
    <t>Z70</t>
  </si>
  <si>
    <t>Z71</t>
  </si>
  <si>
    <t>BSS*MAXT 44</t>
  </si>
  <si>
    <t>BSS*MAXT 45</t>
  </si>
  <si>
    <t>BSS*MAXT 46</t>
  </si>
  <si>
    <t>BSS*MAXT 47</t>
  </si>
  <si>
    <t>BSS*MAXT 48</t>
  </si>
  <si>
    <t>BSS*MAXT 49</t>
  </si>
  <si>
    <t>BSS*MAXT 50</t>
  </si>
  <si>
    <t>BSS*MAXT 51</t>
  </si>
  <si>
    <t>Z120</t>
  </si>
  <si>
    <t>Z121</t>
  </si>
  <si>
    <t>BSS*MINT 44</t>
  </si>
  <si>
    <t>BSS*MINT 45</t>
  </si>
  <si>
    <t>BSS*MINT 46</t>
  </si>
  <si>
    <t>BSS*MINT 47</t>
  </si>
  <si>
    <t>BSS*MINT 48</t>
  </si>
  <si>
    <t>BSS*MINT 49</t>
  </si>
  <si>
    <t>BSS*MINT 50</t>
  </si>
  <si>
    <t>BSS*MINT 51</t>
  </si>
  <si>
    <t>Z130</t>
  </si>
  <si>
    <t>Z131</t>
  </si>
  <si>
    <t>BSS*RH1 44</t>
  </si>
  <si>
    <t>BSS*RH1 45</t>
  </si>
  <si>
    <t>BSS*RH1 46</t>
  </si>
  <si>
    <t>BSS*RH1 47</t>
  </si>
  <si>
    <t>BSS*RH1 48</t>
  </si>
  <si>
    <t>BSS*RH1 49</t>
  </si>
  <si>
    <t>BSS*RH1 50</t>
  </si>
  <si>
    <t>BSS*RH1 51</t>
  </si>
  <si>
    <t>Z140</t>
  </si>
  <si>
    <t>Z141</t>
  </si>
  <si>
    <t>BSS*RH2 44</t>
  </si>
  <si>
    <t>BSS*RH2 45</t>
  </si>
  <si>
    <t>BSS*RH2 46</t>
  </si>
  <si>
    <t>BSS*RH2 47</t>
  </si>
  <si>
    <t>BSS*RH2 48</t>
  </si>
  <si>
    <t>BSS*RH2 49</t>
  </si>
  <si>
    <t>BSS*RH2 50</t>
  </si>
  <si>
    <t>BSS*RH2 51</t>
  </si>
  <si>
    <t>Z150</t>
  </si>
  <si>
    <t>Z151</t>
  </si>
  <si>
    <t>BSS*VP1 44</t>
  </si>
  <si>
    <t>BSS*VP1 45</t>
  </si>
  <si>
    <t>BSS*VP1 46</t>
  </si>
  <si>
    <t>BSS*VP1 47</t>
  </si>
  <si>
    <t>BSS*VP1 48</t>
  </si>
  <si>
    <t>BSS*VP1 49</t>
  </si>
  <si>
    <t>BSS*VP1 50</t>
  </si>
  <si>
    <t>BSS*VP1 51</t>
  </si>
  <si>
    <t>Z160</t>
  </si>
  <si>
    <t>Z161</t>
  </si>
  <si>
    <t>BSS*VP2 44</t>
  </si>
  <si>
    <t>BSS*VP2 45</t>
  </si>
  <si>
    <t>BSS*VP2 46</t>
  </si>
  <si>
    <t>BSS*VP2 47</t>
  </si>
  <si>
    <t>BSS*VP2 48</t>
  </si>
  <si>
    <t>BSS*VP2 49</t>
  </si>
  <si>
    <t>BSS*VP2 50</t>
  </si>
  <si>
    <t>BSS*VP2 51</t>
  </si>
  <si>
    <t>Z170</t>
  </si>
  <si>
    <t>Z171</t>
  </si>
  <si>
    <t>MAXT*MINT 44</t>
  </si>
  <si>
    <t>MAXT*MINT 45</t>
  </si>
  <si>
    <t>MAXT*MINT 46</t>
  </si>
  <si>
    <t>MAXT*MINT 47</t>
  </si>
  <si>
    <t>MAXT*MINT 48</t>
  </si>
  <si>
    <t>MAXT*MINT 49</t>
  </si>
  <si>
    <t>MAXT*MINT 50</t>
  </si>
  <si>
    <t>MAXT*MINT 51</t>
  </si>
  <si>
    <t>Z230</t>
  </si>
  <si>
    <t>Z231</t>
  </si>
  <si>
    <t>MAXT*RH1 44</t>
  </si>
  <si>
    <t>MAXT*RH1 45</t>
  </si>
  <si>
    <t>MAXT*RH1 46</t>
  </si>
  <si>
    <t>MAXT*RH1 47</t>
  </si>
  <si>
    <t>MAXT*RH1 48</t>
  </si>
  <si>
    <t>MAXT*RH1 49</t>
  </si>
  <si>
    <t>MAXT*RH1 50</t>
  </si>
  <si>
    <t>MAXT*RH1 51</t>
  </si>
  <si>
    <t>Z240</t>
  </si>
  <si>
    <t>Z241</t>
  </si>
  <si>
    <t>MAXT*RH2 44</t>
  </si>
  <si>
    <t>MAXT*RH2 45</t>
  </si>
  <si>
    <t>MAXT*RH2 46</t>
  </si>
  <si>
    <t>MAXT*RH2 47</t>
  </si>
  <si>
    <t>MAXT*RH2 48</t>
  </si>
  <si>
    <t>MAXT*RH2 49</t>
  </si>
  <si>
    <t>MAXT*RH2 50</t>
  </si>
  <si>
    <t>MAXT*RH2 51</t>
  </si>
  <si>
    <t>Z250</t>
  </si>
  <si>
    <t>Z251</t>
  </si>
  <si>
    <t>MAXT*VP1 44</t>
  </si>
  <si>
    <t>MAXT*VP1 45</t>
  </si>
  <si>
    <t>MAXT*VP1 46</t>
  </si>
  <si>
    <t>MAXT*VP1 47</t>
  </si>
  <si>
    <t>MAXT*VP1 48</t>
  </si>
  <si>
    <t>MAXT*VP1 49</t>
  </si>
  <si>
    <t>MAXT*VP1 50</t>
  </si>
  <si>
    <t>MAXT*VP1 51</t>
  </si>
  <si>
    <t>Z260</t>
  </si>
  <si>
    <t>Z261</t>
  </si>
  <si>
    <t>MAXT*VP2 44</t>
  </si>
  <si>
    <t>MAXT*VP2 45</t>
  </si>
  <si>
    <t>MAXT*VP2 46</t>
  </si>
  <si>
    <t>MAXT*VP2 47</t>
  </si>
  <si>
    <t>MAXT*VP2 48</t>
  </si>
  <si>
    <t>MAXT*VP2 49</t>
  </si>
  <si>
    <t>MAXT*VP2 50</t>
  </si>
  <si>
    <t>MAXT*VP2 51</t>
  </si>
  <si>
    <t>Z270</t>
  </si>
  <si>
    <t>Z271</t>
  </si>
  <si>
    <t>MINT*RH1 44</t>
  </si>
  <si>
    <t>MINT*RH1 45</t>
  </si>
  <si>
    <t>MINT*RH1 46</t>
  </si>
  <si>
    <t>MINT*RH1 47</t>
  </si>
  <si>
    <t>MINT*RH1 48</t>
  </si>
  <si>
    <t>MINT*RH1 49</t>
  </si>
  <si>
    <t>MINT*RH1 50</t>
  </si>
  <si>
    <t>MINT*RH1 51</t>
  </si>
  <si>
    <t>Z340</t>
  </si>
  <si>
    <t>Z341</t>
  </si>
  <si>
    <t>MINT*RH2 44</t>
  </si>
  <si>
    <t>MINT*RH2 45</t>
  </si>
  <si>
    <t>MINT*RH2 46</t>
  </si>
  <si>
    <t>MINT*RH2 47</t>
  </si>
  <si>
    <t>MINT*RH2 48</t>
  </si>
  <si>
    <t>MINT*RH2 49</t>
  </si>
  <si>
    <t>MINT*RH2 50</t>
  </si>
  <si>
    <t>MINT*RH2 51</t>
  </si>
  <si>
    <t>Z350</t>
  </si>
  <si>
    <t>Z351</t>
  </si>
  <si>
    <t>MINT*VP1 44</t>
  </si>
  <si>
    <t>MINT*VP1 45</t>
  </si>
  <si>
    <t>MINT*VP1 46</t>
  </si>
  <si>
    <t>MINT*VP1 47</t>
  </si>
  <si>
    <t>MINT*VP1 48</t>
  </si>
  <si>
    <t>MINT*VP1 49</t>
  </si>
  <si>
    <t>MINT*VP1 50</t>
  </si>
  <si>
    <t>MINT*VP1 51</t>
  </si>
  <si>
    <t>Z360</t>
  </si>
  <si>
    <t>Z361</t>
  </si>
  <si>
    <t>MINT*VP2 44</t>
  </si>
  <si>
    <t>MINT*VP2 45</t>
  </si>
  <si>
    <t>MINT*VP2 46</t>
  </si>
  <si>
    <t>MINT*VP2 47</t>
  </si>
  <si>
    <t>MINT*VP2 48</t>
  </si>
  <si>
    <t>MINT*VP2 49</t>
  </si>
  <si>
    <t>MINT*VP2 50</t>
  </si>
  <si>
    <t>MINT*VP2 51</t>
  </si>
  <si>
    <t>Z370</t>
  </si>
  <si>
    <t>Z371</t>
  </si>
  <si>
    <t>RH1*RH2 44</t>
  </si>
  <si>
    <t>RH1*RH2 45</t>
  </si>
  <si>
    <t>RH1*RH2 46</t>
  </si>
  <si>
    <t>RH1*RH2 47</t>
  </si>
  <si>
    <t>RH1*RH2 48</t>
  </si>
  <si>
    <t>RH1*RH2 49</t>
  </si>
  <si>
    <t>RH1*RH2 50</t>
  </si>
  <si>
    <t>RH1*RH2 51</t>
  </si>
  <si>
    <t>Z450</t>
  </si>
  <si>
    <t>Z451</t>
  </si>
  <si>
    <t>RH1*VP1 44</t>
  </si>
  <si>
    <t>RH1*VP1 45</t>
  </si>
  <si>
    <t>RH1*VP1 46</t>
  </si>
  <si>
    <t>RH1*VP1 47</t>
  </si>
  <si>
    <t>RH1*VP1 48</t>
  </si>
  <si>
    <t>RH1*VP1 49</t>
  </si>
  <si>
    <t>RH1*VP1 50</t>
  </si>
  <si>
    <t>RH1*VP1 51</t>
  </si>
  <si>
    <t>Z460</t>
  </si>
  <si>
    <t>Z461</t>
  </si>
  <si>
    <t>RH1*VP2 44</t>
  </si>
  <si>
    <t>RH1*VP2 45</t>
  </si>
  <si>
    <t>RH1*VP2 46</t>
  </si>
  <si>
    <t>RH1*VP2 47</t>
  </si>
  <si>
    <t>RH1*VP2 48</t>
  </si>
  <si>
    <t>RH1*VP2 49</t>
  </si>
  <si>
    <t>RH1*VP2 50</t>
  </si>
  <si>
    <t>RH1*VP2 51</t>
  </si>
  <si>
    <t>Z470</t>
  </si>
  <si>
    <t>Z471</t>
  </si>
  <si>
    <t>RH2*VP1 44</t>
  </si>
  <si>
    <t>RH2*VP1 45</t>
  </si>
  <si>
    <t>RH2*VP1 46</t>
  </si>
  <si>
    <t>RH2*VP1 47</t>
  </si>
  <si>
    <t>RH2*VP1 48</t>
  </si>
  <si>
    <t>RH2*VP1 49</t>
  </si>
  <si>
    <t>RH2*VP1 50</t>
  </si>
  <si>
    <t>RH2*VP1 51</t>
  </si>
  <si>
    <t>Z560</t>
  </si>
  <si>
    <t>Z561</t>
  </si>
  <si>
    <t>RH2*VP2 44</t>
  </si>
  <si>
    <t>RH2*VP2 45</t>
  </si>
  <si>
    <t>RH2*VP2 46</t>
  </si>
  <si>
    <t>RH2*VP2 47</t>
  </si>
  <si>
    <t>RH2*VP2 48</t>
  </si>
  <si>
    <t>RH2*VP2 49</t>
  </si>
  <si>
    <t>RH2*VP2 50</t>
  </si>
  <si>
    <t>RH2*VP2 51</t>
  </si>
  <si>
    <t>Z570</t>
  </si>
  <si>
    <t>Z571</t>
  </si>
  <si>
    <t>VP1*VP2 44</t>
  </si>
  <si>
    <t>VP1*VP2 45</t>
  </si>
  <si>
    <t>VP1*VP2 46</t>
  </si>
  <si>
    <t>VP1*VP2 47</t>
  </si>
  <si>
    <t>VP1*VP2 48</t>
  </si>
  <si>
    <t>VP1*VP2 49</t>
  </si>
  <si>
    <t>VP1*VP2 50</t>
  </si>
  <si>
    <t>VP1*VP2 51</t>
  </si>
  <si>
    <t>Z670</t>
  </si>
  <si>
    <t>Z671</t>
  </si>
  <si>
    <t>YIELD</t>
  </si>
  <si>
    <t>PRED</t>
  </si>
  <si>
    <t>ERROR</t>
  </si>
  <si>
    <t>2013-14</t>
  </si>
  <si>
    <t>2014-15</t>
  </si>
  <si>
    <t>BSS 52</t>
  </si>
  <si>
    <t>MAXT 52</t>
  </si>
  <si>
    <t>MINT 52</t>
  </si>
  <si>
    <t>RH1 52</t>
  </si>
  <si>
    <t>RH2 52</t>
  </si>
  <si>
    <t>VP1 52</t>
  </si>
  <si>
    <t>VP2 52</t>
  </si>
  <si>
    <t>BSS*MAXT 52</t>
  </si>
  <si>
    <t>BSS*MINT 52</t>
  </si>
  <si>
    <t>BSS*RH1 52</t>
  </si>
  <si>
    <t>BSS*RH2 52</t>
  </si>
  <si>
    <t>BSS*VP1 52</t>
  </si>
  <si>
    <t>BSS*VP2 52</t>
  </si>
  <si>
    <t>MAXT*MINT 52</t>
  </si>
  <si>
    <t>MAXT*RH1 52</t>
  </si>
  <si>
    <t>MAXT*RH2 52</t>
  </si>
  <si>
    <t>MAXT*VP1 52</t>
  </si>
  <si>
    <t>MAXT*VP2 52</t>
  </si>
  <si>
    <t>MINT*RH1 52</t>
  </si>
  <si>
    <t>MINT*RH2 52</t>
  </si>
  <si>
    <t>MINT*VP1 52</t>
  </si>
  <si>
    <t>MINT*VP2 52</t>
  </si>
  <si>
    <t>RH1*RH2 52</t>
  </si>
  <si>
    <t>RH1*VP1 52</t>
  </si>
  <si>
    <t>RH1*VP2 52</t>
  </si>
  <si>
    <t>RH2*VP1 52</t>
  </si>
  <si>
    <t>RH2*VP2 52</t>
  </si>
  <si>
    <t>VP1*VP2 52</t>
  </si>
  <si>
    <t>BSS 1</t>
  </si>
  <si>
    <t>BSS 2</t>
  </si>
  <si>
    <t>BSS 3</t>
  </si>
  <si>
    <t>MAXT 1</t>
  </si>
  <si>
    <t>MAXT 2</t>
  </si>
  <si>
    <t>MAXT 3</t>
  </si>
  <si>
    <t>MINT 1</t>
  </si>
  <si>
    <t>MINT 2</t>
  </si>
  <si>
    <t>MINT 3</t>
  </si>
  <si>
    <t>RH1 1</t>
  </si>
  <si>
    <t>RH1 2</t>
  </si>
  <si>
    <t>RH1 3</t>
  </si>
  <si>
    <t>RH2 1</t>
  </si>
  <si>
    <t>RH2 2</t>
  </si>
  <si>
    <t>RH2 3</t>
  </si>
  <si>
    <t>VP1 1</t>
  </si>
  <si>
    <t>VP1 2</t>
  </si>
  <si>
    <t>VP1 3</t>
  </si>
  <si>
    <t>VP2 1</t>
  </si>
  <si>
    <t>VP2 2</t>
  </si>
  <si>
    <t>VP2 3</t>
  </si>
  <si>
    <t>BSS*MAXT 1</t>
  </si>
  <si>
    <t>BSS*MAXT 2</t>
  </si>
  <si>
    <t>BSS*MAXT 3</t>
  </si>
  <si>
    <t>BSS*MINT 1</t>
  </si>
  <si>
    <t>BSS*MINT 2</t>
  </si>
  <si>
    <t>BSS*MINT 3</t>
  </si>
  <si>
    <t>BSS*RH1 1</t>
  </si>
  <si>
    <t>BSS*RH1 2</t>
  </si>
  <si>
    <t>BSS*RH1 3</t>
  </si>
  <si>
    <t>BSS*RH2 1</t>
  </si>
  <si>
    <t>BSS*RH2 2</t>
  </si>
  <si>
    <t>BSS*RH2 3</t>
  </si>
  <si>
    <t>BSS*VP1 1</t>
  </si>
  <si>
    <t>BSS*VP1 2</t>
  </si>
  <si>
    <t>BSS*VP1 3</t>
  </si>
  <si>
    <t>BSS*VP2 1</t>
  </si>
  <si>
    <t>BSS*VP2 2</t>
  </si>
  <si>
    <t>BSS*VP2 3</t>
  </si>
  <si>
    <t>MAXT*MINT 1</t>
  </si>
  <si>
    <t>MAXT*MINT 2</t>
  </si>
  <si>
    <t>MAXT*MINT 3</t>
  </si>
  <si>
    <t>MAXT*RH1 1</t>
  </si>
  <si>
    <t>MAXT*RH1 2</t>
  </si>
  <si>
    <t>MAXT*RH1 3</t>
  </si>
  <si>
    <t>MAXT*RH2 1</t>
  </si>
  <si>
    <t>MAXT*RH2 2</t>
  </si>
  <si>
    <t>MAXT*RH2 3</t>
  </si>
  <si>
    <t>MAXT*VP1 1</t>
  </si>
  <si>
    <t>MAXT*VP1 2</t>
  </si>
  <si>
    <t>MAXT*VP1 3</t>
  </si>
  <si>
    <t>MAXT*VP2 1</t>
  </si>
  <si>
    <t>MAXT*VP2 2</t>
  </si>
  <si>
    <t>MAXT*VP2 3</t>
  </si>
  <si>
    <t>MINT*RH1 1</t>
  </si>
  <si>
    <t>MINT*RH1 2</t>
  </si>
  <si>
    <t>MINT*RH1 3</t>
  </si>
  <si>
    <t>MINT*RH2 1</t>
  </si>
  <si>
    <t>MINT*RH2 2</t>
  </si>
  <si>
    <t>MINT*RH2 3</t>
  </si>
  <si>
    <t>MINT*VP1 1</t>
  </si>
  <si>
    <t>MINT*VP1 2</t>
  </si>
  <si>
    <t>MINT*VP1 3</t>
  </si>
  <si>
    <t>MINT*VP2 1</t>
  </si>
  <si>
    <t>MINT*VP2 2</t>
  </si>
  <si>
    <t>MINT*VP2 3</t>
  </si>
  <si>
    <t>RH1*RH2 1</t>
  </si>
  <si>
    <t>RH1*RH2 2</t>
  </si>
  <si>
    <t>RH1*RH2 3</t>
  </si>
  <si>
    <t>RH1*VP1 1</t>
  </si>
  <si>
    <t>RH1*VP1 2</t>
  </si>
  <si>
    <t>RH1*VP1 3</t>
  </si>
  <si>
    <t>RH1*VP2 1</t>
  </si>
  <si>
    <t>RH1*VP2 2</t>
  </si>
  <si>
    <t>RH1*VP2 3</t>
  </si>
  <si>
    <t>RH2*VP1 1</t>
  </si>
  <si>
    <t>RH2*VP1 2</t>
  </si>
  <si>
    <t>RH2*VP1 3</t>
  </si>
  <si>
    <t>RH2*VP2 1</t>
  </si>
  <si>
    <t>RH2*VP2 2</t>
  </si>
  <si>
    <t>RH2*VP2 3</t>
  </si>
  <si>
    <t>VP1*VP2 1</t>
  </si>
  <si>
    <t>VP1*VP2 2</t>
  </si>
  <si>
    <t>VP1*VP2 3</t>
  </si>
  <si>
    <t>R Square</t>
  </si>
  <si>
    <t>Adjusted R Square</t>
  </si>
  <si>
    <t>df</t>
  </si>
  <si>
    <t>F</t>
  </si>
  <si>
    <t>Regression</t>
  </si>
  <si>
    <t>Residual</t>
  </si>
  <si>
    <t>Total</t>
  </si>
  <si>
    <t>BSS 4</t>
  </si>
  <si>
    <t>BSS 5</t>
  </si>
  <si>
    <t>BSS 6</t>
  </si>
  <si>
    <t>BSS 7</t>
  </si>
  <si>
    <t>MAXT 4</t>
  </si>
  <si>
    <t>MAXT 5</t>
  </si>
  <si>
    <t>MAXT 6</t>
  </si>
  <si>
    <t>MAXT 7</t>
  </si>
  <si>
    <t>MINT 4</t>
  </si>
  <si>
    <t>MINT 5</t>
  </si>
  <si>
    <t>MINT 6</t>
  </si>
  <si>
    <t>MINT 7</t>
  </si>
  <si>
    <t>RH1 4</t>
  </si>
  <si>
    <t>RH1 5</t>
  </si>
  <si>
    <t>RH1 6</t>
  </si>
  <si>
    <t>RH1 7</t>
  </si>
  <si>
    <t>RH2 4</t>
  </si>
  <si>
    <t>RH2 5</t>
  </si>
  <si>
    <t>RH2 6</t>
  </si>
  <si>
    <t>RH2 7</t>
  </si>
  <si>
    <t>VP1 4</t>
  </si>
  <si>
    <t>VP1 5</t>
  </si>
  <si>
    <t>VP1 6</t>
  </si>
  <si>
    <t>VP1 7</t>
  </si>
  <si>
    <t>VP2 4</t>
  </si>
  <si>
    <t>VP2 5</t>
  </si>
  <si>
    <t>VP2 6</t>
  </si>
  <si>
    <t>VP2 7</t>
  </si>
  <si>
    <t>BSS*MAXT 4</t>
  </si>
  <si>
    <t>BSS*MAXT 5</t>
  </si>
  <si>
    <t>BSS*MAXT 6</t>
  </si>
  <si>
    <t>BSS*MAXT 7</t>
  </si>
  <si>
    <t>BSS*MINT 4</t>
  </si>
  <si>
    <t>BSS*MINT 5</t>
  </si>
  <si>
    <t>BSS*MINT 6</t>
  </si>
  <si>
    <t>BSS*MINT 7</t>
  </si>
  <si>
    <t>BSS*RH1 4</t>
  </si>
  <si>
    <t>BSS*RH1 5</t>
  </si>
  <si>
    <t>BSS*RH1 6</t>
  </si>
  <si>
    <t>BSS*RH1 7</t>
  </si>
  <si>
    <t>BSS*RH2 4</t>
  </si>
  <si>
    <t>BSS*RH2 5</t>
  </si>
  <si>
    <t>BSS*RH2 6</t>
  </si>
  <si>
    <t>BSS*RH2 7</t>
  </si>
  <si>
    <t>BSS*VP1 4</t>
  </si>
  <si>
    <t>BSS*VP1 5</t>
  </si>
  <si>
    <t>BSS*VP1 6</t>
  </si>
  <si>
    <t>BSS*VP1 7</t>
  </si>
  <si>
    <t>BSS*VP2 4</t>
  </si>
  <si>
    <t>BSS*VP2 5</t>
  </si>
  <si>
    <t>BSS*VP2 6</t>
  </si>
  <si>
    <t>BSS*VP2 7</t>
  </si>
  <si>
    <t>MAXT*MINT 4</t>
  </si>
  <si>
    <t>MAXT*MINT 5</t>
  </si>
  <si>
    <t>MAXT*MINT 6</t>
  </si>
  <si>
    <t>MAXT*MINT 7</t>
  </si>
  <si>
    <t>MAXT*RH1 4</t>
  </si>
  <si>
    <t>MAXT*RH1 5</t>
  </si>
  <si>
    <t>MAXT*RH1 6</t>
  </si>
  <si>
    <t>MAXT*RH1 7</t>
  </si>
  <si>
    <t>MAXT*RH2 4</t>
  </si>
  <si>
    <t>MAXT*RH2 5</t>
  </si>
  <si>
    <t>MAXT*RH2 6</t>
  </si>
  <si>
    <t>MAXT*RH2 7</t>
  </si>
  <si>
    <t>MAXT*VP1 4</t>
  </si>
  <si>
    <t>MAXT*VP1 5</t>
  </si>
  <si>
    <t>MAXT*VP1 6</t>
  </si>
  <si>
    <t>MAXT*VP1 7</t>
  </si>
  <si>
    <t>MAXT*VP2 4</t>
  </si>
  <si>
    <t>MAXT*VP2 5</t>
  </si>
  <si>
    <t>MAXT*VP2 6</t>
  </si>
  <si>
    <t>MAXT*VP2 7</t>
  </si>
  <si>
    <t>MINT*RH1 4</t>
  </si>
  <si>
    <t>MINT*RH1 5</t>
  </si>
  <si>
    <t>MINT*RH1 6</t>
  </si>
  <si>
    <t>MINT*RH1 7</t>
  </si>
  <si>
    <t>MINT*RH2 4</t>
  </si>
  <si>
    <t>MINT*RH2 5</t>
  </si>
  <si>
    <t>MINT*RH2 6</t>
  </si>
  <si>
    <t>MINT*RH2 7</t>
  </si>
  <si>
    <t>MINT*VP1 4</t>
  </si>
  <si>
    <t>MINT*VP1 5</t>
  </si>
  <si>
    <t>MINT*VP1 6</t>
  </si>
  <si>
    <t>MINT*VP1 7</t>
  </si>
  <si>
    <t>MINT*VP2 4</t>
  </si>
  <si>
    <t>MINT*VP2 5</t>
  </si>
  <si>
    <t>MINT*VP2 6</t>
  </si>
  <si>
    <t>MINT*VP2 7</t>
  </si>
  <si>
    <t>RH1*RH2 4</t>
  </si>
  <si>
    <t>RH1*RH2 5</t>
  </si>
  <si>
    <t>RH1*RH2 6</t>
  </si>
  <si>
    <t>RH1*RH2 7</t>
  </si>
  <si>
    <t>RH1*VP1 4</t>
  </si>
  <si>
    <t>RH1*VP1 5</t>
  </si>
  <si>
    <t>RH1*VP1 6</t>
  </si>
  <si>
    <t>RH1*VP1 7</t>
  </si>
  <si>
    <t>RH1*VP2 4</t>
  </si>
  <si>
    <t>RH1*VP2 5</t>
  </si>
  <si>
    <t>RH1*VP2 6</t>
  </si>
  <si>
    <t>RH1*VP2 7</t>
  </si>
  <si>
    <t>RH2*VP1 4</t>
  </si>
  <si>
    <t>RH2*VP1 5</t>
  </si>
  <si>
    <t>RH2*VP1 6</t>
  </si>
  <si>
    <t>RH2*VP1 7</t>
  </si>
  <si>
    <t>RH2*VP2 4</t>
  </si>
  <si>
    <t>RH2*VP2 5</t>
  </si>
  <si>
    <t>RH2*VP2 6</t>
  </si>
  <si>
    <t>RH2*VP2 7</t>
  </si>
  <si>
    <t>VP1*VP2 4</t>
  </si>
  <si>
    <t>VP1*VP2 5</t>
  </si>
  <si>
    <t>VP1*VP2 6</t>
  </si>
  <si>
    <t>VP1*VP2 7</t>
  </si>
  <si>
    <t>BSS 8</t>
  </si>
  <si>
    <t>BSS 9</t>
  </si>
  <si>
    <t>BSS 10</t>
  </si>
  <si>
    <t>BSS 11</t>
  </si>
  <si>
    <t>MAXT 8</t>
  </si>
  <si>
    <t>MAXT 9</t>
  </si>
  <si>
    <t>MAXT 10</t>
  </si>
  <si>
    <t>MAXT 11</t>
  </si>
  <si>
    <t>MINT 8</t>
  </si>
  <si>
    <t>MINT 9</t>
  </si>
  <si>
    <t>MINT 10</t>
  </si>
  <si>
    <t>MINT 11</t>
  </si>
  <si>
    <t>RH1 8</t>
  </si>
  <si>
    <t>RH1 9</t>
  </si>
  <si>
    <t>RH1 10</t>
  </si>
  <si>
    <t>RH1 11</t>
  </si>
  <si>
    <t>RH2 8</t>
  </si>
  <si>
    <t>RH2 9</t>
  </si>
  <si>
    <t>RH2 10</t>
  </si>
  <si>
    <t>RH2 11</t>
  </si>
  <si>
    <t>VP1 8</t>
  </si>
  <si>
    <t>VP1 9</t>
  </si>
  <si>
    <t>VP1 10</t>
  </si>
  <si>
    <t>VP1 11</t>
  </si>
  <si>
    <t>VP2 8</t>
  </si>
  <si>
    <t>VP2 9</t>
  </si>
  <si>
    <t>VP2 10</t>
  </si>
  <si>
    <t>VP2 11</t>
  </si>
  <si>
    <t>BSS*MAXT 8</t>
  </si>
  <si>
    <t>BSS*MAXT 9</t>
  </si>
  <si>
    <t>BSS*MAXT 10</t>
  </si>
  <si>
    <t>BSS*MAXT 11</t>
  </si>
  <si>
    <t>BSS*MINT 8</t>
  </si>
  <si>
    <t>BSS*MINT 9</t>
  </si>
  <si>
    <t>BSS*MINT 10</t>
  </si>
  <si>
    <t>BSS*MINT 11</t>
  </si>
  <si>
    <t>BSS*RH1 8</t>
  </si>
  <si>
    <t>BSS*RH1 9</t>
  </si>
  <si>
    <t>BSS*RH1 10</t>
  </si>
  <si>
    <t>BSS*RH1 11</t>
  </si>
  <si>
    <t>BSS*RH2 8</t>
  </si>
  <si>
    <t>BSS*RH2 9</t>
  </si>
  <si>
    <t>BSS*RH2 10</t>
  </si>
  <si>
    <t>BSS*RH2 11</t>
  </si>
  <si>
    <t>BSS*VP1 8</t>
  </si>
  <si>
    <t>BSS*VP1 9</t>
  </si>
  <si>
    <t>BSS*VP1 10</t>
  </si>
  <si>
    <t>BSS*VP1 11</t>
  </si>
  <si>
    <t>BSS*VP2 8</t>
  </si>
  <si>
    <t>BSS*VP2 9</t>
  </si>
  <si>
    <t>BSS*VP2 10</t>
  </si>
  <si>
    <t>BSS*VP2 11</t>
  </si>
  <si>
    <t>MAXT*MINT 8</t>
  </si>
  <si>
    <t>MAXT*MINT 9</t>
  </si>
  <si>
    <t>MAXT*MINT 10</t>
  </si>
  <si>
    <t>MAXT*MINT 11</t>
  </si>
  <si>
    <t>MAXT*RH1 8</t>
  </si>
  <si>
    <t>MAXT*RH1 9</t>
  </si>
  <si>
    <t>MAXT*RH1 10</t>
  </si>
  <si>
    <t>MAXT*RH1 11</t>
  </si>
  <si>
    <t>MAXT*RH2 8</t>
  </si>
  <si>
    <t>MAXT*RH2 9</t>
  </si>
  <si>
    <t>MAXT*RH2 10</t>
  </si>
  <si>
    <t>MAXT*RH2 11</t>
  </si>
  <si>
    <t>MAXT*VP1 8</t>
  </si>
  <si>
    <t>MAXT*VP1 9</t>
  </si>
  <si>
    <t>MAXT*VP1 10</t>
  </si>
  <si>
    <t>MAXT*VP1 11</t>
  </si>
  <si>
    <t>MAXT*VP2 8</t>
  </si>
  <si>
    <t>MAXT*VP2 9</t>
  </si>
  <si>
    <t>MAXT*VP2 10</t>
  </si>
  <si>
    <t>MAXT*VP2 11</t>
  </si>
  <si>
    <t>MINT*RH1 8</t>
  </si>
  <si>
    <t>MINT*RH1 9</t>
  </si>
  <si>
    <t>MINT*RH1 10</t>
  </si>
  <si>
    <t>MINT*RH1 11</t>
  </si>
  <si>
    <t>MINT*RH2 8</t>
  </si>
  <si>
    <t>MINT*RH2 9</t>
  </si>
  <si>
    <t>MINT*RH2 10</t>
  </si>
  <si>
    <t>MINT*RH2 11</t>
  </si>
  <si>
    <t>MINT*VP1 8</t>
  </si>
  <si>
    <t>MINT*VP1 9</t>
  </si>
  <si>
    <t>MINT*VP1 10</t>
  </si>
  <si>
    <t>MINT*VP1 11</t>
  </si>
  <si>
    <t>MINT*VP2 8</t>
  </si>
  <si>
    <t>MINT*VP2 9</t>
  </si>
  <si>
    <t>MINT*VP2 10</t>
  </si>
  <si>
    <t>MINT*VP2 11</t>
  </si>
  <si>
    <t>RH1*RH2 8</t>
  </si>
  <si>
    <t>RH1*RH2 9</t>
  </si>
  <si>
    <t>RH1*RH2 10</t>
  </si>
  <si>
    <t>RH1*RH2 11</t>
  </si>
  <si>
    <t>RH1*VP1 8</t>
  </si>
  <si>
    <t>RH1*VP1 9</t>
  </si>
  <si>
    <t>RH1*VP1 10</t>
  </si>
  <si>
    <t>RH1*VP1 11</t>
  </si>
  <si>
    <t>RH1*VP2 8</t>
  </si>
  <si>
    <t>RH1*VP2 9</t>
  </si>
  <si>
    <t>RH1*VP2 10</t>
  </si>
  <si>
    <t>RH1*VP2 11</t>
  </si>
  <si>
    <t>RH2*VP1 8</t>
  </si>
  <si>
    <t>RH2*VP1 9</t>
  </si>
  <si>
    <t>RH2*VP1 10</t>
  </si>
  <si>
    <t>RH2*VP1 11</t>
  </si>
  <si>
    <t>RH2*VP2 8</t>
  </si>
  <si>
    <t>RH2*VP2 9</t>
  </si>
  <si>
    <t>RH2*VP2 10</t>
  </si>
  <si>
    <t>RH2*VP2 11</t>
  </si>
  <si>
    <t>VP1*VP2 8</t>
  </si>
  <si>
    <t>VP1*VP2 9</t>
  </si>
  <si>
    <t>VP1*VP2 10</t>
  </si>
  <si>
    <t>VP1*VP2 11</t>
  </si>
  <si>
    <t>2015-16</t>
  </si>
  <si>
    <t>YEAR</t>
  </si>
  <si>
    <t>O-P</t>
  </si>
  <si>
    <t>SUMMARY OUTPUT</t>
  </si>
  <si>
    <t>Regression Statistics</t>
  </si>
  <si>
    <t>Multiple R</t>
  </si>
  <si>
    <t>Standard Error</t>
  </si>
  <si>
    <t>Observations</t>
  </si>
  <si>
    <t>ANOVA</t>
  </si>
  <si>
    <t>SS</t>
  </si>
  <si>
    <t>MS</t>
  </si>
  <si>
    <t>Significance F</t>
  </si>
  <si>
    <t>1999-00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</si>
  <si>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</si>
  <si>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</si>
  <si>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</si>
  <si>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</si>
  <si>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</si>
  <si>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</si>
  <si>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</si>
  <si>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</si>
  <si>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r>
      <rPr>
        <b/>
        <sz val="9"/>
        <color indexed="8"/>
        <rFont val="Arial Bold"/>
      </rPr>
      <t>Model Summary</t>
    </r>
  </si>
  <si>
    <r>
      <rPr>
        <sz val="9"/>
        <color indexed="8"/>
        <rFont val="Arial"/>
      </rPr>
      <t>Model</t>
    </r>
  </si>
  <si>
    <r>
      <rPr>
        <sz val="9"/>
        <color indexed="8"/>
        <rFont val="Arial"/>
      </rPr>
      <t>R</t>
    </r>
  </si>
  <si>
    <r>
      <rPr>
        <sz val="9"/>
        <color indexed="8"/>
        <rFont val="Arial"/>
      </rPr>
      <t>R Square</t>
    </r>
  </si>
  <si>
    <r>
      <rPr>
        <sz val="9"/>
        <color indexed="8"/>
        <rFont val="Arial"/>
      </rPr>
      <t>Adjusted R Square</t>
    </r>
  </si>
  <si>
    <r>
      <rPr>
        <sz val="9"/>
        <color indexed="8"/>
        <rFont val="Arial"/>
      </rPr>
      <t>Std. Error of the Estimate</t>
    </r>
  </si>
  <si>
    <r>
      <rPr>
        <sz val="9"/>
        <color indexed="8"/>
        <rFont val="Arial"/>
      </rPr>
      <t>.758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</si>
  <si>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.818</t>
    </r>
    <r>
      <rPr>
        <vertAlign val="superscript"/>
        <sz val="9"/>
        <color indexed="8"/>
        <rFont val="Arial"/>
      </rPr>
      <t>b</t>
    </r>
  </si>
  <si>
    <r>
      <rPr>
        <b/>
        <sz val="9"/>
        <color indexed="8"/>
        <rFont val="Arial Bold"/>
      </rPr>
      <t>ANOVA</t>
    </r>
    <r>
      <rPr>
        <b/>
        <vertAlign val="superscript"/>
        <sz val="9"/>
        <color indexed="8"/>
        <rFont val="Arial Bold"/>
      </rPr>
      <t>c</t>
    </r>
  </si>
  <si>
    <r>
      <rPr>
        <sz val="9"/>
        <color indexed="8"/>
        <rFont val="Arial"/>
      </rPr>
      <t>Sum of Squares</t>
    </r>
  </si>
  <si>
    <r>
      <rPr>
        <sz val="9"/>
        <color indexed="8"/>
        <rFont val="Arial"/>
      </rPr>
      <t>df</t>
    </r>
  </si>
  <si>
    <r>
      <rPr>
        <sz val="9"/>
        <color indexed="8"/>
        <rFont val="Arial"/>
      </rPr>
      <t>Mean Square</t>
    </r>
  </si>
  <si>
    <r>
      <rPr>
        <sz val="9"/>
        <color indexed="8"/>
        <rFont val="Arial"/>
      </rPr>
      <t>F</t>
    </r>
  </si>
  <si>
    <r>
      <rPr>
        <sz val="9"/>
        <color indexed="8"/>
        <rFont val="Arial"/>
      </rPr>
      <t>Sig.</t>
    </r>
  </si>
  <si>
    <r>
      <rPr>
        <sz val="9"/>
        <color indexed="8"/>
        <rFont val="Arial"/>
      </rPr>
      <t>Regression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</si>
  <si>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</si>
  <si>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Residual</t>
    </r>
  </si>
  <si>
    <r>
      <rPr>
        <sz val="9"/>
        <color indexed="8"/>
        <rFont val="Arial"/>
      </rPr>
      <t>Total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</si>
  <si>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b</t>
    </r>
  </si>
  <si>
    <r>
      <rPr>
        <b/>
        <sz val="9"/>
        <color indexed="8"/>
        <rFont val="Arial Bold"/>
      </rPr>
      <t>Coefficients</t>
    </r>
    <r>
      <rPr>
        <b/>
        <vertAlign val="superscript"/>
        <sz val="9"/>
        <color indexed="8"/>
        <rFont val="Arial Bold"/>
      </rPr>
      <t>a</t>
    </r>
  </si>
  <si>
    <r>
      <rPr>
        <sz val="9"/>
        <color indexed="8"/>
        <rFont val="Arial"/>
      </rPr>
      <t>Unstandardized Coefficients</t>
    </r>
  </si>
  <si>
    <r>
      <rPr>
        <sz val="9"/>
        <color indexed="8"/>
        <rFont val="Arial"/>
      </rPr>
      <t>Standardized Coefficients</t>
    </r>
  </si>
  <si>
    <r>
      <rPr>
        <sz val="9"/>
        <color indexed="8"/>
        <rFont val="Arial"/>
      </rPr>
      <t>t</t>
    </r>
  </si>
  <si>
    <r>
      <rPr>
        <sz val="9"/>
        <color indexed="8"/>
        <rFont val="Arial"/>
      </rPr>
      <t>B</t>
    </r>
  </si>
  <si>
    <r>
      <rPr>
        <sz val="9"/>
        <color indexed="8"/>
        <rFont val="Arial"/>
      </rPr>
      <t>Std. Error</t>
    </r>
  </si>
  <si>
    <r>
      <rPr>
        <sz val="9"/>
        <color indexed="8"/>
        <rFont val="Arial"/>
      </rPr>
      <t>Beta</t>
    </r>
  </si>
  <si>
    <r>
      <rPr>
        <sz val="9"/>
        <color indexed="8"/>
        <rFont val="Arial"/>
      </rPr>
      <t>(Constant)</t>
    </r>
  </si>
  <si>
    <r>
      <rPr>
        <sz val="9"/>
        <color indexed="8"/>
        <rFont val="Arial"/>
      </rPr>
      <t>Z231</t>
    </r>
  </si>
  <si>
    <r>
      <rPr>
        <sz val="9"/>
        <color indexed="8"/>
        <rFont val="Arial"/>
      </rPr>
      <t>Z161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</si>
</sst>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#.000"/>
    <numFmt numFmtId="166" formatCode="####.0000000"/>
    <numFmt numFmtId="167" formatCode="###0"/>
  </numFmts>
  <fonts count="16" x14ac:knownFonts="1">
    <font>
      <sz val="11"/>
      <color theme="1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vertAlign val="superscript"/>
      <sz val="9"/>
      <color indexed="8"/>
      <name val="Arial Bold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0" fillId="0" borderId="0"/>
  </cellStyleXfs>
  <cellXfs count="98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Fill="1"/>
    <xf numFmtId="0" fontId="2" fillId="0" borderId="0" xfId="0" applyFont="1"/>
    <xf numFmtId="164" fontId="3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164" fontId="4" fillId="0" borderId="0" xfId="0" applyNumberFormat="1" applyFont="1"/>
    <xf numFmtId="0" fontId="4" fillId="0" borderId="0" xfId="0" applyFont="1"/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0" xfId="0" applyNumberFormat="1" applyAlignment="1"/>
    <xf numFmtId="1" fontId="3" fillId="0" borderId="0" xfId="0" applyNumberFormat="1" applyFont="1"/>
    <xf numFmtId="0" fontId="4" fillId="0" borderId="0" xfId="0" applyFont="1" applyAlignment="1">
      <alignment horizontal="center"/>
    </xf>
    <xf numFmtId="164" fontId="6" fillId="0" borderId="0" xfId="0" applyNumberFormat="1" applyFont="1" applyFill="1" applyBorder="1" applyAlignment="1"/>
    <xf numFmtId="164" fontId="7" fillId="0" borderId="0" xfId="0" applyNumberFormat="1" applyFont="1" applyFill="1" applyBorder="1" applyAlignment="1"/>
    <xf numFmtId="164" fontId="7" fillId="0" borderId="0" xfId="0" applyNumberFormat="1" applyFont="1" applyFill="1" applyBorder="1"/>
    <xf numFmtId="0" fontId="8" fillId="0" borderId="0" xfId="0" applyFont="1" applyFill="1" applyBorder="1"/>
    <xf numFmtId="164" fontId="8" fillId="0" borderId="0" xfId="0" applyNumberFormat="1" applyFont="1" applyFill="1" applyBorder="1"/>
    <xf numFmtId="164" fontId="6" fillId="0" borderId="0" xfId="0" applyNumberFormat="1" applyFont="1" applyFill="1" applyBorder="1"/>
    <xf numFmtId="0" fontId="0" fillId="0" borderId="0" xfId="0" applyBorder="1"/>
    <xf numFmtId="1" fontId="0" fillId="0" borderId="0" xfId="0" applyNumberFormat="1" applyBorder="1"/>
    <xf numFmtId="0" fontId="9" fillId="0" borderId="1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0" fontId="9" fillId="0" borderId="1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0" fontId="10" fillId="0" borderId="0" xfId="1"/>
    <xf numFmtId="0" fontId="12" fillId="0" borderId="3" xfId="1" applyFont="1" applyBorder="1" applyAlignment="1">
      <alignment horizontal="left" wrapText="1"/>
    </xf>
    <xf numFmtId="0" fontId="12" fillId="0" borderId="4" xfId="1" applyFont="1" applyBorder="1" applyAlignment="1">
      <alignment horizontal="center" wrapText="1"/>
    </xf>
    <xf numFmtId="0" fontId="12" fillId="0" borderId="5" xfId="1" applyFont="1" applyBorder="1" applyAlignment="1">
      <alignment horizontal="center" wrapText="1"/>
    </xf>
    <xf numFmtId="0" fontId="12" fillId="0" borderId="6" xfId="1" applyFont="1" applyBorder="1" applyAlignment="1">
      <alignment horizontal="center" wrapText="1"/>
    </xf>
    <xf numFmtId="0" fontId="12" fillId="0" borderId="7" xfId="1" applyFont="1" applyBorder="1" applyAlignment="1">
      <alignment horizontal="left" vertical="top" wrapText="1"/>
    </xf>
    <xf numFmtId="165" fontId="13" fillId="0" borderId="8" xfId="1" applyNumberFormat="1" applyFont="1" applyBorder="1" applyAlignment="1">
      <alignment horizontal="right" vertical="top"/>
    </xf>
    <xf numFmtId="165" fontId="12" fillId="0" borderId="9" xfId="1" applyNumberFormat="1" applyFont="1" applyBorder="1" applyAlignment="1">
      <alignment horizontal="right" vertical="top"/>
    </xf>
    <xf numFmtId="166" fontId="12" fillId="0" borderId="10" xfId="1" applyNumberFormat="1" applyFont="1" applyBorder="1" applyAlignment="1">
      <alignment horizontal="right" vertical="top"/>
    </xf>
    <xf numFmtId="0" fontId="12" fillId="0" borderId="11" xfId="1" applyFont="1" applyBorder="1" applyAlignment="1">
      <alignment horizontal="left" vertical="top" wrapText="1"/>
    </xf>
    <xf numFmtId="165" fontId="13" fillId="0" borderId="12" xfId="1" applyNumberFormat="1" applyFont="1" applyBorder="1" applyAlignment="1">
      <alignment horizontal="right" vertical="top"/>
    </xf>
    <xf numFmtId="165" fontId="12" fillId="0" borderId="13" xfId="1" applyNumberFormat="1" applyFont="1" applyBorder="1" applyAlignment="1">
      <alignment horizontal="right" vertical="top"/>
    </xf>
    <xf numFmtId="166" fontId="12" fillId="0" borderId="14" xfId="1" applyNumberFormat="1" applyFont="1" applyBorder="1" applyAlignment="1">
      <alignment horizontal="right" vertical="top"/>
    </xf>
    <xf numFmtId="0" fontId="12" fillId="0" borderId="17" xfId="1" applyFont="1" applyBorder="1" applyAlignment="1">
      <alignment horizontal="left" vertical="top" wrapText="1"/>
    </xf>
    <xf numFmtId="165" fontId="12" fillId="0" borderId="8" xfId="1" applyNumberFormat="1" applyFont="1" applyBorder="1" applyAlignment="1">
      <alignment horizontal="right" vertical="top"/>
    </xf>
    <xf numFmtId="167" fontId="12" fillId="0" borderId="9" xfId="1" applyNumberFormat="1" applyFont="1" applyBorder="1" applyAlignment="1">
      <alignment horizontal="right" vertical="top"/>
    </xf>
    <xf numFmtId="165" fontId="13" fillId="0" borderId="10" xfId="1" applyNumberFormat="1" applyFont="1" applyBorder="1" applyAlignment="1">
      <alignment horizontal="right" vertical="top"/>
    </xf>
    <xf numFmtId="0" fontId="12" fillId="0" borderId="19" xfId="1" applyFont="1" applyBorder="1" applyAlignment="1">
      <alignment horizontal="left" vertical="top" wrapText="1"/>
    </xf>
    <xf numFmtId="165" fontId="12" fillId="0" borderId="20" xfId="1" applyNumberFormat="1" applyFont="1" applyBorder="1" applyAlignment="1">
      <alignment horizontal="right" vertical="top"/>
    </xf>
    <xf numFmtId="167" fontId="12" fillId="0" borderId="21" xfId="1" applyNumberFormat="1" applyFont="1" applyBorder="1" applyAlignment="1">
      <alignment horizontal="right" vertical="top"/>
    </xf>
    <xf numFmtId="165" fontId="12" fillId="0" borderId="21" xfId="1" applyNumberFormat="1" applyFont="1" applyBorder="1" applyAlignment="1">
      <alignment horizontal="right" vertical="top"/>
    </xf>
    <xf numFmtId="0" fontId="10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2" fillId="0" borderId="24" xfId="1" applyFont="1" applyBorder="1" applyAlignment="1">
      <alignment horizontal="left" vertical="top" wrapText="1"/>
    </xf>
    <xf numFmtId="165" fontId="12" fillId="0" borderId="25" xfId="1" applyNumberFormat="1" applyFont="1" applyBorder="1" applyAlignment="1">
      <alignment horizontal="right" vertical="top"/>
    </xf>
    <xf numFmtId="167" fontId="12" fillId="0" borderId="26" xfId="1" applyNumberFormat="1" applyFont="1" applyBorder="1" applyAlignment="1">
      <alignment horizontal="right" vertical="top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2" fillId="0" borderId="29" xfId="1" applyFont="1" applyBorder="1" applyAlignment="1">
      <alignment horizontal="left" vertical="top" wrapText="1"/>
    </xf>
    <xf numFmtId="165" fontId="12" fillId="0" borderId="30" xfId="1" applyNumberFormat="1" applyFont="1" applyBorder="1" applyAlignment="1">
      <alignment horizontal="right" vertical="top"/>
    </xf>
    <xf numFmtId="167" fontId="12" fillId="0" borderId="31" xfId="1" applyNumberFormat="1" applyFont="1" applyBorder="1" applyAlignment="1">
      <alignment horizontal="right" vertical="top"/>
    </xf>
    <xf numFmtId="165" fontId="12" fillId="0" borderId="31" xfId="1" applyNumberFormat="1" applyFont="1" applyBorder="1" applyAlignment="1">
      <alignment horizontal="right" vertical="top"/>
    </xf>
    <xf numFmtId="165" fontId="13" fillId="0" borderId="32" xfId="1" applyNumberFormat="1" applyFont="1" applyBorder="1" applyAlignment="1">
      <alignment horizontal="right" vertical="top"/>
    </xf>
    <xf numFmtId="0" fontId="12" fillId="0" borderId="34" xfId="1" applyFont="1" applyBorder="1" applyAlignment="1">
      <alignment horizontal="left" vertical="top" wrapText="1"/>
    </xf>
    <xf numFmtId="165" fontId="12" fillId="0" borderId="12" xfId="1" applyNumberFormat="1" applyFont="1" applyBorder="1" applyAlignment="1">
      <alignment horizontal="right" vertical="top"/>
    </xf>
    <xf numFmtId="167" fontId="12" fillId="0" borderId="13" xfId="1" applyNumberFormat="1" applyFont="1" applyBorder="1" applyAlignment="1">
      <alignment horizontal="right" vertical="top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2" fillId="0" borderId="37" xfId="1" applyFont="1" applyBorder="1" applyAlignment="1">
      <alignment horizontal="center" wrapText="1"/>
    </xf>
    <xf numFmtId="0" fontId="12" fillId="0" borderId="38" xfId="1" applyFont="1" applyBorder="1" applyAlignment="1">
      <alignment horizontal="center" wrapText="1"/>
    </xf>
    <xf numFmtId="0" fontId="12" fillId="0" borderId="39" xfId="1" applyFont="1" applyBorder="1" applyAlignment="1">
      <alignment horizontal="center" wrapText="1"/>
    </xf>
    <xf numFmtId="0" fontId="10" fillId="0" borderId="9" xfId="1" applyFont="1" applyBorder="1" applyAlignment="1">
      <alignment horizontal="center" vertical="center"/>
    </xf>
    <xf numFmtId="165" fontId="12" fillId="0" borderId="10" xfId="1" applyNumberFormat="1" applyFont="1" applyBorder="1" applyAlignment="1">
      <alignment horizontal="right" vertical="top"/>
    </xf>
    <xf numFmtId="165" fontId="12" fillId="0" borderId="26" xfId="1" applyNumberFormat="1" applyFont="1" applyBorder="1" applyAlignment="1">
      <alignment horizontal="right" vertical="top"/>
    </xf>
    <xf numFmtId="165" fontId="12" fillId="0" borderId="27" xfId="1" applyNumberFormat="1" applyFont="1" applyBorder="1" applyAlignment="1">
      <alignment horizontal="right" vertical="top"/>
    </xf>
    <xf numFmtId="0" fontId="10" fillId="0" borderId="31" xfId="1" applyFont="1" applyBorder="1" applyAlignment="1">
      <alignment horizontal="center" vertical="center"/>
    </xf>
    <xf numFmtId="165" fontId="12" fillId="0" borderId="32" xfId="1" applyNumberFormat="1" applyFont="1" applyBorder="1" applyAlignment="1">
      <alignment horizontal="right" vertical="top"/>
    </xf>
    <xf numFmtId="165" fontId="12" fillId="0" borderId="22" xfId="1" applyNumberFormat="1" applyFont="1" applyBorder="1" applyAlignment="1">
      <alignment horizontal="right" vertical="top"/>
    </xf>
    <xf numFmtId="165" fontId="12" fillId="0" borderId="14" xfId="1" applyNumberFormat="1" applyFont="1" applyBorder="1" applyAlignment="1">
      <alignment horizontal="right" vertical="top"/>
    </xf>
    <xf numFmtId="1" fontId="3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2" fillId="0" borderId="28" xfId="1" applyFont="1" applyBorder="1" applyAlignment="1">
      <alignment horizontal="left" vertical="top" wrapText="1"/>
    </xf>
    <xf numFmtId="0" fontId="14" fillId="0" borderId="18" xfId="1" applyFont="1" applyBorder="1" applyAlignment="1">
      <alignment horizontal="center" vertical="center"/>
    </xf>
    <xf numFmtId="0" fontId="14" fillId="0" borderId="33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0" fontId="14" fillId="0" borderId="0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/>
    </xf>
    <xf numFmtId="0" fontId="12" fillId="0" borderId="3" xfId="1" applyFont="1" applyBorder="1" applyAlignment="1">
      <alignment horizontal="left" wrapText="1"/>
    </xf>
    <xf numFmtId="0" fontId="14" fillId="0" borderId="15" xfId="1" applyFont="1" applyBorder="1" applyAlignment="1">
      <alignment horizontal="center" vertical="center"/>
    </xf>
    <xf numFmtId="0" fontId="12" fillId="0" borderId="16" xfId="1" applyFont="1" applyBorder="1" applyAlignment="1">
      <alignment horizontal="left" vertical="top" wrapText="1"/>
    </xf>
    <xf numFmtId="0" fontId="14" fillId="0" borderId="23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2" fillId="0" borderId="35" xfId="1" applyFont="1" applyBorder="1" applyAlignment="1">
      <alignment horizontal="center" wrapText="1"/>
    </xf>
    <xf numFmtId="0" fontId="14" fillId="0" borderId="36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wrapText="1"/>
    </xf>
    <xf numFmtId="0" fontId="14" fillId="0" borderId="13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wrapText="1"/>
    </xf>
    <xf numFmtId="0" fontId="14" fillId="0" borderId="14" xfId="1" applyFont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6"/>
  <sheetViews>
    <sheetView zoomScale="70" zoomScaleNormal="70" workbookViewId="0">
      <selection activeCell="Y1" sqref="Y1:Z1048576"/>
    </sheetView>
  </sheetViews>
  <sheetFormatPr defaultRowHeight="15" x14ac:dyDescent="0.25"/>
  <cols>
    <col min="25" max="25" width="10.140625" bestFit="1" customWidth="1"/>
  </cols>
  <sheetData>
    <row r="1" spans="1:26" x14ac:dyDescent="0.25">
      <c r="B1" t="s">
        <v>310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315</v>
      </c>
      <c r="M1" t="s">
        <v>343</v>
      </c>
      <c r="N1" t="s">
        <v>344</v>
      </c>
      <c r="O1" t="s">
        <v>345</v>
      </c>
      <c r="P1" s="6" t="s">
        <v>434</v>
      </c>
      <c r="Q1" s="6" t="s">
        <v>435</v>
      </c>
      <c r="R1" s="6" t="s">
        <v>436</v>
      </c>
      <c r="S1" s="6" t="s">
        <v>437</v>
      </c>
      <c r="T1" s="6" t="s">
        <v>546</v>
      </c>
      <c r="U1" s="6" t="s">
        <v>547</v>
      </c>
      <c r="V1" s="6" t="s">
        <v>548</v>
      </c>
      <c r="W1" s="6" t="s">
        <v>549</v>
      </c>
      <c r="Y1" t="s">
        <v>41</v>
      </c>
      <c r="Z1" t="s">
        <v>42</v>
      </c>
    </row>
    <row r="2" spans="1:26" x14ac:dyDescent="0.25">
      <c r="A2" t="s">
        <v>43</v>
      </c>
      <c r="B2" s="11">
        <v>1907</v>
      </c>
      <c r="C2">
        <v>1</v>
      </c>
      <c r="D2" s="6">
        <v>10.514285714285716</v>
      </c>
      <c r="E2" s="6">
        <v>10.542857142857144</v>
      </c>
      <c r="F2" s="6">
        <v>10.4</v>
      </c>
      <c r="G2" s="6">
        <v>10.157142857142857</v>
      </c>
      <c r="H2" s="6">
        <v>10.042857142857143</v>
      </c>
      <c r="I2" s="6">
        <v>9.9857142857142858</v>
      </c>
      <c r="J2" s="6">
        <v>9.9142857142857146</v>
      </c>
      <c r="K2" s="6">
        <v>10.042857142857144</v>
      </c>
      <c r="L2" s="6">
        <v>9.0250000000000004</v>
      </c>
      <c r="M2" s="6">
        <v>8.8571428571428577</v>
      </c>
      <c r="N2" s="6">
        <v>10.042857142857143</v>
      </c>
      <c r="O2" s="6">
        <v>9.5142857142857142</v>
      </c>
      <c r="P2" s="6">
        <v>10.085714285714285</v>
      </c>
      <c r="Q2" s="6">
        <v>9.0857142857142872</v>
      </c>
      <c r="R2" s="6">
        <v>8.2857142857142865</v>
      </c>
      <c r="S2" s="6">
        <v>10.585714285714285</v>
      </c>
      <c r="T2" s="6">
        <v>10.657142857142857</v>
      </c>
      <c r="U2" s="6">
        <v>10.885714285714284</v>
      </c>
      <c r="V2" s="6">
        <v>10.957142857142857</v>
      </c>
      <c r="W2" s="6">
        <v>10.042857142857144</v>
      </c>
      <c r="X2" s="6"/>
      <c r="Y2" s="6">
        <f>SUM(D2:W2)</f>
        <v>199.625</v>
      </c>
      <c r="Z2">
        <f t="shared" ref="Z2:Z28" si="0">SUMPRODUCT($D$34:$W$34,D2:W2)</f>
        <v>-39.090335376417265</v>
      </c>
    </row>
    <row r="3" spans="1:26" x14ac:dyDescent="0.25">
      <c r="A3" t="s">
        <v>44</v>
      </c>
      <c r="B3" s="11">
        <v>2114</v>
      </c>
      <c r="C3">
        <v>2</v>
      </c>
      <c r="D3" s="6">
        <v>9.3571428571428577</v>
      </c>
      <c r="E3" s="6">
        <v>10.071428571428571</v>
      </c>
      <c r="F3" s="6">
        <v>8.7285714285714278</v>
      </c>
      <c r="G3" s="6">
        <v>9.5285714285714285</v>
      </c>
      <c r="H3" s="6">
        <v>9.8714285714285719</v>
      </c>
      <c r="I3" s="6">
        <v>9.9285714285714288</v>
      </c>
      <c r="J3" s="6">
        <v>9.6285714285714281</v>
      </c>
      <c r="K3" s="6">
        <v>9.8000000000000007</v>
      </c>
      <c r="L3" s="6">
        <v>10.075000000000001</v>
      </c>
      <c r="M3" s="6">
        <v>9.7714285714285722</v>
      </c>
      <c r="N3" s="6">
        <v>8.6857142857142851</v>
      </c>
      <c r="O3" s="6">
        <v>9.6857142857142851</v>
      </c>
      <c r="P3" s="6">
        <v>10.342857142857143</v>
      </c>
      <c r="Q3" s="6">
        <v>10.299999999999999</v>
      </c>
      <c r="R3" s="6">
        <v>10.214285714285714</v>
      </c>
      <c r="S3" s="6">
        <v>10.37142857142857</v>
      </c>
      <c r="T3" s="6">
        <v>10.27142857142857</v>
      </c>
      <c r="U3" s="6">
        <v>10.999999999999998</v>
      </c>
      <c r="V3" s="6">
        <v>9.4714285714285715</v>
      </c>
      <c r="W3" s="6">
        <v>10.157142857142858</v>
      </c>
      <c r="X3" s="6"/>
      <c r="Y3" s="6">
        <f t="shared" ref="Y3:Y32" si="1">SUM(D3:W3)</f>
        <v>197.2607142857143</v>
      </c>
      <c r="Z3">
        <f t="shared" si="0"/>
        <v>-37.595404981177836</v>
      </c>
    </row>
    <row r="4" spans="1:26" x14ac:dyDescent="0.25">
      <c r="A4" t="s">
        <v>45</v>
      </c>
      <c r="B4" s="11">
        <v>1979</v>
      </c>
      <c r="C4">
        <v>3</v>
      </c>
      <c r="D4" s="6">
        <v>10.5</v>
      </c>
      <c r="E4" s="6">
        <v>10.114285714285716</v>
      </c>
      <c r="F4" s="6">
        <v>9.5428571428571427</v>
      </c>
      <c r="G4" s="6">
        <v>10.071428571428569</v>
      </c>
      <c r="H4" s="6">
        <v>9.3285714285714274</v>
      </c>
      <c r="I4" s="6">
        <v>9.5857142857142854</v>
      </c>
      <c r="J4" s="6">
        <v>6.5571428571428569</v>
      </c>
      <c r="K4" s="6">
        <v>10.114285714285714</v>
      </c>
      <c r="L4" s="6">
        <v>9.6375000000000011</v>
      </c>
      <c r="M4" s="6">
        <v>8</v>
      </c>
      <c r="N4" s="6">
        <v>8.6428571428571423</v>
      </c>
      <c r="O4" s="6">
        <v>10.071428571428573</v>
      </c>
      <c r="P4" s="6">
        <v>10.099999999999998</v>
      </c>
      <c r="Q4" s="6">
        <v>10.214285714285714</v>
      </c>
      <c r="R4" s="6">
        <v>10.328571428571431</v>
      </c>
      <c r="S4" s="6">
        <v>9.4142857142857128</v>
      </c>
      <c r="T4" s="6">
        <v>10.128571428571428</v>
      </c>
      <c r="U4" s="6">
        <v>10.342857142857142</v>
      </c>
      <c r="V4" s="6">
        <v>9.4</v>
      </c>
      <c r="W4" s="6">
        <v>9.9428571428571448</v>
      </c>
      <c r="X4" s="6"/>
      <c r="Y4" s="6">
        <f t="shared" si="1"/>
        <v>192.03749999999997</v>
      </c>
      <c r="Z4">
        <f t="shared" si="0"/>
        <v>-37.068038544677059</v>
      </c>
    </row>
    <row r="5" spans="1:26" x14ac:dyDescent="0.25">
      <c r="A5" t="s">
        <v>46</v>
      </c>
      <c r="B5" s="11">
        <v>2756</v>
      </c>
      <c r="C5">
        <v>4</v>
      </c>
      <c r="D5" s="6">
        <v>10.185714285714285</v>
      </c>
      <c r="E5" s="6">
        <v>10.257142857142856</v>
      </c>
      <c r="F5" s="6">
        <v>10.028571428571427</v>
      </c>
      <c r="G5" s="6">
        <v>9.0857142857142854</v>
      </c>
      <c r="H5" s="6">
        <v>9.4571428571428573</v>
      </c>
      <c r="I5" s="6">
        <v>9.6857142857142851</v>
      </c>
      <c r="J5" s="6">
        <v>9.1714285714285726</v>
      </c>
      <c r="K5" s="6">
        <v>9.4714285714285715</v>
      </c>
      <c r="L5" s="6">
        <v>9.5749999999999993</v>
      </c>
      <c r="M5" s="6">
        <v>9.0857142857142872</v>
      </c>
      <c r="N5" s="6">
        <v>9.8142857142857149</v>
      </c>
      <c r="O5" s="6">
        <v>9.6285714285714299</v>
      </c>
      <c r="P5" s="6">
        <v>10.12857142857143</v>
      </c>
      <c r="Q5" s="6">
        <v>10.328571428571431</v>
      </c>
      <c r="R5" s="6">
        <v>10.414285714285715</v>
      </c>
      <c r="S5" s="6">
        <v>9.9285714285714288</v>
      </c>
      <c r="T5" s="6">
        <v>10.657142857142857</v>
      </c>
      <c r="U5" s="6">
        <v>10.942857142857145</v>
      </c>
      <c r="V5" s="6">
        <v>9.9285714285714288</v>
      </c>
      <c r="W5" s="6">
        <v>9.5857142857142854</v>
      </c>
      <c r="X5" s="6"/>
      <c r="Y5" s="6">
        <f t="shared" si="1"/>
        <v>197.36071428571427</v>
      </c>
      <c r="Z5">
        <f t="shared" si="0"/>
        <v>-38.156545124952324</v>
      </c>
    </row>
    <row r="6" spans="1:26" x14ac:dyDescent="0.25">
      <c r="A6" t="s">
        <v>47</v>
      </c>
      <c r="B6" s="11">
        <v>3099</v>
      </c>
      <c r="C6">
        <v>5</v>
      </c>
      <c r="D6" s="6">
        <v>10.242857142857144</v>
      </c>
      <c r="E6" s="6">
        <v>9.7857142857142865</v>
      </c>
      <c r="F6" s="6">
        <v>9.6</v>
      </c>
      <c r="G6" s="6">
        <v>9.8428571428571434</v>
      </c>
      <c r="H6" s="6">
        <v>9.0857142857142854</v>
      </c>
      <c r="I6" s="6">
        <v>9.8428571428571434</v>
      </c>
      <c r="J6" s="6">
        <v>9.4</v>
      </c>
      <c r="K6" s="6">
        <v>9.5</v>
      </c>
      <c r="L6" s="6">
        <v>9.9250000000000007</v>
      </c>
      <c r="M6" s="6">
        <v>9.9571428571428573</v>
      </c>
      <c r="N6" s="6">
        <v>10.1</v>
      </c>
      <c r="O6" s="6">
        <v>10.085714285714287</v>
      </c>
      <c r="P6" s="6">
        <v>10.185714285714285</v>
      </c>
      <c r="Q6" s="6">
        <v>9.1857142857142851</v>
      </c>
      <c r="R6" s="6">
        <v>6.9</v>
      </c>
      <c r="S6" s="6">
        <v>7.2142857142857144</v>
      </c>
      <c r="T6" s="6">
        <v>10.185714285714285</v>
      </c>
      <c r="U6" s="6">
        <v>8.1571428571428566</v>
      </c>
      <c r="V6" s="6">
        <v>11.157142857142858</v>
      </c>
      <c r="W6" s="6">
        <v>10.928571428571429</v>
      </c>
      <c r="X6" s="6"/>
      <c r="Y6" s="6">
        <f t="shared" si="1"/>
        <v>191.28214285714287</v>
      </c>
      <c r="Z6">
        <f t="shared" si="0"/>
        <v>-35.234785762732287</v>
      </c>
    </row>
    <row r="7" spans="1:26" x14ac:dyDescent="0.25">
      <c r="A7" t="s">
        <v>48</v>
      </c>
      <c r="B7" s="11">
        <v>2401</v>
      </c>
      <c r="C7">
        <v>6</v>
      </c>
      <c r="D7" s="6">
        <v>10.114285714285714</v>
      </c>
      <c r="E7" s="6">
        <v>10.157142857142857</v>
      </c>
      <c r="F7" s="6">
        <v>9.9285714285714288</v>
      </c>
      <c r="G7" s="6">
        <v>9.4571428571428573</v>
      </c>
      <c r="H7" s="6">
        <v>9.6</v>
      </c>
      <c r="I7" s="6">
        <v>9.5</v>
      </c>
      <c r="J7" s="6">
        <v>9.7142857142857135</v>
      </c>
      <c r="K7" s="6">
        <v>9.9</v>
      </c>
      <c r="L7" s="6">
        <v>8.8624999999999989</v>
      </c>
      <c r="M7" s="6">
        <v>8.4</v>
      </c>
      <c r="N7" s="6">
        <v>9.1428571428571423</v>
      </c>
      <c r="O7" s="6">
        <v>9.0142857142857142</v>
      </c>
      <c r="P7" s="6">
        <v>9.9428571428571413</v>
      </c>
      <c r="Q7" s="6">
        <v>9.9428571428571413</v>
      </c>
      <c r="R7" s="6">
        <v>9.4142857142857146</v>
      </c>
      <c r="S7" s="6">
        <v>8.8571428571428577</v>
      </c>
      <c r="T7" s="6">
        <v>9.5285714285714285</v>
      </c>
      <c r="U7" s="6">
        <v>8.6999999999999993</v>
      </c>
      <c r="V7" s="6">
        <v>10.37142857142857</v>
      </c>
      <c r="W7" s="6">
        <v>9.9571428571428573</v>
      </c>
      <c r="X7" s="6"/>
      <c r="Y7" s="6">
        <f t="shared" si="1"/>
        <v>190.50535714285715</v>
      </c>
      <c r="Z7">
        <f t="shared" si="0"/>
        <v>-36.551125952483382</v>
      </c>
    </row>
    <row r="8" spans="1:26" x14ac:dyDescent="0.25">
      <c r="A8" t="s">
        <v>49</v>
      </c>
      <c r="B8" s="11">
        <v>2607</v>
      </c>
      <c r="C8">
        <v>7</v>
      </c>
      <c r="D8" s="6">
        <v>9.8571428571428577</v>
      </c>
      <c r="E8" s="6">
        <v>9.6857142857142851</v>
      </c>
      <c r="F8" s="6">
        <v>9.8285714285714274</v>
      </c>
      <c r="G8" s="6">
        <v>8.7999999999999989</v>
      </c>
      <c r="H8" s="6">
        <v>9.3285714285714274</v>
      </c>
      <c r="I8" s="6">
        <v>8.8571428571428577</v>
      </c>
      <c r="J8" s="6">
        <v>9.5142857142857142</v>
      </c>
      <c r="K8" s="6">
        <v>9.1285714285714299</v>
      </c>
      <c r="L8" s="6">
        <v>9.1142857142857139</v>
      </c>
      <c r="M8" s="6">
        <v>9.6857142857142851</v>
      </c>
      <c r="N8" s="6">
        <v>8.9571428571428573</v>
      </c>
      <c r="O8" s="6">
        <v>9.6428571428571423</v>
      </c>
      <c r="P8" s="6">
        <v>9.1285714285714281</v>
      </c>
      <c r="Q8" s="6">
        <v>6.0571428571428561</v>
      </c>
      <c r="R8" s="6">
        <v>9.16</v>
      </c>
      <c r="S8" s="6">
        <v>9.8914285714285679</v>
      </c>
      <c r="T8" s="6">
        <v>10</v>
      </c>
      <c r="U8" s="6">
        <v>10.414285714285715</v>
      </c>
      <c r="V8" s="6">
        <v>10.004285714285714</v>
      </c>
      <c r="W8" s="6">
        <v>9.23</v>
      </c>
      <c r="X8" s="6"/>
      <c r="Y8" s="6">
        <f t="shared" si="1"/>
        <v>186.28571428571428</v>
      </c>
      <c r="Z8">
        <f t="shared" si="0"/>
        <v>-35.920244383716302</v>
      </c>
    </row>
    <row r="9" spans="1:26" x14ac:dyDescent="0.25">
      <c r="A9" t="s">
        <v>50</v>
      </c>
      <c r="B9" s="11">
        <v>2143</v>
      </c>
      <c r="C9">
        <v>8</v>
      </c>
      <c r="D9" s="6">
        <v>10.014285714285716</v>
      </c>
      <c r="E9" s="6">
        <v>10.042857142857143</v>
      </c>
      <c r="F9" s="6">
        <v>9.6571428571428566</v>
      </c>
      <c r="G9" s="6">
        <v>9.171428571428569</v>
      </c>
      <c r="H9" s="6">
        <v>9.514285714285716</v>
      </c>
      <c r="I9" s="6">
        <v>8.4</v>
      </c>
      <c r="J9" s="6">
        <v>9.6285714285714299</v>
      </c>
      <c r="K9" s="6">
        <v>9.4142857142857146</v>
      </c>
      <c r="L9" s="6">
        <v>9.1999999999999993</v>
      </c>
      <c r="M9" s="6">
        <v>8.4214285714285708</v>
      </c>
      <c r="N9" s="6">
        <v>7.5333333333333341</v>
      </c>
      <c r="O9" s="6">
        <v>8.7071428571428573</v>
      </c>
      <c r="P9" s="6">
        <v>9.1071428571428559</v>
      </c>
      <c r="Q9" s="6">
        <v>8.9785714285714295</v>
      </c>
      <c r="R9" s="6">
        <v>10.185714285714285</v>
      </c>
      <c r="S9" s="6">
        <v>9.757142857142858</v>
      </c>
      <c r="T9" s="6">
        <v>9.5142857142857142</v>
      </c>
      <c r="U9" s="6">
        <v>8.757142857142858</v>
      </c>
      <c r="V9" s="6">
        <v>10.085714285714285</v>
      </c>
      <c r="W9" s="6">
        <v>10.228571428571428</v>
      </c>
      <c r="X9" s="6"/>
      <c r="Y9" s="6">
        <f t="shared" si="1"/>
        <v>186.31904761904764</v>
      </c>
      <c r="Z9">
        <f t="shared" si="0"/>
        <v>-35.941557031093559</v>
      </c>
    </row>
    <row r="10" spans="1:26" x14ac:dyDescent="0.25">
      <c r="A10" t="s">
        <v>51</v>
      </c>
      <c r="B10" s="11">
        <v>2238</v>
      </c>
      <c r="C10">
        <v>9</v>
      </c>
      <c r="D10" s="6">
        <v>9.7571428571428562</v>
      </c>
      <c r="E10" s="6">
        <v>9.6857142857142851</v>
      </c>
      <c r="F10" s="6">
        <v>5.9857142857142858</v>
      </c>
      <c r="G10" s="6">
        <v>9.3857142857142861</v>
      </c>
      <c r="H10" s="6">
        <v>8.9428571428571413</v>
      </c>
      <c r="I10" s="6">
        <v>9.2285714285714295</v>
      </c>
      <c r="J10" s="6">
        <v>9.3857142857142861</v>
      </c>
      <c r="K10" s="6">
        <v>8.9142857142857146</v>
      </c>
      <c r="L10" s="6">
        <v>8.6499999999999986</v>
      </c>
      <c r="M10" s="6">
        <v>7.4571428571428573</v>
      </c>
      <c r="N10" s="6">
        <v>6.0285714285714276</v>
      </c>
      <c r="O10" s="6">
        <v>8.6571428571428566</v>
      </c>
      <c r="P10" s="6">
        <v>9.0142857142857142</v>
      </c>
      <c r="Q10" s="6">
        <v>9.4571428571428573</v>
      </c>
      <c r="R10" s="6">
        <v>9.4571428571428573</v>
      </c>
      <c r="S10" s="6">
        <v>9.7428571428571438</v>
      </c>
      <c r="T10" s="6">
        <v>9.6428571428571406</v>
      </c>
      <c r="U10" s="6">
        <v>9.9</v>
      </c>
      <c r="V10" s="6">
        <v>9.3142857142857149</v>
      </c>
      <c r="W10" s="6">
        <v>9.3142857142857149</v>
      </c>
      <c r="X10" s="6"/>
      <c r="Y10" s="6">
        <f t="shared" si="1"/>
        <v>177.92142857142858</v>
      </c>
      <c r="Z10">
        <f t="shared" si="0"/>
        <v>-34.875360644464621</v>
      </c>
    </row>
    <row r="11" spans="1:26" x14ac:dyDescent="0.25">
      <c r="A11" t="s">
        <v>52</v>
      </c>
      <c r="B11" s="11">
        <v>3473</v>
      </c>
      <c r="C11">
        <v>10</v>
      </c>
      <c r="D11" s="6">
        <v>7.7714285714285714</v>
      </c>
      <c r="E11" s="6">
        <v>8.0142857142857142</v>
      </c>
      <c r="F11" s="6">
        <v>8.4714285714285733</v>
      </c>
      <c r="G11" s="6">
        <v>8.9571428571428573</v>
      </c>
      <c r="H11" s="6">
        <v>8.2999999999999989</v>
      </c>
      <c r="I11" s="6">
        <v>8.6428571428571441</v>
      </c>
      <c r="J11" s="6">
        <v>8.8571428571428577</v>
      </c>
      <c r="K11" s="6">
        <v>8.1571428571428566</v>
      </c>
      <c r="L11" s="6">
        <v>8.7124999999999986</v>
      </c>
      <c r="M11" s="6">
        <v>8.8285714285714274</v>
      </c>
      <c r="N11" s="6">
        <v>5.2285714285714286</v>
      </c>
      <c r="O11" s="6">
        <v>7.5857142857142863</v>
      </c>
      <c r="P11" s="6">
        <v>8.9</v>
      </c>
      <c r="Q11" s="6">
        <v>8.9571428571428573</v>
      </c>
      <c r="R11" s="6">
        <v>9.2999999999999989</v>
      </c>
      <c r="S11" s="6">
        <v>8.6428571428571423</v>
      </c>
      <c r="T11" s="6">
        <v>7.2571428571428571</v>
      </c>
      <c r="U11" s="6">
        <v>6.7714285714285722</v>
      </c>
      <c r="V11" s="6">
        <v>8.0285714285714285</v>
      </c>
      <c r="W11" s="6">
        <v>8.1428571428571423</v>
      </c>
      <c r="X11" s="6"/>
      <c r="Y11" s="6">
        <f t="shared" si="1"/>
        <v>163.52678571428575</v>
      </c>
      <c r="Z11">
        <f t="shared" si="0"/>
        <v>-29.870388586475968</v>
      </c>
    </row>
    <row r="12" spans="1:26" x14ac:dyDescent="0.25">
      <c r="A12" t="s">
        <v>53</v>
      </c>
      <c r="B12" s="11">
        <v>2339</v>
      </c>
      <c r="C12">
        <v>11</v>
      </c>
      <c r="D12" s="6">
        <v>8.3571428571428577</v>
      </c>
      <c r="E12" s="6">
        <v>9.3428571428571416</v>
      </c>
      <c r="F12" s="6">
        <v>9.257142857142858</v>
      </c>
      <c r="G12" s="6">
        <v>8.9</v>
      </c>
      <c r="H12" s="6">
        <v>9.0285714285714285</v>
      </c>
      <c r="I12" s="6">
        <v>8.7714285714285705</v>
      </c>
      <c r="J12" s="6">
        <v>8.6428571428571423</v>
      </c>
      <c r="K12" s="6">
        <v>8.6428571428571423</v>
      </c>
      <c r="L12" s="6">
        <v>8.0124999999999993</v>
      </c>
      <c r="M12" s="6">
        <v>8.0428571428571427</v>
      </c>
      <c r="N12" s="6">
        <v>8.9571428571428573</v>
      </c>
      <c r="O12" s="6">
        <v>8.9285714285714288</v>
      </c>
      <c r="P12" s="6">
        <v>9.1999999999999993</v>
      </c>
      <c r="Q12" s="6">
        <v>9.3142857142857132</v>
      </c>
      <c r="R12" s="6">
        <v>9.3000000000000007</v>
      </c>
      <c r="S12" s="6">
        <v>9.3571428571428577</v>
      </c>
      <c r="T12" s="6">
        <v>9.671428571428569</v>
      </c>
      <c r="U12" s="6">
        <v>9.4714285714285715</v>
      </c>
      <c r="V12" s="6">
        <v>9.2428571428571438</v>
      </c>
      <c r="W12" s="6">
        <v>7.7285714285714286</v>
      </c>
      <c r="X12" s="6"/>
      <c r="Y12" s="6">
        <f t="shared" si="1"/>
        <v>178.16964285714286</v>
      </c>
      <c r="Z12">
        <f t="shared" si="0"/>
        <v>-34.479433913009494</v>
      </c>
    </row>
    <row r="13" spans="1:26" x14ac:dyDescent="0.25">
      <c r="A13" t="s">
        <v>54</v>
      </c>
      <c r="B13" s="11">
        <v>2595</v>
      </c>
      <c r="C13">
        <v>12</v>
      </c>
      <c r="D13" s="6">
        <v>9.3428571428571434</v>
      </c>
      <c r="E13" s="6">
        <v>9.2571428571428562</v>
      </c>
      <c r="F13" s="6">
        <v>8.9285714285714288</v>
      </c>
      <c r="G13" s="6">
        <v>8.7857142857142865</v>
      </c>
      <c r="H13" s="6">
        <v>9.1285714285714281</v>
      </c>
      <c r="I13" s="6">
        <v>8.1714285714285726</v>
      </c>
      <c r="J13" s="6">
        <v>9.014285714285716</v>
      </c>
      <c r="K13" s="6">
        <v>8.1857142857142868</v>
      </c>
      <c r="L13" s="6">
        <v>7.6374999999999993</v>
      </c>
      <c r="M13" s="6">
        <v>8.9571428571428573</v>
      </c>
      <c r="N13" s="6">
        <v>6.9857142857142867</v>
      </c>
      <c r="O13" s="6">
        <v>8.5428571428571445</v>
      </c>
      <c r="P13" s="6">
        <v>9.1142857142857139</v>
      </c>
      <c r="Q13" s="6">
        <v>8.6285714285714299</v>
      </c>
      <c r="R13" s="6">
        <v>8.8857142857142861</v>
      </c>
      <c r="S13" s="6">
        <v>8.3714285714285719</v>
      </c>
      <c r="T13" s="6">
        <v>9.9285714285714288</v>
      </c>
      <c r="U13" s="6">
        <v>9.171428571428569</v>
      </c>
      <c r="V13" s="6">
        <v>7.6428571428571432</v>
      </c>
      <c r="W13" s="6">
        <v>6.8</v>
      </c>
      <c r="X13" s="6"/>
      <c r="Y13" s="6">
        <f t="shared" si="1"/>
        <v>171.48035714285714</v>
      </c>
      <c r="Z13">
        <f t="shared" si="0"/>
        <v>-32.822833534503971</v>
      </c>
    </row>
    <row r="14" spans="1:26" x14ac:dyDescent="0.25">
      <c r="A14" t="s">
        <v>55</v>
      </c>
      <c r="B14" s="11">
        <v>2574</v>
      </c>
      <c r="C14">
        <v>13</v>
      </c>
      <c r="D14" s="6">
        <v>8.3142857142857149</v>
      </c>
      <c r="E14" s="6">
        <v>8.3857142857142861</v>
      </c>
      <c r="F14" s="6">
        <v>8.242857142857142</v>
      </c>
      <c r="G14" s="6">
        <v>7.1571428571428566</v>
      </c>
      <c r="H14" s="6">
        <v>7.3999999999999995</v>
      </c>
      <c r="I14" s="6">
        <v>6.3142857142857149</v>
      </c>
      <c r="J14" s="6">
        <v>7.8857142857142861</v>
      </c>
      <c r="K14" s="6">
        <v>8.1142857142857139</v>
      </c>
      <c r="L14" s="6">
        <v>7.95</v>
      </c>
      <c r="M14" s="6">
        <v>8.4</v>
      </c>
      <c r="N14" s="6">
        <v>8.9714285714285715</v>
      </c>
      <c r="O14" s="6">
        <v>9.3857142857142861</v>
      </c>
      <c r="P14" s="6">
        <v>9.2285714285714278</v>
      </c>
      <c r="Q14" s="6">
        <v>8.1428571428571423</v>
      </c>
      <c r="R14" s="6">
        <v>9.8571428571428577</v>
      </c>
      <c r="S14" s="6">
        <v>8.7428571428571438</v>
      </c>
      <c r="T14" s="6">
        <v>9.1142857142857157</v>
      </c>
      <c r="U14" s="6">
        <v>9.4857142857142858</v>
      </c>
      <c r="V14" s="6">
        <v>9.2428571428571438</v>
      </c>
      <c r="W14" s="6">
        <v>8.8714285714285719</v>
      </c>
      <c r="X14" s="6"/>
      <c r="Y14" s="6">
        <f t="shared" si="1"/>
        <v>169.20714285714288</v>
      </c>
      <c r="Z14">
        <f t="shared" si="0"/>
        <v>-32.479675006586838</v>
      </c>
    </row>
    <row r="15" spans="1:26" x14ac:dyDescent="0.25">
      <c r="A15" t="s">
        <v>56</v>
      </c>
      <c r="B15" s="11">
        <v>2641</v>
      </c>
      <c r="C15">
        <v>14</v>
      </c>
      <c r="D15" s="6">
        <v>8.4428571428571448</v>
      </c>
      <c r="E15" s="6">
        <v>8.7857142857142865</v>
      </c>
      <c r="F15" s="6">
        <v>7.7142857142857144</v>
      </c>
      <c r="G15" s="6">
        <v>8.3142857142857132</v>
      </c>
      <c r="H15" s="6">
        <v>7.6999999999999984</v>
      </c>
      <c r="I15" s="6">
        <v>9.3285714285714274</v>
      </c>
      <c r="J15" s="6">
        <v>8.6</v>
      </c>
      <c r="K15" s="6">
        <v>8.4999999999999982</v>
      </c>
      <c r="L15" s="6">
        <v>8.6000000000000014</v>
      </c>
      <c r="M15" s="6">
        <v>8.8428571428571416</v>
      </c>
      <c r="N15" s="6">
        <v>9.0285714285714267</v>
      </c>
      <c r="O15" s="6">
        <v>9.1428571428571423</v>
      </c>
      <c r="P15" s="6">
        <v>9.1857142857142851</v>
      </c>
      <c r="Q15" s="6">
        <v>9.3714285714285719</v>
      </c>
      <c r="R15" s="6">
        <v>8.8428571428571434</v>
      </c>
      <c r="S15" s="6">
        <v>9.4142857142857146</v>
      </c>
      <c r="T15" s="6">
        <v>9.514285714285716</v>
      </c>
      <c r="U15" s="6">
        <v>9.4142857142857146</v>
      </c>
      <c r="V15" s="6">
        <v>8.9571428571428573</v>
      </c>
      <c r="W15" s="6">
        <v>8.4428571428571413</v>
      </c>
      <c r="X15" s="6"/>
      <c r="Y15" s="6">
        <f t="shared" si="1"/>
        <v>176.14285714285714</v>
      </c>
      <c r="Z15">
        <f t="shared" si="0"/>
        <v>-33.497774696962374</v>
      </c>
    </row>
    <row r="16" spans="1:26" x14ac:dyDescent="0.25">
      <c r="A16" t="s">
        <v>57</v>
      </c>
      <c r="B16" s="11">
        <v>2205</v>
      </c>
      <c r="C16">
        <v>15</v>
      </c>
      <c r="D16" s="6">
        <v>8.8428571428571416</v>
      </c>
      <c r="E16" s="6">
        <v>9.0571428571428587</v>
      </c>
      <c r="F16" s="6">
        <v>9.0714285714285712</v>
      </c>
      <c r="G16" s="6">
        <v>8.3142857142857149</v>
      </c>
      <c r="H16" s="6">
        <v>9</v>
      </c>
      <c r="I16" s="6">
        <v>8.7285714285714278</v>
      </c>
      <c r="J16" s="6">
        <v>13.171428571428574</v>
      </c>
      <c r="K16" s="6">
        <v>8.4714285714285715</v>
      </c>
      <c r="L16" s="6">
        <v>8.25</v>
      </c>
      <c r="M16" s="6">
        <v>8.7428571428571438</v>
      </c>
      <c r="N16" s="6">
        <v>8.4285714285714288</v>
      </c>
      <c r="O16" s="6">
        <v>9.2999999999999989</v>
      </c>
      <c r="P16" s="6">
        <v>8.242857142857142</v>
      </c>
      <c r="Q16" s="6">
        <v>8.5571428571428587</v>
      </c>
      <c r="R16" s="6">
        <v>8.5857142857142854</v>
      </c>
      <c r="S16" s="6">
        <v>9.4714285714285715</v>
      </c>
      <c r="T16" s="6">
        <v>8.5</v>
      </c>
      <c r="U16" s="6">
        <v>9.0857142857142854</v>
      </c>
      <c r="V16" s="6">
        <v>8.4</v>
      </c>
      <c r="W16" s="6">
        <v>8.828571428571431</v>
      </c>
      <c r="X16" s="6"/>
      <c r="Y16" s="6">
        <f t="shared" si="1"/>
        <v>179.05</v>
      </c>
      <c r="Z16">
        <f t="shared" si="0"/>
        <v>-34.346892916386025</v>
      </c>
    </row>
    <row r="17" spans="1:27" x14ac:dyDescent="0.25">
      <c r="A17" t="s">
        <v>58</v>
      </c>
      <c r="B17" s="11">
        <v>2523</v>
      </c>
      <c r="C17">
        <v>16</v>
      </c>
      <c r="D17" s="6">
        <v>9.3428571428571434</v>
      </c>
      <c r="E17" s="6">
        <v>8.8428571428571434</v>
      </c>
      <c r="F17" s="6">
        <v>8.9428571428571413</v>
      </c>
      <c r="G17" s="6">
        <v>9.0714285714285712</v>
      </c>
      <c r="H17" s="6">
        <v>8.8571428571428577</v>
      </c>
      <c r="I17" s="6">
        <v>8.7714285714285705</v>
      </c>
      <c r="J17" s="6">
        <v>8.671428571428569</v>
      </c>
      <c r="K17" s="6">
        <v>8.4142857142857146</v>
      </c>
      <c r="L17" s="6">
        <v>8.5374999999999996</v>
      </c>
      <c r="M17" s="6">
        <v>8.3571428571428577</v>
      </c>
      <c r="N17" s="6">
        <v>8.6714285714285726</v>
      </c>
      <c r="O17" s="6">
        <v>8.8142857142857132</v>
      </c>
      <c r="P17" s="6">
        <v>8.9142857142857146</v>
      </c>
      <c r="Q17" s="6">
        <v>8.7857142857142865</v>
      </c>
      <c r="R17" s="6">
        <v>9.3714285714285701</v>
      </c>
      <c r="S17" s="6">
        <v>9.2428571428571438</v>
      </c>
      <c r="T17" s="6">
        <v>9.7000000000000011</v>
      </c>
      <c r="U17" s="6">
        <v>9.4142857142857146</v>
      </c>
      <c r="V17" s="6">
        <v>9.9857142857142858</v>
      </c>
      <c r="W17" s="6">
        <v>10.014285714285714</v>
      </c>
      <c r="X17" s="6"/>
      <c r="Y17" s="6">
        <f t="shared" si="1"/>
        <v>180.72321428571428</v>
      </c>
      <c r="Z17">
        <f t="shared" si="0"/>
        <v>-34.883229615397688</v>
      </c>
    </row>
    <row r="18" spans="1:27" x14ac:dyDescent="0.25">
      <c r="A18" t="s">
        <v>59</v>
      </c>
      <c r="B18" s="11">
        <v>2700</v>
      </c>
      <c r="C18">
        <v>17</v>
      </c>
      <c r="D18" s="6">
        <v>9.4</v>
      </c>
      <c r="E18" s="6">
        <v>9.0571428571428569</v>
      </c>
      <c r="F18" s="6">
        <v>9.0714285714285712</v>
      </c>
      <c r="G18" s="6">
        <v>8.6142857142857139</v>
      </c>
      <c r="H18" s="6">
        <v>8.4142857142857146</v>
      </c>
      <c r="I18" s="6">
        <v>8.3857142857142843</v>
      </c>
      <c r="J18" s="6">
        <v>7.9428571428571422</v>
      </c>
      <c r="K18" s="6">
        <v>8.2714285714285722</v>
      </c>
      <c r="L18" s="6">
        <v>7.4444444444444446</v>
      </c>
      <c r="M18" s="6">
        <v>8.1285714285714281</v>
      </c>
      <c r="N18" s="6">
        <v>8.4</v>
      </c>
      <c r="O18" s="6">
        <v>7.4285714285714288</v>
      </c>
      <c r="P18" s="6">
        <v>8.2571428571428562</v>
      </c>
      <c r="Q18" s="6">
        <v>8.8428571428571434</v>
      </c>
      <c r="R18" s="6">
        <v>7.2714285714285714</v>
      </c>
      <c r="S18" s="6">
        <v>9.5</v>
      </c>
      <c r="T18" s="6">
        <v>9.6142857142857139</v>
      </c>
      <c r="U18" s="6">
        <v>9.7000000000000011</v>
      </c>
      <c r="V18" s="6">
        <v>8.4857142857142858</v>
      </c>
      <c r="W18" s="6">
        <v>7.1857142857142859</v>
      </c>
      <c r="X18" s="6"/>
      <c r="Y18" s="6">
        <f t="shared" si="1"/>
        <v>169.41587301587299</v>
      </c>
      <c r="Z18">
        <f t="shared" si="0"/>
        <v>-33.428433476088962</v>
      </c>
    </row>
    <row r="19" spans="1:27" x14ac:dyDescent="0.25">
      <c r="A19" t="s">
        <v>60</v>
      </c>
      <c r="B19" s="11">
        <v>2130</v>
      </c>
      <c r="C19">
        <v>18</v>
      </c>
      <c r="D19" s="6">
        <v>8.8714285714285719</v>
      </c>
      <c r="E19" s="6">
        <v>7.9571428571428573</v>
      </c>
      <c r="F19" s="6">
        <v>8.2428571428571438</v>
      </c>
      <c r="G19" s="6">
        <v>6.8</v>
      </c>
      <c r="H19" s="6">
        <v>8.1857142857142851</v>
      </c>
      <c r="I19" s="6">
        <v>8.5857142857142854</v>
      </c>
      <c r="J19" s="6">
        <v>8.6142857142857139</v>
      </c>
      <c r="K19" s="6">
        <v>8.6857142857142851</v>
      </c>
      <c r="L19" s="6">
        <v>7.7000000000000011</v>
      </c>
      <c r="M19" s="6">
        <v>8.5714285714285712</v>
      </c>
      <c r="N19" s="6">
        <v>8.7714285714285705</v>
      </c>
      <c r="O19" s="6">
        <v>8.8428571428571434</v>
      </c>
      <c r="P19" s="6">
        <v>8.2999999999999989</v>
      </c>
      <c r="Q19" s="6">
        <v>7.6428571428571432</v>
      </c>
      <c r="R19" s="6">
        <v>8.9857142857142858</v>
      </c>
      <c r="S19" s="6">
        <v>7.3999999999999995</v>
      </c>
      <c r="T19" s="6">
        <v>8.3571428571428559</v>
      </c>
      <c r="U19" s="6">
        <v>9.1142857142857157</v>
      </c>
      <c r="V19" s="6">
        <v>9.985714285714284</v>
      </c>
      <c r="W19" s="6">
        <v>9.0714285714285712</v>
      </c>
      <c r="X19" s="6"/>
      <c r="Y19" s="6">
        <f t="shared" si="1"/>
        <v>168.68571428571431</v>
      </c>
      <c r="Z19">
        <f t="shared" si="0"/>
        <v>-32.520579593530456</v>
      </c>
    </row>
    <row r="20" spans="1:27" x14ac:dyDescent="0.25">
      <c r="A20" t="s">
        <v>61</v>
      </c>
      <c r="B20" s="11">
        <v>2717</v>
      </c>
      <c r="C20">
        <v>19</v>
      </c>
      <c r="D20" s="6">
        <v>9.828571428571431</v>
      </c>
      <c r="E20" s="6">
        <v>9.2714285714285705</v>
      </c>
      <c r="F20" s="6">
        <v>9.3714285714285719</v>
      </c>
      <c r="G20" s="6">
        <v>8.3285714285714274</v>
      </c>
      <c r="H20" s="6">
        <v>9.0285714285714285</v>
      </c>
      <c r="I20" s="6">
        <v>8.985714285714284</v>
      </c>
      <c r="J20" s="6">
        <v>8.4571428571428573</v>
      </c>
      <c r="K20" s="6">
        <v>8.6285714285714281</v>
      </c>
      <c r="L20" s="6">
        <v>7.7888888888888879</v>
      </c>
      <c r="M20" s="6">
        <v>7.8999999999999995</v>
      </c>
      <c r="N20" s="6">
        <v>7.9142857142857128</v>
      </c>
      <c r="O20" s="6">
        <v>7.7142857142857144</v>
      </c>
      <c r="P20" s="6">
        <v>9.4285714285714288</v>
      </c>
      <c r="Q20" s="6">
        <v>9.5857142857142854</v>
      </c>
      <c r="R20" s="6">
        <v>9.7857142857142865</v>
      </c>
      <c r="S20" s="6">
        <v>9.7714285714285722</v>
      </c>
      <c r="T20" s="6">
        <v>9.7285714285714278</v>
      </c>
      <c r="U20" s="6">
        <v>9.8714285714285701</v>
      </c>
      <c r="V20" s="6">
        <v>8.9142857142857146</v>
      </c>
      <c r="W20" s="6">
        <v>9.5000000000000018</v>
      </c>
      <c r="X20" s="6"/>
      <c r="Y20" s="6">
        <f t="shared" si="1"/>
        <v>179.8031746031746</v>
      </c>
      <c r="Z20">
        <f t="shared" si="0"/>
        <v>-35.419416829413187</v>
      </c>
    </row>
    <row r="21" spans="1:27" x14ac:dyDescent="0.25">
      <c r="A21" t="s">
        <v>62</v>
      </c>
      <c r="B21" s="13">
        <v>2426</v>
      </c>
      <c r="C21">
        <v>20</v>
      </c>
      <c r="D21" s="6">
        <v>8.2714285714285705</v>
      </c>
      <c r="E21" s="6">
        <v>6.7999999999999989</v>
      </c>
      <c r="F21" s="6">
        <v>8.9428571428571431</v>
      </c>
      <c r="G21" s="6">
        <v>8.8714285714285701</v>
      </c>
      <c r="H21" s="6">
        <v>8.9428571428571413</v>
      </c>
      <c r="I21" s="6">
        <v>7.742857142857142</v>
      </c>
      <c r="J21" s="6">
        <v>7.6714285714285708</v>
      </c>
      <c r="K21" s="6">
        <v>8.9714285714285715</v>
      </c>
      <c r="L21" s="6">
        <v>7.25</v>
      </c>
      <c r="M21" s="6">
        <v>8.4571428571428573</v>
      </c>
      <c r="N21" s="6">
        <v>9.2571428571428562</v>
      </c>
      <c r="O21" s="6">
        <v>8.571428571428573</v>
      </c>
      <c r="P21" s="6">
        <v>5.7</v>
      </c>
      <c r="Q21" s="6">
        <v>9.1714285714285726</v>
      </c>
      <c r="R21" s="6">
        <v>8.8714285714285701</v>
      </c>
      <c r="S21" s="6">
        <v>8.8714285714285701</v>
      </c>
      <c r="T21" s="6">
        <v>9.985714285714284</v>
      </c>
      <c r="U21" s="6">
        <v>8.9285714285714288</v>
      </c>
      <c r="V21" s="6">
        <v>8</v>
      </c>
      <c r="W21" s="6">
        <v>9.4571428571428573</v>
      </c>
      <c r="X21" s="6"/>
      <c r="Y21" s="6">
        <f t="shared" si="1"/>
        <v>168.73571428571427</v>
      </c>
      <c r="Z21">
        <f t="shared" si="0"/>
        <v>-33.182080940858903</v>
      </c>
    </row>
    <row r="22" spans="1:27" x14ac:dyDescent="0.25">
      <c r="A22" t="s">
        <v>63</v>
      </c>
      <c r="B22" s="11">
        <v>2658.7473002159827</v>
      </c>
      <c r="C22">
        <v>21</v>
      </c>
      <c r="D22" s="6">
        <v>9.4285714285714288</v>
      </c>
      <c r="E22" s="6">
        <v>8.8857142857142861</v>
      </c>
      <c r="F22" s="6">
        <v>9.2142857142857135</v>
      </c>
      <c r="G22" s="6">
        <v>9.1999999999999993</v>
      </c>
      <c r="H22" s="6">
        <v>8.7999999999999989</v>
      </c>
      <c r="I22" s="6">
        <v>8.5571428571428587</v>
      </c>
      <c r="J22" s="6">
        <v>9.1428571428571423</v>
      </c>
      <c r="K22" s="6">
        <v>8.6</v>
      </c>
      <c r="L22" s="6">
        <v>8.4125000000000014</v>
      </c>
      <c r="M22" s="6">
        <v>8.4142857142857128</v>
      </c>
      <c r="N22" s="6">
        <v>9.1142857142857139</v>
      </c>
      <c r="O22" s="6">
        <v>8.6</v>
      </c>
      <c r="P22" s="6">
        <v>9.0857142857142854</v>
      </c>
      <c r="Q22" s="6">
        <v>8.6428571428571423</v>
      </c>
      <c r="R22" s="6">
        <v>9.1571428571428584</v>
      </c>
      <c r="S22" s="6">
        <v>9.2000000000000011</v>
      </c>
      <c r="T22" s="6">
        <v>9.5857142857142854</v>
      </c>
      <c r="U22" s="6">
        <v>9.6857142857142851</v>
      </c>
      <c r="V22" s="6">
        <v>7.8857142857142852</v>
      </c>
      <c r="W22" s="6">
        <v>8.5714285714285712</v>
      </c>
      <c r="X22" s="6"/>
      <c r="Y22" s="6">
        <f t="shared" si="1"/>
        <v>178.18392857142854</v>
      </c>
      <c r="Z22">
        <f t="shared" si="0"/>
        <v>-34.316418889804865</v>
      </c>
    </row>
    <row r="23" spans="1:27" x14ac:dyDescent="0.25">
      <c r="A23" t="s">
        <v>64</v>
      </c>
      <c r="B23" s="11">
        <v>2503.6710719530106</v>
      </c>
      <c r="C23">
        <v>22</v>
      </c>
      <c r="D23" s="6">
        <v>8.8571428571428577</v>
      </c>
      <c r="E23" s="6">
        <v>8.1142857142857157</v>
      </c>
      <c r="F23" s="6">
        <v>8.1428571428571423</v>
      </c>
      <c r="G23" s="6">
        <v>8.2142857142857135</v>
      </c>
      <c r="H23" s="6">
        <v>8.6142857142857139</v>
      </c>
      <c r="I23" s="6">
        <v>7</v>
      </c>
      <c r="J23" s="6">
        <v>8.6428571428571423</v>
      </c>
      <c r="K23" s="6">
        <v>8.7857142857142865</v>
      </c>
      <c r="L23" s="6">
        <v>8.0428571428571427</v>
      </c>
      <c r="M23" s="6">
        <v>7.3714285714285719</v>
      </c>
      <c r="N23" s="6">
        <v>8.3428571428571416</v>
      </c>
      <c r="O23" s="6">
        <v>8.4285714285714288</v>
      </c>
      <c r="P23" s="6">
        <v>7.83</v>
      </c>
      <c r="Q23" s="6">
        <v>9.2142857142857135</v>
      </c>
      <c r="R23" s="6">
        <v>7.299999999999998</v>
      </c>
      <c r="S23" s="6">
        <v>9.5571428571428587</v>
      </c>
      <c r="T23" s="6">
        <v>9.2571428571428562</v>
      </c>
      <c r="U23" s="6">
        <v>9.5571428571428552</v>
      </c>
      <c r="V23" s="6">
        <v>8.6999999999999993</v>
      </c>
      <c r="W23" s="6">
        <v>9.2142857142857171</v>
      </c>
      <c r="X23" s="6"/>
      <c r="Y23" s="6">
        <f t="shared" si="1"/>
        <v>169.18714285714285</v>
      </c>
      <c r="Z23">
        <f t="shared" si="0"/>
        <v>-33.334793254477688</v>
      </c>
    </row>
    <row r="24" spans="1:27" x14ac:dyDescent="0.25">
      <c r="A24" t="s">
        <v>65</v>
      </c>
      <c r="B24" s="11">
        <v>2855</v>
      </c>
      <c r="C24">
        <v>23</v>
      </c>
      <c r="D24" s="6">
        <v>8.9142857142857146</v>
      </c>
      <c r="E24" s="6">
        <v>9.3071428571428552</v>
      </c>
      <c r="F24" s="6">
        <v>8.9285714285714288</v>
      </c>
      <c r="G24" s="6">
        <v>9.1857142857142868</v>
      </c>
      <c r="H24" s="6">
        <v>8.9285714285714288</v>
      </c>
      <c r="I24" s="6">
        <v>6.9285714285714288</v>
      </c>
      <c r="J24" s="6">
        <v>7.871428571428571</v>
      </c>
      <c r="K24" s="6">
        <v>8.7000000000000011</v>
      </c>
      <c r="L24" s="6">
        <v>7.0125000000000011</v>
      </c>
      <c r="M24" s="6">
        <v>7.371428571428571</v>
      </c>
      <c r="N24" s="6">
        <v>7.3428571428571434</v>
      </c>
      <c r="O24" s="6">
        <v>7.8857142857142843</v>
      </c>
      <c r="P24" s="6">
        <v>8.8714285714285701</v>
      </c>
      <c r="Q24" s="6">
        <v>7.8571428571428568</v>
      </c>
      <c r="R24" s="6">
        <v>9.0571428571428552</v>
      </c>
      <c r="S24" s="6">
        <v>10.442857142857141</v>
      </c>
      <c r="T24" s="6">
        <v>9.5</v>
      </c>
      <c r="U24" s="6">
        <v>10.2125</v>
      </c>
      <c r="V24" s="6">
        <v>8.4428571428571431</v>
      </c>
      <c r="W24" s="6">
        <v>7.4571428571428573</v>
      </c>
      <c r="X24" s="6"/>
      <c r="Y24" s="6">
        <f t="shared" si="1"/>
        <v>170.21785714285716</v>
      </c>
      <c r="Z24">
        <f t="shared" si="0"/>
        <v>-34.077287260660079</v>
      </c>
    </row>
    <row r="25" spans="1:27" x14ac:dyDescent="0.25">
      <c r="A25" t="s">
        <v>66</v>
      </c>
      <c r="B25" s="11">
        <v>2105</v>
      </c>
      <c r="C25">
        <v>24</v>
      </c>
      <c r="D25" s="6">
        <v>10.057142857142859</v>
      </c>
      <c r="E25" s="6">
        <v>9.5285714285714267</v>
      </c>
      <c r="F25" s="6">
        <v>8</v>
      </c>
      <c r="G25" s="6">
        <v>7.6</v>
      </c>
      <c r="H25" s="6">
        <v>7.3428571428571434</v>
      </c>
      <c r="I25" s="6">
        <v>7.4571428571428564</v>
      </c>
      <c r="J25" s="6">
        <v>7.4142857142857128</v>
      </c>
      <c r="K25" s="6">
        <v>9.1</v>
      </c>
      <c r="L25" s="6">
        <v>0.16250000000000009</v>
      </c>
      <c r="M25" s="6">
        <v>8.9571428571428573</v>
      </c>
      <c r="N25" s="6">
        <v>8.3428571428571434</v>
      </c>
      <c r="O25" s="6">
        <v>3.8857142857142857</v>
      </c>
      <c r="P25" s="6">
        <v>6.4142857142857155</v>
      </c>
      <c r="Q25" s="6">
        <v>10.057142857142859</v>
      </c>
      <c r="R25" s="6">
        <v>9.4857142857142858</v>
      </c>
      <c r="S25" s="6">
        <v>9.7571428571428562</v>
      </c>
      <c r="T25" s="6">
        <v>8.9285714285714288</v>
      </c>
      <c r="U25" s="6">
        <v>9.8142857142857132</v>
      </c>
      <c r="V25" s="6">
        <v>9.5428571428571427</v>
      </c>
      <c r="W25" s="6">
        <v>9.3285714285714274</v>
      </c>
      <c r="X25" s="6"/>
      <c r="Y25" s="6">
        <f t="shared" si="1"/>
        <v>161.17678571428567</v>
      </c>
      <c r="Z25">
        <f t="shared" si="0"/>
        <v>-35.499036347969685</v>
      </c>
    </row>
    <row r="26" spans="1:27" x14ac:dyDescent="0.25">
      <c r="A26" t="s">
        <v>67</v>
      </c>
      <c r="B26" s="11">
        <v>2752</v>
      </c>
      <c r="C26">
        <v>25</v>
      </c>
      <c r="D26" s="6">
        <v>9.5571428571428552</v>
      </c>
      <c r="E26" s="6">
        <v>8.2142857142857153</v>
      </c>
      <c r="F26" s="6">
        <v>5.0285714285714294</v>
      </c>
      <c r="G26" s="6">
        <v>8.8428571428571416</v>
      </c>
      <c r="H26" s="6">
        <v>8.6428571428571423</v>
      </c>
      <c r="I26" s="6">
        <v>7.2714285714285714</v>
      </c>
      <c r="J26" s="6">
        <v>4.8714285714285719</v>
      </c>
      <c r="K26" s="6">
        <v>6.2</v>
      </c>
      <c r="L26" s="6">
        <v>8.7375000000000007</v>
      </c>
      <c r="M26" s="6">
        <v>8.2831168831168824</v>
      </c>
      <c r="N26" s="6">
        <v>8.5103896103896091</v>
      </c>
      <c r="O26" s="6">
        <v>8.0558441558441558</v>
      </c>
      <c r="P26" s="6">
        <v>8.2027272727272713</v>
      </c>
      <c r="Q26" s="6">
        <v>8.884415584415585</v>
      </c>
      <c r="R26" s="6">
        <v>8.7922077922077904</v>
      </c>
      <c r="S26" s="6">
        <v>9.3298701298701303</v>
      </c>
      <c r="T26" s="6">
        <v>9.3337662337662337</v>
      </c>
      <c r="U26" s="6">
        <v>9.5271103896103888</v>
      </c>
      <c r="V26" s="6">
        <v>8.8142857142857149</v>
      </c>
      <c r="W26" s="6">
        <v>9.6285714285714299</v>
      </c>
      <c r="X26" s="6"/>
      <c r="Y26" s="6">
        <f t="shared" si="1"/>
        <v>164.72837662337662</v>
      </c>
      <c r="Z26">
        <f t="shared" si="0"/>
        <v>-31.805849950746619</v>
      </c>
    </row>
    <row r="27" spans="1:27" x14ac:dyDescent="0.25">
      <c r="A27" t="s">
        <v>68</v>
      </c>
      <c r="B27" s="12">
        <v>3016</v>
      </c>
      <c r="C27">
        <v>26</v>
      </c>
      <c r="D27" s="6">
        <v>8.4428571428571448</v>
      </c>
      <c r="E27" s="6">
        <v>8.7857142857142865</v>
      </c>
      <c r="F27" s="6">
        <v>7.7142857142857144</v>
      </c>
      <c r="G27" s="6">
        <v>8.3142857142857132</v>
      </c>
      <c r="H27" s="6">
        <v>7.6999999999999984</v>
      </c>
      <c r="I27" s="6">
        <v>9.3285714285714274</v>
      </c>
      <c r="J27" s="6">
        <v>8.6</v>
      </c>
      <c r="K27" s="6">
        <v>8.4999999999999982</v>
      </c>
      <c r="L27" s="6">
        <v>8.6000000000000014</v>
      </c>
      <c r="M27" s="6">
        <v>8.8428571428571416</v>
      </c>
      <c r="N27" s="6">
        <v>9.0285714285714267</v>
      </c>
      <c r="O27" s="6">
        <v>9.1428571428571423</v>
      </c>
      <c r="P27" s="6">
        <v>9.1857142857142851</v>
      </c>
      <c r="Q27" s="6">
        <v>9.1285714285714299</v>
      </c>
      <c r="R27" s="6">
        <v>9.5142857142857142</v>
      </c>
      <c r="S27" s="6">
        <v>8.6</v>
      </c>
      <c r="T27" s="6">
        <v>9.8714285714285701</v>
      </c>
      <c r="U27" s="6">
        <v>9.3714285714285701</v>
      </c>
      <c r="V27" s="6">
        <v>9.5714285714285712</v>
      </c>
      <c r="W27" s="6">
        <v>10.257142857142856</v>
      </c>
      <c r="X27" s="6"/>
      <c r="Y27" s="6">
        <f>SUM(D27:W27)</f>
        <v>178.5</v>
      </c>
      <c r="Z27">
        <f t="shared" si="0"/>
        <v>-33.924952322926842</v>
      </c>
    </row>
    <row r="28" spans="1:27" x14ac:dyDescent="0.25">
      <c r="A28" t="s">
        <v>69</v>
      </c>
      <c r="B28" s="1">
        <v>2720</v>
      </c>
      <c r="C28">
        <v>27</v>
      </c>
      <c r="D28" s="6">
        <v>5.1285714285714281</v>
      </c>
      <c r="E28" s="6">
        <v>4.6285714285714281</v>
      </c>
      <c r="F28" s="6">
        <v>4.5428571428571427</v>
      </c>
      <c r="G28" s="6">
        <v>4.2</v>
      </c>
      <c r="H28" s="6">
        <v>3.6428571428571432</v>
      </c>
      <c r="I28" s="6">
        <v>2.8571428571428577</v>
      </c>
      <c r="J28" s="6">
        <v>2.3285714285714287</v>
      </c>
      <c r="K28" s="6">
        <v>1.4857142857142855</v>
      </c>
      <c r="L28" s="6">
        <v>7.4444444444444446</v>
      </c>
      <c r="M28" s="6">
        <v>8.1285714285714281</v>
      </c>
      <c r="N28" s="6">
        <v>8.4</v>
      </c>
      <c r="O28" s="6">
        <v>7.4285714285714288</v>
      </c>
      <c r="P28" s="6">
        <v>8.2445336481700107</v>
      </c>
      <c r="Q28" s="6">
        <v>8.8920897284533673</v>
      </c>
      <c r="R28" s="6">
        <v>9.8142857142857132</v>
      </c>
      <c r="S28" s="6">
        <v>9.4</v>
      </c>
      <c r="T28" s="6">
        <v>9.6571428571428566</v>
      </c>
      <c r="U28" s="6">
        <v>10.214285714285714</v>
      </c>
      <c r="V28" s="6">
        <v>9.0571428571428587</v>
      </c>
      <c r="W28" s="6">
        <v>9.5857142857142872</v>
      </c>
      <c r="X28" s="6"/>
      <c r="Y28" s="6">
        <f t="shared" si="1"/>
        <v>135.08106782106782</v>
      </c>
      <c r="Z28">
        <f t="shared" si="0"/>
        <v>-25.452748831701797</v>
      </c>
    </row>
    <row r="29" spans="1:27" x14ac:dyDescent="0.25">
      <c r="B29" s="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7" x14ac:dyDescent="0.25">
      <c r="A30" t="s">
        <v>70</v>
      </c>
      <c r="B30" s="5">
        <v>2915</v>
      </c>
      <c r="D30" s="6">
        <v>9.5428571428571445</v>
      </c>
      <c r="E30" s="6">
        <v>8.4428571428571431</v>
      </c>
      <c r="F30" s="6">
        <v>9.3714285714285701</v>
      </c>
      <c r="G30" s="6">
        <v>9.1</v>
      </c>
      <c r="H30" s="6">
        <v>8.9142857142857146</v>
      </c>
      <c r="I30" s="6">
        <v>7.742857142857142</v>
      </c>
      <c r="J30" s="6">
        <v>8.257142857142858</v>
      </c>
      <c r="K30" s="6">
        <v>8.0857142857142872</v>
      </c>
      <c r="L30" s="6">
        <v>9.1499999999999986</v>
      </c>
      <c r="M30" s="6">
        <v>8.3358471074380152</v>
      </c>
      <c r="N30" s="6">
        <v>8.6233323494687131</v>
      </c>
      <c r="O30" s="6">
        <v>7.8413813459268003</v>
      </c>
      <c r="P30" s="6">
        <v>9.0043004722550197</v>
      </c>
      <c r="Q30" s="6">
        <v>9.9809917355371898</v>
      </c>
      <c r="R30" s="6">
        <v>8.9990259740259724</v>
      </c>
      <c r="S30" s="6">
        <v>9.394805194805194</v>
      </c>
      <c r="T30" s="6">
        <v>7.5149350649350604</v>
      </c>
      <c r="U30" s="6">
        <v>10.663879870129801</v>
      </c>
      <c r="V30" s="6">
        <v>7.7517857142857096</v>
      </c>
      <c r="W30" s="6">
        <v>10.1875</v>
      </c>
      <c r="X30" s="6"/>
      <c r="Y30" s="6">
        <f t="shared" si="1"/>
        <v>176.90492768595035</v>
      </c>
      <c r="Z30">
        <f>SUMPRODUCT($D$34:$W$34,D30:W30)</f>
        <v>-34.07588199498133</v>
      </c>
    </row>
    <row r="31" spans="1:27" x14ac:dyDescent="0.25">
      <c r="A31" t="s">
        <v>313</v>
      </c>
      <c r="B31" s="1">
        <v>3091</v>
      </c>
      <c r="D31" s="6">
        <v>9.7285714285714295</v>
      </c>
      <c r="E31" s="6">
        <v>7.9142857142857128</v>
      </c>
      <c r="F31" s="6">
        <v>9.328571428571431</v>
      </c>
      <c r="G31" s="6">
        <v>9.6714285714285726</v>
      </c>
      <c r="H31" s="6">
        <v>9.4142857142857146</v>
      </c>
      <c r="I31" s="6">
        <v>9.4</v>
      </c>
      <c r="J31" s="6">
        <v>8.2000000000000011</v>
      </c>
      <c r="K31" s="6">
        <v>5.3142857142857149</v>
      </c>
      <c r="L31" s="6">
        <v>8.4125000000000014</v>
      </c>
      <c r="M31" s="6">
        <v>8.4142857142857128</v>
      </c>
      <c r="N31" s="6">
        <v>9.1142857142857139</v>
      </c>
      <c r="O31" s="6">
        <v>8.6</v>
      </c>
      <c r="P31" s="6">
        <v>8.8000000000000007</v>
      </c>
      <c r="Q31" s="6">
        <v>7.7</v>
      </c>
      <c r="R31" s="6">
        <v>9.1999999999999993</v>
      </c>
      <c r="S31" s="6">
        <v>9.4</v>
      </c>
      <c r="T31" s="6">
        <v>8.25</v>
      </c>
      <c r="U31" s="6">
        <v>9.48</v>
      </c>
      <c r="V31" s="6">
        <v>8.2100000000000009</v>
      </c>
      <c r="W31" s="6">
        <v>9.2100000000000009</v>
      </c>
      <c r="X31" s="6"/>
      <c r="Y31" s="6">
        <f t="shared" si="1"/>
        <v>173.76250000000002</v>
      </c>
      <c r="Z31">
        <f>SUMPRODUCT($D$34:$W$34,D31:W31)</f>
        <v>-32.993171974181962</v>
      </c>
      <c r="AA31" s="6"/>
    </row>
    <row r="32" spans="1:27" x14ac:dyDescent="0.25">
      <c r="A32" t="s">
        <v>314</v>
      </c>
      <c r="D32" s="6">
        <v>4.3571428571428568</v>
      </c>
      <c r="E32" s="6">
        <v>9.1</v>
      </c>
      <c r="F32" s="6">
        <v>7.0428571428571427</v>
      </c>
      <c r="G32" s="6">
        <v>9.0714285714285712</v>
      </c>
      <c r="H32" s="6">
        <v>9.2857142857142865</v>
      </c>
      <c r="I32" s="6">
        <v>8.4285714285714288</v>
      </c>
      <c r="J32" s="6">
        <v>7.8999999999999995</v>
      </c>
      <c r="K32" s="6">
        <v>8.1</v>
      </c>
      <c r="L32" s="6">
        <v>8.8000000000000007</v>
      </c>
      <c r="M32" s="6">
        <v>8.1999999999999993</v>
      </c>
      <c r="N32" s="6">
        <v>8.6</v>
      </c>
      <c r="O32" s="6">
        <v>8.1999999999999993</v>
      </c>
      <c r="P32" s="6">
        <v>8.4641100076394178</v>
      </c>
      <c r="Q32" s="6">
        <v>8.8889992360580603</v>
      </c>
      <c r="R32" s="6">
        <v>8.9592055003819695</v>
      </c>
      <c r="S32" s="6">
        <v>9.2244461420932033</v>
      </c>
      <c r="T32" s="6">
        <v>9.271734148204736</v>
      </c>
      <c r="U32" s="6">
        <v>9.3603132161955678</v>
      </c>
      <c r="V32" s="6">
        <v>8.7991596638655469</v>
      </c>
      <c r="W32" s="6">
        <v>8.6798319327731086</v>
      </c>
      <c r="X32" s="6"/>
      <c r="Y32" s="6">
        <f t="shared" si="1"/>
        <v>168.7335141329259</v>
      </c>
      <c r="Z32">
        <f>SUMPRODUCT($D$34:$W$34,D32:W32)</f>
        <v>-31.865160357228916</v>
      </c>
    </row>
    <row r="33" spans="1:26" x14ac:dyDescent="0.25">
      <c r="A33" t="s">
        <v>658</v>
      </c>
      <c r="D33" s="15">
        <v>9.5428571428571427</v>
      </c>
      <c r="E33" s="15">
        <v>9.0285714285714285</v>
      </c>
      <c r="F33" s="15">
        <v>9.0857142857142854</v>
      </c>
      <c r="G33" s="15">
        <v>8.5428571428571427</v>
      </c>
      <c r="H33" s="15">
        <v>6.5</v>
      </c>
      <c r="I33" s="15">
        <v>6.7</v>
      </c>
      <c r="J33" s="15">
        <v>7.8</v>
      </c>
      <c r="K33" s="15">
        <v>7.3</v>
      </c>
      <c r="L33" s="16">
        <v>6.7</v>
      </c>
      <c r="M33" s="16">
        <v>8.3000000000000007</v>
      </c>
      <c r="N33" s="6">
        <v>8.3000000000000007</v>
      </c>
      <c r="O33" s="6">
        <v>7.9</v>
      </c>
      <c r="P33" s="6">
        <v>8.2165306122448971</v>
      </c>
      <c r="Q33" s="6">
        <v>8.8408163265306126</v>
      </c>
      <c r="R33" s="6">
        <v>8.8095238095238066</v>
      </c>
      <c r="S33" s="6">
        <v>9.3047619047619037</v>
      </c>
      <c r="T33" s="6">
        <v>9.3157142857142858</v>
      </c>
      <c r="U33" s="6">
        <v>9.5383928571428562</v>
      </c>
      <c r="V33" s="6">
        <v>8.8342857142857163</v>
      </c>
      <c r="W33" s="6">
        <v>8.8628571428571412</v>
      </c>
      <c r="Y33" s="6">
        <f t="shared" ref="Y33" si="2">SUM(D33:W33)</f>
        <v>167.42288265306124</v>
      </c>
      <c r="Z33">
        <f>SUMPRODUCT($D$34:$W$34,D33:W33)</f>
        <v>-33.00610890012711</v>
      </c>
    </row>
    <row r="34" spans="1:26" x14ac:dyDescent="0.25">
      <c r="A34" s="2" t="s">
        <v>71</v>
      </c>
      <c r="D34" s="3">
        <f>CORREL($B$2:$B$28,D2:D28)</f>
        <v>-0.34843781175566868</v>
      </c>
      <c r="E34" s="3">
        <f t="shared" ref="E34:W34" si="3">CORREL($B$2:$B$28,E2:E28)</f>
        <v>-0.30912710208204869</v>
      </c>
      <c r="F34" s="3">
        <f t="shared" si="3"/>
        <v>-0.16727335756624662</v>
      </c>
      <c r="G34" s="3">
        <f t="shared" si="3"/>
        <v>-0.10600648295198498</v>
      </c>
      <c r="H34" s="3">
        <f t="shared" si="3"/>
        <v>-0.26455574136465582</v>
      </c>
      <c r="I34" s="3">
        <f t="shared" si="3"/>
        <v>-0.16148695820370917</v>
      </c>
      <c r="J34" s="3">
        <f t="shared" si="3"/>
        <v>-0.18520079582879065</v>
      </c>
      <c r="K34" s="3">
        <f t="shared" si="3"/>
        <v>-0.31284125939147106</v>
      </c>
      <c r="L34" s="3">
        <f t="shared" si="3"/>
        <v>0.14764151844074391</v>
      </c>
      <c r="M34" s="3">
        <f t="shared" si="3"/>
        <v>9.9645465952989093E-2</v>
      </c>
      <c r="N34" s="3">
        <f t="shared" si="3"/>
        <v>-0.22665299533610692</v>
      </c>
      <c r="O34" s="3">
        <f t="shared" si="3"/>
        <v>-6.1571405670809633E-2</v>
      </c>
      <c r="P34" s="3">
        <f t="shared" si="3"/>
        <v>5.1329954325212361E-2</v>
      </c>
      <c r="Q34" s="3">
        <f t="shared" si="3"/>
        <v>-0.18385513545884757</v>
      </c>
      <c r="R34" s="3">
        <f t="shared" si="3"/>
        <v>-0.21594471691617659</v>
      </c>
      <c r="S34" s="3">
        <f t="shared" si="3"/>
        <v>-0.34181618509366074</v>
      </c>
      <c r="T34" s="3">
        <f t="shared" si="3"/>
        <v>-0.24857271234480885</v>
      </c>
      <c r="U34" s="3">
        <f t="shared" si="3"/>
        <v>-0.47758830162466281</v>
      </c>
      <c r="V34" s="3">
        <f t="shared" si="3"/>
        <v>-0.27482016431836687</v>
      </c>
      <c r="W34" s="3">
        <f t="shared" si="3"/>
        <v>-0.20286040949729153</v>
      </c>
      <c r="X34" s="3"/>
    </row>
    <row r="35" spans="1:26" x14ac:dyDescent="0.25">
      <c r="P35" s="6"/>
      <c r="Q35" s="6"/>
      <c r="R35" s="6"/>
      <c r="S35" s="6"/>
      <c r="T35" s="6"/>
      <c r="U35" s="6"/>
      <c r="V35" s="6"/>
      <c r="W35" s="6"/>
    </row>
    <row r="36" spans="1:26" x14ac:dyDescent="0.25">
      <c r="P36" s="6"/>
      <c r="Q36" s="6"/>
      <c r="R36" s="6"/>
      <c r="S36" s="6"/>
      <c r="T36" s="6"/>
      <c r="U36" s="6"/>
      <c r="V36" s="6"/>
      <c r="W36" s="6"/>
    </row>
    <row r="37" spans="1:26" x14ac:dyDescent="0.25"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79</v>
      </c>
      <c r="L37" t="s">
        <v>316</v>
      </c>
      <c r="M37" t="s">
        <v>346</v>
      </c>
      <c r="N37" t="s">
        <v>347</v>
      </c>
      <c r="O37" t="s">
        <v>348</v>
      </c>
      <c r="P37" s="6" t="s">
        <v>438</v>
      </c>
      <c r="Q37" s="6" t="s">
        <v>439</v>
      </c>
      <c r="R37" s="6" t="s">
        <v>440</v>
      </c>
      <c r="S37" s="6" t="s">
        <v>441</v>
      </c>
      <c r="T37" s="6" t="s">
        <v>550</v>
      </c>
      <c r="U37" s="6" t="s">
        <v>551</v>
      </c>
      <c r="V37" s="6" t="s">
        <v>552</v>
      </c>
      <c r="W37" s="6" t="s">
        <v>553</v>
      </c>
      <c r="Y37" t="s">
        <v>80</v>
      </c>
      <c r="Z37" t="s">
        <v>81</v>
      </c>
    </row>
    <row r="38" spans="1:26" x14ac:dyDescent="0.25">
      <c r="A38" t="s">
        <v>43</v>
      </c>
      <c r="D38" s="6">
        <v>34.785714285714285</v>
      </c>
      <c r="E38" s="6">
        <v>34.9</v>
      </c>
      <c r="F38" s="6">
        <v>34.785714285714285</v>
      </c>
      <c r="G38" s="6">
        <v>34.042857142857144</v>
      </c>
      <c r="H38" s="6">
        <v>33.800000000000004</v>
      </c>
      <c r="I38" s="6">
        <v>31.028571428571421</v>
      </c>
      <c r="J38" s="6">
        <v>31.7</v>
      </c>
      <c r="K38" s="6">
        <v>29.957142857142859</v>
      </c>
      <c r="L38" s="6">
        <v>27.887499999999999</v>
      </c>
      <c r="M38" s="6">
        <v>25.900000000000002</v>
      </c>
      <c r="N38" s="6">
        <v>27.714285714285715</v>
      </c>
      <c r="O38" s="6">
        <v>28.314285714285713</v>
      </c>
      <c r="P38" s="6">
        <v>27.814285714285717</v>
      </c>
      <c r="Q38" s="6">
        <v>27.74285714285714</v>
      </c>
      <c r="R38" s="6">
        <v>27.357142857142854</v>
      </c>
      <c r="S38" s="6">
        <v>28.74285714285714</v>
      </c>
      <c r="T38" s="6">
        <v>29.685714285714287</v>
      </c>
      <c r="U38" s="6">
        <v>33.171428571428571</v>
      </c>
      <c r="V38" s="6">
        <v>36.585714285714282</v>
      </c>
      <c r="W38" s="6">
        <v>34.142857142857139</v>
      </c>
      <c r="Y38" s="6">
        <f t="shared" ref="Y38:Y68" si="4">SUM(D38:W38)</f>
        <v>620.0589285714284</v>
      </c>
      <c r="Z38">
        <f t="shared" ref="Z38:Z64" si="5">SUMPRODUCT($D$70:$W$70,D38:W38)</f>
        <v>-106.55214959901848</v>
      </c>
    </row>
    <row r="39" spans="1:26" x14ac:dyDescent="0.25">
      <c r="A39" t="s">
        <v>44</v>
      </c>
      <c r="D39" s="6">
        <v>36.342857142857142</v>
      </c>
      <c r="E39" s="6">
        <v>33.057142857142857</v>
      </c>
      <c r="F39" s="6">
        <v>31.528571428571428</v>
      </c>
      <c r="G39" s="6">
        <v>32.18571428571429</v>
      </c>
      <c r="H39" s="6">
        <v>29.900000000000002</v>
      </c>
      <c r="I39" s="6">
        <v>31.74285714285714</v>
      </c>
      <c r="J39" s="6">
        <v>24.75714285714286</v>
      </c>
      <c r="K39" s="6">
        <v>23.671428571428571</v>
      </c>
      <c r="L39" s="6">
        <v>26.875</v>
      </c>
      <c r="M39" s="6">
        <v>27.74285714285714</v>
      </c>
      <c r="N39" s="6">
        <v>25.942857142857147</v>
      </c>
      <c r="O39" s="6">
        <v>25.985714285714288</v>
      </c>
      <c r="P39" s="6">
        <v>28.714285714285715</v>
      </c>
      <c r="Q39" s="6">
        <v>30.400000000000002</v>
      </c>
      <c r="R39" s="6">
        <v>30.05714285714286</v>
      </c>
      <c r="S39" s="6">
        <v>31.171428571428571</v>
      </c>
      <c r="T39" s="6">
        <v>32.342857142857142</v>
      </c>
      <c r="U39" s="6">
        <v>29.642857142857139</v>
      </c>
      <c r="V39" s="6">
        <v>34.6</v>
      </c>
      <c r="W39" s="6">
        <v>34.042857142857144</v>
      </c>
      <c r="Y39" s="6">
        <f t="shared" si="4"/>
        <v>600.70357142857142</v>
      </c>
      <c r="Z39">
        <f t="shared" si="5"/>
        <v>-101.72990068241937</v>
      </c>
    </row>
    <row r="40" spans="1:26" x14ac:dyDescent="0.25">
      <c r="A40" t="s">
        <v>45</v>
      </c>
      <c r="D40" s="6">
        <v>37.357142857142854</v>
      </c>
      <c r="E40" s="6">
        <v>35.342857142857142</v>
      </c>
      <c r="F40" s="6">
        <v>34.485714285714288</v>
      </c>
      <c r="G40" s="6">
        <v>33.457142857142856</v>
      </c>
      <c r="H40" s="6">
        <v>32.700000000000003</v>
      </c>
      <c r="I40" s="6">
        <v>30.442857142857143</v>
      </c>
      <c r="J40" s="6">
        <v>26.871428571428574</v>
      </c>
      <c r="K40" s="6">
        <v>28.542857142857141</v>
      </c>
      <c r="L40" s="6">
        <v>29.15</v>
      </c>
      <c r="M40" s="6">
        <v>28.728571428571428</v>
      </c>
      <c r="N40" s="6">
        <v>30.414285714285715</v>
      </c>
      <c r="O40" s="6">
        <v>28.914285714285718</v>
      </c>
      <c r="P40" s="6">
        <v>27.542857142857144</v>
      </c>
      <c r="Q40" s="6">
        <v>30.971428571428568</v>
      </c>
      <c r="R40" s="6">
        <v>31.071428571428577</v>
      </c>
      <c r="S40" s="6">
        <v>30.185714285714287</v>
      </c>
      <c r="T40" s="6">
        <v>32.771428571428565</v>
      </c>
      <c r="U40" s="6">
        <v>32.042857142857144</v>
      </c>
      <c r="V40" s="6">
        <v>35.214285714285715</v>
      </c>
      <c r="W40" s="6">
        <v>35.728571428571421</v>
      </c>
      <c r="Y40" s="6">
        <f t="shared" si="4"/>
        <v>631.93571428571431</v>
      </c>
      <c r="Z40">
        <f t="shared" si="5"/>
        <v>-107.30520265971732</v>
      </c>
    </row>
    <row r="41" spans="1:26" x14ac:dyDescent="0.25">
      <c r="A41" t="s">
        <v>46</v>
      </c>
      <c r="D41" s="6">
        <v>35.714285714285715</v>
      </c>
      <c r="E41" s="6">
        <v>35.299999999999997</v>
      </c>
      <c r="F41" s="6">
        <v>34.271428571428579</v>
      </c>
      <c r="G41" s="6">
        <v>33.057142857142857</v>
      </c>
      <c r="H41" s="6">
        <v>29.542857142857141</v>
      </c>
      <c r="I41" s="6">
        <v>30.800000000000004</v>
      </c>
      <c r="J41" s="6">
        <v>32.028571428571425</v>
      </c>
      <c r="K41" s="6">
        <v>30.514285714285712</v>
      </c>
      <c r="L41" s="6">
        <v>26.55</v>
      </c>
      <c r="M41" s="6">
        <v>27.685714285714283</v>
      </c>
      <c r="N41" s="6">
        <v>23.700000000000006</v>
      </c>
      <c r="O41" s="6">
        <v>25.957142857142859</v>
      </c>
      <c r="P41" s="6">
        <v>27.471428571428568</v>
      </c>
      <c r="Q41" s="6">
        <v>30.214285714285715</v>
      </c>
      <c r="R41" s="6">
        <v>27.11428571428571</v>
      </c>
      <c r="S41" s="6">
        <v>27.928571428571427</v>
      </c>
      <c r="T41" s="6">
        <v>30.2</v>
      </c>
      <c r="U41" s="6">
        <v>32.214285714285715</v>
      </c>
      <c r="V41" s="6">
        <v>35.771428571428565</v>
      </c>
      <c r="W41" s="6">
        <v>34.785714285714285</v>
      </c>
      <c r="Y41" s="6">
        <f t="shared" si="4"/>
        <v>610.82142857142867</v>
      </c>
      <c r="Z41">
        <f t="shared" si="5"/>
        <v>-103.06739196017197</v>
      </c>
    </row>
    <row r="42" spans="1:26" x14ac:dyDescent="0.25">
      <c r="A42" t="s">
        <v>47</v>
      </c>
      <c r="D42" s="6">
        <v>35.071428571428569</v>
      </c>
      <c r="E42" s="6">
        <v>31.471428571428568</v>
      </c>
      <c r="F42" s="6">
        <v>32.971428571428575</v>
      </c>
      <c r="G42" s="6">
        <v>33.171428571428571</v>
      </c>
      <c r="H42" s="6">
        <v>29.75714285714286</v>
      </c>
      <c r="I42" s="6">
        <v>29.542857142857144</v>
      </c>
      <c r="J42" s="6">
        <v>29.071428571428577</v>
      </c>
      <c r="K42" s="6">
        <v>27.028571428571432</v>
      </c>
      <c r="L42" s="6">
        <v>24.587499999999999</v>
      </c>
      <c r="M42" s="6">
        <v>27.442857142857143</v>
      </c>
      <c r="N42" s="6">
        <v>28.614285714285717</v>
      </c>
      <c r="O42" s="6">
        <v>30.142857142857142</v>
      </c>
      <c r="P42" s="6">
        <v>31.114285714285717</v>
      </c>
      <c r="Q42" s="6">
        <v>27.88571428571429</v>
      </c>
      <c r="R42" s="6">
        <v>31.385714285714279</v>
      </c>
      <c r="S42" s="6">
        <v>27.842857142857145</v>
      </c>
      <c r="T42" s="6">
        <v>26.714285714285715</v>
      </c>
      <c r="U42" s="6">
        <v>25.814285714285713</v>
      </c>
      <c r="V42" s="6">
        <v>31.62857142857143</v>
      </c>
      <c r="W42" s="6">
        <v>35.085714285714289</v>
      </c>
      <c r="Y42" s="6">
        <f t="shared" si="4"/>
        <v>596.34464285714284</v>
      </c>
      <c r="Z42">
        <f t="shared" si="5"/>
        <v>-99.441725970113765</v>
      </c>
    </row>
    <row r="43" spans="1:26" x14ac:dyDescent="0.25">
      <c r="A43" t="s">
        <v>48</v>
      </c>
      <c r="D43" s="6">
        <v>34.800000000000004</v>
      </c>
      <c r="E43" s="6">
        <v>32.742857142857147</v>
      </c>
      <c r="F43" s="6">
        <v>32.457142857142863</v>
      </c>
      <c r="G43" s="6">
        <v>30.585714285714285</v>
      </c>
      <c r="H43" s="6">
        <v>30.25714285714286</v>
      </c>
      <c r="I43" s="6">
        <v>30.471428571428572</v>
      </c>
      <c r="J43" s="6">
        <v>29.028571428571432</v>
      </c>
      <c r="K43" s="6">
        <v>27.471428571428572</v>
      </c>
      <c r="L43" s="6">
        <v>26.525000000000002</v>
      </c>
      <c r="M43" s="6">
        <v>20.25714285714286</v>
      </c>
      <c r="N43" s="6">
        <v>24.171428571428574</v>
      </c>
      <c r="O43" s="6">
        <v>25.37142857142857</v>
      </c>
      <c r="P43" s="6">
        <v>30.74285714285714</v>
      </c>
      <c r="Q43" s="6">
        <v>31.342857142857145</v>
      </c>
      <c r="R43" s="6">
        <v>27.071428571428573</v>
      </c>
      <c r="S43" s="6">
        <v>30.38571428571429</v>
      </c>
      <c r="T43" s="6">
        <v>25.699999999999996</v>
      </c>
      <c r="U43" s="6">
        <v>29.585714285714285</v>
      </c>
      <c r="V43" s="6">
        <v>31.342857142857138</v>
      </c>
      <c r="W43" s="6">
        <v>31.657142857142855</v>
      </c>
      <c r="Y43" s="6">
        <f t="shared" si="4"/>
        <v>581.96785714285716</v>
      </c>
      <c r="Z43">
        <f t="shared" si="5"/>
        <v>-100.07014328947957</v>
      </c>
    </row>
    <row r="44" spans="1:26" x14ac:dyDescent="0.25">
      <c r="A44" t="s">
        <v>49</v>
      </c>
      <c r="D44" s="6">
        <v>35.342857142857142</v>
      </c>
      <c r="E44" s="6">
        <v>37.371428571428574</v>
      </c>
      <c r="F44" s="6">
        <v>36.028571428571432</v>
      </c>
      <c r="G44" s="6">
        <v>32.714285714285715</v>
      </c>
      <c r="H44" s="6">
        <v>30.685714285714283</v>
      </c>
      <c r="I44" s="6">
        <v>31.657142857142862</v>
      </c>
      <c r="J44" s="6">
        <v>30.114285714285721</v>
      </c>
      <c r="K44" s="6">
        <v>31.085714285714285</v>
      </c>
      <c r="L44" s="6">
        <v>30.971428571428568</v>
      </c>
      <c r="M44" s="6">
        <v>25.914285714285715</v>
      </c>
      <c r="N44" s="6">
        <v>24.642857142857142</v>
      </c>
      <c r="O44" s="6">
        <v>26.971428571428572</v>
      </c>
      <c r="P44" s="6">
        <v>30.62857142857143</v>
      </c>
      <c r="Q44" s="6">
        <v>25.357142857142858</v>
      </c>
      <c r="R44" s="6">
        <v>27.800000000000004</v>
      </c>
      <c r="S44" s="6">
        <v>26.957142857142856</v>
      </c>
      <c r="T44" s="6">
        <v>28.2</v>
      </c>
      <c r="U44" s="6">
        <v>31.071428571428573</v>
      </c>
      <c r="V44" s="6">
        <v>30.885714285714283</v>
      </c>
      <c r="W44" s="6">
        <v>33.500000000000007</v>
      </c>
      <c r="Y44" s="6">
        <f t="shared" si="4"/>
        <v>607.90000000000009</v>
      </c>
      <c r="Z44">
        <f t="shared" si="5"/>
        <v>-102.66396706055038</v>
      </c>
    </row>
    <row r="45" spans="1:26" x14ac:dyDescent="0.25">
      <c r="A45" t="s">
        <v>50</v>
      </c>
      <c r="D45" s="6">
        <v>33.81428571428571</v>
      </c>
      <c r="E45" s="6">
        <v>33.271428571428579</v>
      </c>
      <c r="F45" s="6">
        <v>32.771428571428565</v>
      </c>
      <c r="G45" s="6">
        <v>28.714285714285715</v>
      </c>
      <c r="H45" s="6">
        <v>30.128571428571426</v>
      </c>
      <c r="I45" s="6">
        <v>30.7</v>
      </c>
      <c r="J45" s="6">
        <v>28.671428571428574</v>
      </c>
      <c r="K45" s="6">
        <v>30.157142857142851</v>
      </c>
      <c r="L45" s="6">
        <v>29.512499999999996</v>
      </c>
      <c r="M45" s="6">
        <v>20.771428571428569</v>
      </c>
      <c r="N45" s="6">
        <v>26.6</v>
      </c>
      <c r="O45" s="6">
        <v>25.514285714285716</v>
      </c>
      <c r="P45" s="6">
        <v>27.485714285714288</v>
      </c>
      <c r="Q45" s="6">
        <v>29.385714285714283</v>
      </c>
      <c r="R45" s="6">
        <v>34.057142857142857</v>
      </c>
      <c r="S45" s="6">
        <v>34.171428571428571</v>
      </c>
      <c r="T45" s="6">
        <v>28.25714285714286</v>
      </c>
      <c r="U45" s="6">
        <v>28.642857142857142</v>
      </c>
      <c r="V45" s="6">
        <v>34.000000000000007</v>
      </c>
      <c r="W45" s="6">
        <v>34.571428571428569</v>
      </c>
      <c r="Y45" s="6">
        <f t="shared" si="4"/>
        <v>601.19821428571436</v>
      </c>
      <c r="Z45">
        <f t="shared" si="5"/>
        <v>-103.97184198107396</v>
      </c>
    </row>
    <row r="46" spans="1:26" x14ac:dyDescent="0.25">
      <c r="A46" t="s">
        <v>51</v>
      </c>
      <c r="D46" s="6">
        <v>35.214285714285715</v>
      </c>
      <c r="E46" s="6">
        <v>34.871428571428574</v>
      </c>
      <c r="F46" s="6">
        <v>33.01428571428572</v>
      </c>
      <c r="G46" s="6">
        <v>31.642857142857142</v>
      </c>
      <c r="H46" s="6">
        <v>32.614285714285714</v>
      </c>
      <c r="I46" s="6">
        <v>32.214285714285715</v>
      </c>
      <c r="J46" s="6">
        <v>30.542857142857141</v>
      </c>
      <c r="K46" s="6">
        <v>29.928571428571427</v>
      </c>
      <c r="L46" s="6">
        <v>28.512499999999999</v>
      </c>
      <c r="M46" s="6">
        <v>28.771428571428572</v>
      </c>
      <c r="N46" s="6">
        <v>27.74285714285714</v>
      </c>
      <c r="O46" s="6">
        <v>24.3</v>
      </c>
      <c r="P46" s="6">
        <v>29.61428571428571</v>
      </c>
      <c r="Q46" s="6">
        <v>27.171428571428571</v>
      </c>
      <c r="R46" s="6">
        <v>28.057142857142857</v>
      </c>
      <c r="S46" s="6">
        <v>28.3</v>
      </c>
      <c r="T46" s="6">
        <v>29.9</v>
      </c>
      <c r="U46" s="6">
        <v>33.228571428571428</v>
      </c>
      <c r="V46" s="6">
        <v>34.628571428571426</v>
      </c>
      <c r="W46" s="6">
        <v>38</v>
      </c>
      <c r="Y46" s="6">
        <f t="shared" si="4"/>
        <v>618.2696428571428</v>
      </c>
      <c r="Z46">
        <f t="shared" si="5"/>
        <v>-104.86072980300692</v>
      </c>
    </row>
    <row r="47" spans="1:26" x14ac:dyDescent="0.25">
      <c r="A47" t="s">
        <v>52</v>
      </c>
      <c r="D47" s="6">
        <v>36.01428571428572</v>
      </c>
      <c r="E47" s="6">
        <v>34.18571428571429</v>
      </c>
      <c r="F47" s="6">
        <v>32.828571428571429</v>
      </c>
      <c r="G47" s="6">
        <v>30.785714285714285</v>
      </c>
      <c r="H47" s="6">
        <v>30.771428571428572</v>
      </c>
      <c r="I47" s="6">
        <v>30.671428571428574</v>
      </c>
      <c r="J47" s="6">
        <v>26.285714285714281</v>
      </c>
      <c r="K47" s="6">
        <v>28.61428571428571</v>
      </c>
      <c r="L47" s="6">
        <v>27.962500000000002</v>
      </c>
      <c r="M47" s="6">
        <v>25.457142857142859</v>
      </c>
      <c r="N47" s="6">
        <v>24.342857142857145</v>
      </c>
      <c r="O47" s="6">
        <v>23.785714285714285</v>
      </c>
      <c r="P47" s="6">
        <v>27.900000000000002</v>
      </c>
      <c r="Q47" s="6">
        <v>29.75714285714286</v>
      </c>
      <c r="R47" s="6">
        <v>30.928571428571434</v>
      </c>
      <c r="S47" s="6">
        <v>27.37142857142857</v>
      </c>
      <c r="T47" s="6">
        <v>28.428571428571427</v>
      </c>
      <c r="U47" s="6">
        <v>27.914285714285715</v>
      </c>
      <c r="V47" s="6">
        <v>29.071428571428577</v>
      </c>
      <c r="W47" s="6">
        <v>32.471428571428575</v>
      </c>
      <c r="Y47" s="6">
        <f t="shared" si="4"/>
        <v>585.54821428571427</v>
      </c>
      <c r="Z47">
        <f t="shared" si="5"/>
        <v>-98.202411418330044</v>
      </c>
    </row>
    <row r="48" spans="1:26" x14ac:dyDescent="0.25">
      <c r="A48" t="s">
        <v>53</v>
      </c>
      <c r="D48" s="6">
        <v>34.457142857142856</v>
      </c>
      <c r="E48" s="6">
        <v>32.985714285714288</v>
      </c>
      <c r="F48" s="6">
        <v>32.657142857142851</v>
      </c>
      <c r="G48" s="6">
        <v>31.814285714285713</v>
      </c>
      <c r="H48" s="6">
        <v>28.485714285714288</v>
      </c>
      <c r="I48" s="6">
        <v>29.642857142857146</v>
      </c>
      <c r="J48" s="6">
        <v>26.528571428571428</v>
      </c>
      <c r="K48" s="6">
        <v>29</v>
      </c>
      <c r="L48" s="6">
        <v>26.4</v>
      </c>
      <c r="M48" s="6">
        <v>26.042857142857144</v>
      </c>
      <c r="N48" s="6">
        <v>27.414285714285715</v>
      </c>
      <c r="O48" s="6">
        <v>23.157142857142855</v>
      </c>
      <c r="P48" s="6">
        <v>27.61428571428571</v>
      </c>
      <c r="Q48" s="6">
        <v>27.685714285714287</v>
      </c>
      <c r="R48" s="6">
        <v>30.157142857142862</v>
      </c>
      <c r="S48" s="6">
        <v>29.11428571428571</v>
      </c>
      <c r="T48" s="6">
        <v>31.785714285714288</v>
      </c>
      <c r="U48" s="6">
        <v>31.657142857142855</v>
      </c>
      <c r="V48" s="6">
        <v>35.51428571428572</v>
      </c>
      <c r="W48" s="6">
        <v>37.028571428571432</v>
      </c>
      <c r="Y48" s="6">
        <f t="shared" si="4"/>
        <v>599.14285714285722</v>
      </c>
      <c r="Z48">
        <f t="shared" si="5"/>
        <v>-102.17336473772617</v>
      </c>
    </row>
    <row r="49" spans="1:27" x14ac:dyDescent="0.25">
      <c r="A49" t="s">
        <v>54</v>
      </c>
      <c r="D49" s="6">
        <v>33.857142857142854</v>
      </c>
      <c r="E49" s="6">
        <v>33.299999999999997</v>
      </c>
      <c r="F49" s="6">
        <v>31.74285714285714</v>
      </c>
      <c r="G49" s="6">
        <v>30.742857142857137</v>
      </c>
      <c r="H49" s="6">
        <v>30.657142857142855</v>
      </c>
      <c r="I49" s="6">
        <v>29.7</v>
      </c>
      <c r="J49" s="6">
        <v>28.514285714285712</v>
      </c>
      <c r="K49" s="6">
        <v>31.642857142857142</v>
      </c>
      <c r="L49" s="6">
        <v>29.099999999999998</v>
      </c>
      <c r="M49" s="6">
        <v>28.214285714285715</v>
      </c>
      <c r="N49" s="6">
        <v>26.557142857142857</v>
      </c>
      <c r="O49" s="6">
        <v>26.12857142857143</v>
      </c>
      <c r="P49" s="6">
        <v>25.685714285714287</v>
      </c>
      <c r="Q49" s="6">
        <v>26.37142857142857</v>
      </c>
      <c r="R49" s="6">
        <v>27.014285714285709</v>
      </c>
      <c r="S49" s="6">
        <v>28.8</v>
      </c>
      <c r="T49" s="6">
        <v>31.285714285714285</v>
      </c>
      <c r="U49" s="6">
        <v>34.542857142857144</v>
      </c>
      <c r="V49" s="6">
        <v>34.371428571428574</v>
      </c>
      <c r="W49" s="6">
        <v>35.514285714285712</v>
      </c>
      <c r="Y49" s="6">
        <f t="shared" si="4"/>
        <v>603.74285714285725</v>
      </c>
      <c r="Z49">
        <f t="shared" si="5"/>
        <v>-102.50675051520869</v>
      </c>
    </row>
    <row r="50" spans="1:27" x14ac:dyDescent="0.25">
      <c r="A50" t="s">
        <v>55</v>
      </c>
      <c r="D50" s="6">
        <v>31.585714285714285</v>
      </c>
      <c r="E50" s="6">
        <v>34.042857142857144</v>
      </c>
      <c r="F50" s="6">
        <v>31.185714285714287</v>
      </c>
      <c r="G50" s="6">
        <v>30.785714285714285</v>
      </c>
      <c r="H50" s="6">
        <v>27.185714285714287</v>
      </c>
      <c r="I50" s="6">
        <v>26.842857142857145</v>
      </c>
      <c r="J50" s="6">
        <v>26.014285714285712</v>
      </c>
      <c r="K50" s="6">
        <v>25.071428571428573</v>
      </c>
      <c r="L50" s="6">
        <v>25.5625</v>
      </c>
      <c r="M50" s="6">
        <v>26.857142857142858</v>
      </c>
      <c r="N50" s="6">
        <v>28.799999999999994</v>
      </c>
      <c r="O50" s="6">
        <v>24.599999999999998</v>
      </c>
      <c r="P50" s="6">
        <v>25.12857142857143</v>
      </c>
      <c r="Q50" s="6">
        <v>28.942857142857143</v>
      </c>
      <c r="R50" s="6">
        <v>29.5</v>
      </c>
      <c r="S50" s="6">
        <v>29.471428571428572</v>
      </c>
      <c r="T50" s="6">
        <v>27.485714285714288</v>
      </c>
      <c r="U50" s="6">
        <v>29.528571428571428</v>
      </c>
      <c r="V50" s="6">
        <v>31</v>
      </c>
      <c r="W50" s="6">
        <v>31.585714285714285</v>
      </c>
      <c r="Y50" s="6">
        <f t="shared" si="4"/>
        <v>571.17678571428576</v>
      </c>
      <c r="Z50">
        <f t="shared" si="5"/>
        <v>-97.355059049953098</v>
      </c>
    </row>
    <row r="51" spans="1:27" x14ac:dyDescent="0.25">
      <c r="A51" t="s">
        <v>56</v>
      </c>
      <c r="D51" s="6">
        <v>33.828571428571422</v>
      </c>
      <c r="E51" s="6">
        <v>32.128571428571426</v>
      </c>
      <c r="F51" s="6">
        <v>30.957142857142856</v>
      </c>
      <c r="G51" s="6">
        <v>31.37142857142857</v>
      </c>
      <c r="H51" s="6">
        <v>31.62857142857143</v>
      </c>
      <c r="I51" s="6">
        <v>31.928571428571427</v>
      </c>
      <c r="J51" s="6">
        <v>30.571428571428573</v>
      </c>
      <c r="K51" s="6">
        <v>28.900000000000002</v>
      </c>
      <c r="L51" s="6">
        <v>29.362499999999997</v>
      </c>
      <c r="M51" s="6">
        <v>27.885714285714283</v>
      </c>
      <c r="N51" s="6">
        <v>24.528571428571432</v>
      </c>
      <c r="O51" s="6">
        <v>28.328571428571429</v>
      </c>
      <c r="P51" s="6">
        <v>26.071428571428573</v>
      </c>
      <c r="Q51" s="6">
        <v>25.414285714285711</v>
      </c>
      <c r="R51" s="6">
        <v>33.128571428571426</v>
      </c>
      <c r="S51" s="6">
        <v>34.25714285714286</v>
      </c>
      <c r="T51" s="6">
        <v>33.728571428571428</v>
      </c>
      <c r="U51" s="6">
        <v>39.24285714285714</v>
      </c>
      <c r="V51" s="6">
        <v>27.7</v>
      </c>
      <c r="W51" s="6">
        <v>31.75714285714286</v>
      </c>
      <c r="Y51" s="6">
        <f t="shared" si="4"/>
        <v>612.71964285714284</v>
      </c>
      <c r="Z51">
        <f t="shared" si="5"/>
        <v>-102.62448388022439</v>
      </c>
    </row>
    <row r="52" spans="1:27" x14ac:dyDescent="0.25">
      <c r="A52" t="s">
        <v>57</v>
      </c>
      <c r="D52" s="6">
        <v>36.142857142857146</v>
      </c>
      <c r="E52" s="6">
        <v>34.48571428571428</v>
      </c>
      <c r="F52" s="6">
        <v>34.342857142857142</v>
      </c>
      <c r="G52" s="6">
        <v>32.542857142857144</v>
      </c>
      <c r="H52" s="6">
        <v>32.171428571428571</v>
      </c>
      <c r="I52" s="6">
        <v>30.842857142857138</v>
      </c>
      <c r="J52" s="6">
        <v>28.857142857142858</v>
      </c>
      <c r="K52" s="6">
        <v>29.642857142857142</v>
      </c>
      <c r="L52" s="6">
        <v>29.25</v>
      </c>
      <c r="M52" s="6">
        <v>29.88571428571429</v>
      </c>
      <c r="N52" s="6">
        <v>28.228571428571428</v>
      </c>
      <c r="O52" s="6">
        <v>26.171428571428571</v>
      </c>
      <c r="P52" s="6">
        <v>28.057142857142853</v>
      </c>
      <c r="Q52" s="6">
        <v>27.714285714285715</v>
      </c>
      <c r="R52" s="6">
        <v>26.257142857142856</v>
      </c>
      <c r="S52" s="6">
        <v>26.599999999999998</v>
      </c>
      <c r="T52" s="6">
        <v>30.528571428571428</v>
      </c>
      <c r="U52" s="6">
        <v>33.228571428571428</v>
      </c>
      <c r="V52" s="6">
        <v>31.300000000000004</v>
      </c>
      <c r="W52" s="6">
        <v>32.857142857142854</v>
      </c>
      <c r="Y52" s="6">
        <f t="shared" si="4"/>
        <v>609.107142857143</v>
      </c>
      <c r="Z52">
        <f t="shared" si="5"/>
        <v>-102.54243457352852</v>
      </c>
    </row>
    <row r="53" spans="1:27" x14ac:dyDescent="0.25">
      <c r="A53" t="s">
        <v>58</v>
      </c>
      <c r="D53" s="6">
        <v>36.4</v>
      </c>
      <c r="E53" s="6">
        <v>35.728571428571428</v>
      </c>
      <c r="F53" s="6">
        <v>35.328571428571429</v>
      </c>
      <c r="G53" s="6">
        <v>32.500000000000007</v>
      </c>
      <c r="H53" s="6">
        <v>30.24285714285714</v>
      </c>
      <c r="I53" s="6">
        <v>30.457142857142856</v>
      </c>
      <c r="J53" s="6">
        <v>31.342857142857145</v>
      </c>
      <c r="K53" s="6">
        <v>29.771428571428572</v>
      </c>
      <c r="L53" s="6">
        <v>30.587499999999999</v>
      </c>
      <c r="M53" s="6">
        <v>25.528571428571428</v>
      </c>
      <c r="N53" s="6">
        <v>26.228571428571431</v>
      </c>
      <c r="O53" s="6">
        <v>28.942857142857143</v>
      </c>
      <c r="P53" s="6">
        <v>26.985714285714288</v>
      </c>
      <c r="Q53" s="6">
        <v>28.514285714285716</v>
      </c>
      <c r="R53" s="6">
        <v>29.857142857142858</v>
      </c>
      <c r="S53" s="6">
        <v>30.114285714285717</v>
      </c>
      <c r="T53" s="6">
        <v>32.485714285714288</v>
      </c>
      <c r="U53" s="6">
        <v>32.200000000000003</v>
      </c>
      <c r="V53" s="6">
        <v>34.51428571428572</v>
      </c>
      <c r="W53" s="6">
        <v>36.071428571428569</v>
      </c>
      <c r="Y53" s="6">
        <f t="shared" si="4"/>
        <v>623.80178571428576</v>
      </c>
      <c r="Z53">
        <f t="shared" si="5"/>
        <v>-105.76949620549549</v>
      </c>
    </row>
    <row r="54" spans="1:27" x14ac:dyDescent="0.25">
      <c r="A54" t="s">
        <v>59</v>
      </c>
      <c r="D54" s="6">
        <v>37.028571428571425</v>
      </c>
      <c r="E54" s="6">
        <v>33.699999999999996</v>
      </c>
      <c r="F54" s="6">
        <v>34.171428571428571</v>
      </c>
      <c r="G54" s="6">
        <v>34.457142857142856</v>
      </c>
      <c r="H54" s="6">
        <v>31.599999999999998</v>
      </c>
      <c r="I54" s="6">
        <v>32.228571428571435</v>
      </c>
      <c r="J54" s="6">
        <v>30.628571428571426</v>
      </c>
      <c r="K54" s="6">
        <v>29.942857142857147</v>
      </c>
      <c r="L54" s="6">
        <v>25.488888888888884</v>
      </c>
      <c r="M54" s="6">
        <v>28.771428571428569</v>
      </c>
      <c r="N54" s="6">
        <v>29.314285714285717</v>
      </c>
      <c r="O54" s="6">
        <v>25.142857142857142</v>
      </c>
      <c r="P54" s="6">
        <v>25.25714285714286</v>
      </c>
      <c r="Q54" s="6">
        <v>26.428571428571427</v>
      </c>
      <c r="R54" s="6">
        <v>25.099999999999998</v>
      </c>
      <c r="S54" s="6">
        <v>29.185714285714283</v>
      </c>
      <c r="T54" s="6">
        <v>31.642857142857142</v>
      </c>
      <c r="U54" s="6">
        <v>32.642857142857146</v>
      </c>
      <c r="V54" s="6">
        <v>32.557142857142857</v>
      </c>
      <c r="W54" s="6">
        <v>34.81428571428571</v>
      </c>
      <c r="Y54" s="6">
        <f t="shared" si="4"/>
        <v>610.10317460317458</v>
      </c>
      <c r="Z54">
        <f t="shared" si="5"/>
        <v>-103.09869584338965</v>
      </c>
    </row>
    <row r="55" spans="1:27" x14ac:dyDescent="0.25">
      <c r="A55" t="s">
        <v>60</v>
      </c>
      <c r="D55" s="6">
        <v>36.757142857142853</v>
      </c>
      <c r="E55" s="6">
        <v>36.228571428571428</v>
      </c>
      <c r="F55" s="6">
        <v>32.1</v>
      </c>
      <c r="G55" s="6">
        <v>33.785714285714292</v>
      </c>
      <c r="H55" s="6">
        <v>31.94285714285714</v>
      </c>
      <c r="I55" s="6">
        <v>30.957142857142856</v>
      </c>
      <c r="J55" s="6">
        <v>32.128571428571433</v>
      </c>
      <c r="K55" s="6">
        <v>31.342857142857145</v>
      </c>
      <c r="L55" s="6">
        <v>26.612500000000001</v>
      </c>
      <c r="M55" s="6">
        <v>24.62857142857143</v>
      </c>
      <c r="N55" s="6">
        <v>28</v>
      </c>
      <c r="O55" s="6">
        <v>29.585714285714289</v>
      </c>
      <c r="P55" s="6">
        <v>30.357142857142861</v>
      </c>
      <c r="Q55" s="6">
        <v>26.771428571428572</v>
      </c>
      <c r="R55" s="6">
        <v>29.37142857142857</v>
      </c>
      <c r="S55" s="6">
        <v>31</v>
      </c>
      <c r="T55" s="6">
        <v>28.742857142857144</v>
      </c>
      <c r="U55" s="6">
        <v>32.128571428571441</v>
      </c>
      <c r="V55" s="6">
        <v>32.357142857142854</v>
      </c>
      <c r="W55" s="6">
        <v>34.48571428571428</v>
      </c>
      <c r="Y55" s="6">
        <f t="shared" si="4"/>
        <v>619.28392857142876</v>
      </c>
      <c r="Z55">
        <f t="shared" si="5"/>
        <v>-105.32623857581207</v>
      </c>
    </row>
    <row r="56" spans="1:27" x14ac:dyDescent="0.25">
      <c r="A56" t="s">
        <v>61</v>
      </c>
      <c r="D56" s="6">
        <v>35.342857142857142</v>
      </c>
      <c r="E56" s="6">
        <v>35.1</v>
      </c>
      <c r="F56" s="6">
        <v>32.585714285714289</v>
      </c>
      <c r="G56" s="6">
        <v>30.1</v>
      </c>
      <c r="H56" s="6">
        <v>31.38571428571429</v>
      </c>
      <c r="I56" s="6">
        <v>32.18571428571429</v>
      </c>
      <c r="J56" s="6">
        <v>28.928571428571427</v>
      </c>
      <c r="K56" s="6">
        <v>26.528571428571428</v>
      </c>
      <c r="L56" s="6">
        <v>22.755555555555556</v>
      </c>
      <c r="M56" s="6">
        <v>26.828571428571429</v>
      </c>
      <c r="N56" s="6">
        <v>28.68571428571428</v>
      </c>
      <c r="O56" s="6">
        <v>28.75714285714286</v>
      </c>
      <c r="P56" s="6">
        <v>25.185714285714283</v>
      </c>
      <c r="Q56" s="6">
        <v>26.11428571428571</v>
      </c>
      <c r="R56" s="6">
        <v>28.457142857142856</v>
      </c>
      <c r="S56" s="6">
        <v>31.4</v>
      </c>
      <c r="T56" s="6">
        <v>32.971428571428575</v>
      </c>
      <c r="U56" s="6">
        <v>34.914285714285711</v>
      </c>
      <c r="V56" s="6">
        <v>37.228571428571435</v>
      </c>
      <c r="W56" s="6">
        <v>39.542857142857137</v>
      </c>
      <c r="Y56" s="6">
        <f t="shared" si="4"/>
        <v>614.99841269841249</v>
      </c>
      <c r="Z56">
        <f t="shared" si="5"/>
        <v>-105.21162352351901</v>
      </c>
    </row>
    <row r="57" spans="1:27" x14ac:dyDescent="0.25">
      <c r="A57" t="s">
        <v>62</v>
      </c>
      <c r="D57" s="6">
        <v>34.514285714285712</v>
      </c>
      <c r="E57" s="6">
        <v>33.571428571428569</v>
      </c>
      <c r="F57" s="6">
        <v>34.6</v>
      </c>
      <c r="G57" s="6">
        <v>34.085714285714282</v>
      </c>
      <c r="H57" s="6">
        <v>32.914285714285711</v>
      </c>
      <c r="I57" s="6">
        <v>31.028571428571428</v>
      </c>
      <c r="J57" s="6">
        <v>30.714285714285715</v>
      </c>
      <c r="K57" s="6">
        <v>30.142857142857142</v>
      </c>
      <c r="L57" s="6">
        <v>28.024999999999999</v>
      </c>
      <c r="M57" s="6">
        <v>25.057142857142857</v>
      </c>
      <c r="N57" s="6">
        <v>26.685714285714287</v>
      </c>
      <c r="O57" s="6">
        <v>25.485714285714288</v>
      </c>
      <c r="P57" s="6">
        <v>24.657142857142855</v>
      </c>
      <c r="Q57" s="6">
        <v>25.342857142857145</v>
      </c>
      <c r="R57" s="6">
        <v>29.342857142857145</v>
      </c>
      <c r="S57" s="6">
        <v>30.228571428571424</v>
      </c>
      <c r="T57" s="6">
        <v>25.142857142857142</v>
      </c>
      <c r="U57" s="6">
        <v>34.914285714285711</v>
      </c>
      <c r="V57" s="6">
        <v>32.371428571428574</v>
      </c>
      <c r="W57" s="6">
        <v>35.371428571428574</v>
      </c>
      <c r="Y57" s="6">
        <f t="shared" si="4"/>
        <v>604.19642857142867</v>
      </c>
      <c r="Z57">
        <f t="shared" si="5"/>
        <v>-103.13995466211431</v>
      </c>
    </row>
    <row r="58" spans="1:27" x14ac:dyDescent="0.25">
      <c r="A58" t="s">
        <v>63</v>
      </c>
      <c r="D58" s="6">
        <v>34.628571428571426</v>
      </c>
      <c r="E58" s="6">
        <v>33.68571428571429</v>
      </c>
      <c r="F58" s="6">
        <v>33.799999999999997</v>
      </c>
      <c r="G58" s="6">
        <v>33.714285714285715</v>
      </c>
      <c r="H58" s="6">
        <v>30.485714285714288</v>
      </c>
      <c r="I58" s="6">
        <v>29.771428571428572</v>
      </c>
      <c r="J58" s="6">
        <v>29.428571428571427</v>
      </c>
      <c r="K58" s="6">
        <v>26.971428571428572</v>
      </c>
      <c r="L58" s="6">
        <v>27.024999999999999</v>
      </c>
      <c r="M58" s="6">
        <v>25.057142857142857</v>
      </c>
      <c r="N58" s="6">
        <v>28.257142857142856</v>
      </c>
      <c r="O58" s="6">
        <v>28.485714285714288</v>
      </c>
      <c r="P58" s="6">
        <v>26.6</v>
      </c>
      <c r="Q58" s="6">
        <v>32.6</v>
      </c>
      <c r="R58" s="6">
        <v>32.4</v>
      </c>
      <c r="S58" s="6">
        <v>32.314285714285717</v>
      </c>
      <c r="T58" s="6">
        <v>35.31428571428571</v>
      </c>
      <c r="U58" s="6">
        <v>34.685714285714276</v>
      </c>
      <c r="V58" s="6">
        <v>32.4</v>
      </c>
      <c r="W58" s="6">
        <v>32.371428571428574</v>
      </c>
      <c r="Y58" s="6">
        <f t="shared" si="4"/>
        <v>619.99642857142862</v>
      </c>
      <c r="Z58">
        <f t="shared" si="5"/>
        <v>-105.55477165267786</v>
      </c>
    </row>
    <row r="59" spans="1:27" x14ac:dyDescent="0.25">
      <c r="A59" t="s">
        <v>64</v>
      </c>
      <c r="D59" s="6">
        <v>35.042857142857144</v>
      </c>
      <c r="E59" s="6">
        <v>34.042857142857144</v>
      </c>
      <c r="F59" s="6">
        <v>33.214285714285715</v>
      </c>
      <c r="G59" s="6">
        <v>31.371428571428567</v>
      </c>
      <c r="H59" s="6">
        <v>29.68571428571428</v>
      </c>
      <c r="I59" s="6">
        <v>27.728571428571428</v>
      </c>
      <c r="J59" s="6">
        <v>27.900000000000002</v>
      </c>
      <c r="K59" s="6">
        <v>29.714285714285715</v>
      </c>
      <c r="L59" s="6">
        <v>27.714285714285719</v>
      </c>
      <c r="M59" s="6">
        <v>25.5</v>
      </c>
      <c r="N59" s="6">
        <v>25.857142857142858</v>
      </c>
      <c r="O59" s="6">
        <v>27.88571428571429</v>
      </c>
      <c r="P59" s="6">
        <v>28.514285714285712</v>
      </c>
      <c r="Q59" s="6">
        <v>30.714285714285715</v>
      </c>
      <c r="R59" s="6">
        <v>30.285714285714285</v>
      </c>
      <c r="S59" s="6">
        <v>27.428571428571427</v>
      </c>
      <c r="T59" s="6">
        <v>32.600000000000009</v>
      </c>
      <c r="U59" s="6">
        <v>30.5</v>
      </c>
      <c r="V59" s="6">
        <v>32.771428571428565</v>
      </c>
      <c r="W59" s="6">
        <v>33.371428571428574</v>
      </c>
      <c r="Y59" s="6">
        <f t="shared" si="4"/>
        <v>601.84285714285727</v>
      </c>
      <c r="Z59">
        <f t="shared" si="5"/>
        <v>-101.58413086514062</v>
      </c>
    </row>
    <row r="60" spans="1:27" x14ac:dyDescent="0.25">
      <c r="A60" t="s">
        <v>65</v>
      </c>
      <c r="D60" s="6">
        <v>35.057142857142857</v>
      </c>
      <c r="E60" s="6">
        <v>35.242857142857147</v>
      </c>
      <c r="F60" s="6">
        <v>34</v>
      </c>
      <c r="G60" s="6">
        <v>32.4</v>
      </c>
      <c r="H60" s="6">
        <v>30.714285714285712</v>
      </c>
      <c r="I60" s="6">
        <v>28.6</v>
      </c>
      <c r="J60" s="6">
        <v>25.342857142857145</v>
      </c>
      <c r="K60" s="6">
        <v>28.485714285714288</v>
      </c>
      <c r="L60" s="6">
        <v>27.125</v>
      </c>
      <c r="M60" s="6">
        <v>26.685714285714287</v>
      </c>
      <c r="N60" s="6">
        <v>26.085714285714285</v>
      </c>
      <c r="O60" s="6">
        <v>26.528571428571432</v>
      </c>
      <c r="P60" s="6">
        <v>23.257142857142856</v>
      </c>
      <c r="Q60" s="6">
        <v>23.457142857142859</v>
      </c>
      <c r="R60" s="6">
        <v>20.685714285714287</v>
      </c>
      <c r="S60" s="6">
        <v>29.057142857142853</v>
      </c>
      <c r="T60" s="6">
        <v>31.914285714285718</v>
      </c>
      <c r="U60" s="6">
        <v>33.550000000000004</v>
      </c>
      <c r="V60" s="6">
        <v>34.542857142857144</v>
      </c>
      <c r="W60" s="6">
        <v>35.571428571428569</v>
      </c>
      <c r="Y60" s="6">
        <f t="shared" si="4"/>
        <v>588.30357142857144</v>
      </c>
      <c r="Z60">
        <f t="shared" si="5"/>
        <v>-100.85814472199243</v>
      </c>
    </row>
    <row r="61" spans="1:27" x14ac:dyDescent="0.25">
      <c r="A61" t="s">
        <v>66</v>
      </c>
      <c r="D61" s="6">
        <v>34.785714285714285</v>
      </c>
      <c r="E61" s="6">
        <v>35.157142857142858</v>
      </c>
      <c r="F61" s="6">
        <v>32.4</v>
      </c>
      <c r="G61" s="6">
        <v>30.7</v>
      </c>
      <c r="H61" s="6">
        <v>29.842857142857149</v>
      </c>
      <c r="I61" s="6">
        <v>32.799999999999997</v>
      </c>
      <c r="J61" s="6">
        <v>29.542857142857144</v>
      </c>
      <c r="K61" s="6">
        <v>28.87142857142857</v>
      </c>
      <c r="L61" s="6">
        <v>27.612499999999997</v>
      </c>
      <c r="M61" s="6">
        <v>26.885714285714283</v>
      </c>
      <c r="N61" s="6">
        <v>26.228571428571428</v>
      </c>
      <c r="O61" s="6">
        <v>28.485714285714288</v>
      </c>
      <c r="P61" s="6">
        <v>28.314285714285717</v>
      </c>
      <c r="Q61" s="6">
        <v>29.542857142857141</v>
      </c>
      <c r="R61" s="6">
        <v>28.914285714285715</v>
      </c>
      <c r="S61" s="6">
        <v>29.6</v>
      </c>
      <c r="T61" s="6">
        <v>33.942857142857136</v>
      </c>
      <c r="U61" s="6">
        <v>36.6</v>
      </c>
      <c r="V61" s="6">
        <v>34.557142857142857</v>
      </c>
      <c r="W61" s="6">
        <v>36.628571428571426</v>
      </c>
      <c r="Y61" s="6">
        <f t="shared" si="4"/>
        <v>621.41249999999991</v>
      </c>
      <c r="Z61">
        <f t="shared" si="5"/>
        <v>-105.32639530342568</v>
      </c>
    </row>
    <row r="62" spans="1:27" x14ac:dyDescent="0.25">
      <c r="A62" t="s">
        <v>67</v>
      </c>
      <c r="D62" s="6">
        <v>37.18571428571429</v>
      </c>
      <c r="E62" s="6">
        <v>34.857142857142854</v>
      </c>
      <c r="F62" s="6">
        <v>29.428571428571427</v>
      </c>
      <c r="G62" s="6">
        <v>30.971428571428572</v>
      </c>
      <c r="H62" s="6">
        <v>31.385714285714283</v>
      </c>
      <c r="I62" s="6">
        <v>29.900000000000002</v>
      </c>
      <c r="J62" s="6">
        <v>30.542857142857144</v>
      </c>
      <c r="K62" s="6">
        <v>28.457142857142859</v>
      </c>
      <c r="L62" s="6">
        <v>27.637500000000003</v>
      </c>
      <c r="M62" s="6">
        <v>25.806122448979586</v>
      </c>
      <c r="N62" s="6">
        <v>27.11428571428571</v>
      </c>
      <c r="O62" s="6">
        <v>27.887755102040821</v>
      </c>
      <c r="P62" s="6">
        <v>26.697959183673472</v>
      </c>
      <c r="Q62" s="6">
        <v>27.791836734693877</v>
      </c>
      <c r="R62" s="6">
        <v>28.493877551020404</v>
      </c>
      <c r="S62" s="6">
        <v>30.146938775510201</v>
      </c>
      <c r="T62" s="6">
        <v>31.518367346938778</v>
      </c>
      <c r="U62" s="6">
        <v>33.898979591836735</v>
      </c>
      <c r="V62" s="6">
        <v>33.271428571428579</v>
      </c>
      <c r="W62" s="6">
        <v>38.557142857142857</v>
      </c>
      <c r="Y62" s="6">
        <f t="shared" si="4"/>
        <v>611.55076530612246</v>
      </c>
      <c r="Z62">
        <f t="shared" si="5"/>
        <v>-103.40385775896084</v>
      </c>
    </row>
    <row r="63" spans="1:27" x14ac:dyDescent="0.25">
      <c r="A63" t="s">
        <v>68</v>
      </c>
      <c r="D63" s="6">
        <v>33.828571428571422</v>
      </c>
      <c r="E63" s="6">
        <v>32.128571428571426</v>
      </c>
      <c r="F63" s="6">
        <v>30.957142857142856</v>
      </c>
      <c r="G63" s="6">
        <v>31.37142857142857</v>
      </c>
      <c r="H63" s="6">
        <v>31.62857142857143</v>
      </c>
      <c r="I63" s="6">
        <v>31.928571428571427</v>
      </c>
      <c r="J63" s="6">
        <v>30.571428571428573</v>
      </c>
      <c r="K63" s="6">
        <v>28.900000000000002</v>
      </c>
      <c r="L63" s="6">
        <v>29.362499999999997</v>
      </c>
      <c r="M63" s="6">
        <v>27.885714285714283</v>
      </c>
      <c r="N63" s="6">
        <v>24.528571428571432</v>
      </c>
      <c r="O63" s="6">
        <v>28.328571428571429</v>
      </c>
      <c r="P63" s="6">
        <v>27.771428571428569</v>
      </c>
      <c r="Q63" s="6">
        <v>28.342857142857145</v>
      </c>
      <c r="R63" s="6">
        <v>29.271428571428576</v>
      </c>
      <c r="S63" s="6">
        <v>28.028571428571428</v>
      </c>
      <c r="T63" s="6">
        <v>28.900000000000002</v>
      </c>
      <c r="U63" s="6">
        <v>31.74285714285714</v>
      </c>
      <c r="V63" s="6">
        <v>32.914285714285718</v>
      </c>
      <c r="W63" s="6">
        <v>37.171428571428571</v>
      </c>
      <c r="Y63" s="6">
        <f>SUM(D63:W63)</f>
        <v>605.5625</v>
      </c>
      <c r="Z63">
        <f t="shared" si="5"/>
        <v>-101.25243974279972</v>
      </c>
      <c r="AA63" s="6"/>
    </row>
    <row r="64" spans="1:27" x14ac:dyDescent="0.25">
      <c r="A64" t="s">
        <v>69</v>
      </c>
      <c r="D64" s="6">
        <v>36.342857142857142</v>
      </c>
      <c r="E64" s="6">
        <v>33.057142857142857</v>
      </c>
      <c r="F64" s="6">
        <v>31.528571428571428</v>
      </c>
      <c r="G64" s="6">
        <v>32.18571428571429</v>
      </c>
      <c r="H64" s="6">
        <v>29.900000000000002</v>
      </c>
      <c r="I64" s="6">
        <v>31.74285714285714</v>
      </c>
      <c r="J64" s="6">
        <v>24.75714285714286</v>
      </c>
      <c r="K64" s="6">
        <v>23.671428571428571</v>
      </c>
      <c r="L64" s="6">
        <v>26.875</v>
      </c>
      <c r="M64" s="6">
        <v>27.74285714285714</v>
      </c>
      <c r="N64" s="6">
        <v>25.942857142857147</v>
      </c>
      <c r="O64" s="6">
        <v>25.985714285714288</v>
      </c>
      <c r="P64" s="6">
        <v>26.54460641399417</v>
      </c>
      <c r="Q64" s="6">
        <v>28.255976676384844</v>
      </c>
      <c r="R64" s="6">
        <v>23.828571428571429</v>
      </c>
      <c r="S64" s="6">
        <v>27.585714285714285</v>
      </c>
      <c r="T64" s="6">
        <v>30.428571428571427</v>
      </c>
      <c r="U64" s="6">
        <v>30.714285714285715</v>
      </c>
      <c r="V64" s="6">
        <v>30.671428571428574</v>
      </c>
      <c r="W64" s="6">
        <v>32.828571428571429</v>
      </c>
      <c r="Y64" s="6">
        <f t="shared" si="4"/>
        <v>580.58986880466466</v>
      </c>
      <c r="Z64">
        <f t="shared" si="5"/>
        <v>-97.703891809134163</v>
      </c>
    </row>
    <row r="65" spans="1:26" x14ac:dyDescent="0.25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Y65" s="6"/>
    </row>
    <row r="66" spans="1:26" x14ac:dyDescent="0.25">
      <c r="A66" t="s">
        <v>70</v>
      </c>
      <c r="D66" s="7">
        <v>33.942857142857143</v>
      </c>
      <c r="E66" s="7">
        <v>32.285714285714285</v>
      </c>
      <c r="F66" s="7">
        <v>33.1</v>
      </c>
      <c r="G66" s="7">
        <v>31.771428571428572</v>
      </c>
      <c r="H66" s="7">
        <v>30.5</v>
      </c>
      <c r="I66" s="7">
        <v>30.928571428571427</v>
      </c>
      <c r="J66" s="7">
        <v>29.428571428571427</v>
      </c>
      <c r="K66" s="7">
        <v>28.928571428571423</v>
      </c>
      <c r="L66" s="7">
        <v>25.15</v>
      </c>
      <c r="M66" s="7">
        <v>25.655976676384835</v>
      </c>
      <c r="N66" s="7">
        <v>23.6816326530612</v>
      </c>
      <c r="O66" s="7">
        <v>27.253352769679303</v>
      </c>
      <c r="P66" s="6">
        <v>26.54460641399417</v>
      </c>
      <c r="Q66" s="6">
        <v>28.255976676384844</v>
      </c>
      <c r="R66" s="6">
        <v>27.902806122448979</v>
      </c>
      <c r="S66" s="6">
        <v>29.298724489795919</v>
      </c>
      <c r="T66" s="6">
        <v>31.22015306122449</v>
      </c>
      <c r="U66" s="6">
        <v>33.325765306122449</v>
      </c>
      <c r="V66" s="6">
        <v>32.9375</v>
      </c>
      <c r="W66" s="6">
        <v>35.233928571428578</v>
      </c>
      <c r="X66" s="8"/>
      <c r="Y66" s="6">
        <f t="shared" si="4"/>
        <v>597.34613702623903</v>
      </c>
      <c r="Z66">
        <f>SUMPRODUCT($D$70:$W$70,D66:W66)</f>
        <v>-100.74303270873443</v>
      </c>
    </row>
    <row r="67" spans="1:26" x14ac:dyDescent="0.25">
      <c r="A67" t="s">
        <v>313</v>
      </c>
      <c r="D67" s="4">
        <v>33.514285714285712</v>
      </c>
      <c r="E67" s="4">
        <v>32.214285714285715</v>
      </c>
      <c r="F67" s="4">
        <v>30.028571428571428</v>
      </c>
      <c r="G67" s="4">
        <v>31.228571428571431</v>
      </c>
      <c r="H67" s="4">
        <v>31.285714285714285</v>
      </c>
      <c r="I67" s="4">
        <v>29.971428571428572</v>
      </c>
      <c r="J67" s="4">
        <v>29.62857142857143</v>
      </c>
      <c r="K67" s="4">
        <v>15.942857142857141</v>
      </c>
      <c r="L67" s="4">
        <v>29.362499999999997</v>
      </c>
      <c r="M67" s="4">
        <v>27.885714285714283</v>
      </c>
      <c r="N67" s="4">
        <v>24.528571428571432</v>
      </c>
      <c r="O67" s="7">
        <v>28.328571428571429</v>
      </c>
      <c r="P67" s="6">
        <v>26.3</v>
      </c>
      <c r="Q67" s="6">
        <v>30</v>
      </c>
      <c r="R67" s="6">
        <v>27.2</v>
      </c>
      <c r="S67" s="6">
        <v>15.3</v>
      </c>
      <c r="T67" s="6">
        <v>30.2</v>
      </c>
      <c r="U67" s="6">
        <v>32.1</v>
      </c>
      <c r="V67" s="6">
        <v>30.1</v>
      </c>
      <c r="W67" s="6">
        <v>33</v>
      </c>
      <c r="X67" s="8"/>
      <c r="Y67" s="6">
        <f t="shared" si="4"/>
        <v>568.11964285714282</v>
      </c>
      <c r="Z67">
        <f>SUMPRODUCT($D$70:$W$70,D67:W67)</f>
        <v>-93.739663523470369</v>
      </c>
    </row>
    <row r="68" spans="1:26" x14ac:dyDescent="0.25">
      <c r="A68" t="s">
        <v>314</v>
      </c>
      <c r="D68" s="7">
        <v>34.071428571428569</v>
      </c>
      <c r="E68" s="7">
        <v>34.471428571428575</v>
      </c>
      <c r="F68" s="7">
        <v>34.25714285714286</v>
      </c>
      <c r="G68" s="7">
        <v>33.5</v>
      </c>
      <c r="H68" s="7">
        <v>31.957142857142859</v>
      </c>
      <c r="I68" s="7">
        <v>31.328571428571429</v>
      </c>
      <c r="J68" s="7">
        <v>27.114285714285717</v>
      </c>
      <c r="K68" s="4">
        <v>28.1</v>
      </c>
      <c r="L68" s="4">
        <v>26.5</v>
      </c>
      <c r="M68" s="4">
        <v>26.4</v>
      </c>
      <c r="N68" s="4">
        <v>24.2</v>
      </c>
      <c r="O68" s="7">
        <v>27.8</v>
      </c>
      <c r="P68" s="7">
        <v>26.662925170068025</v>
      </c>
      <c r="Q68" s="7">
        <v>27.53384353741497</v>
      </c>
      <c r="R68" s="7">
        <v>28.524489795918374</v>
      </c>
      <c r="S68" s="7">
        <v>30.11105442176871</v>
      </c>
      <c r="T68" s="7">
        <v>31.711054421768704</v>
      </c>
      <c r="U68" s="7">
        <v>34.0421768707483</v>
      </c>
      <c r="V68" s="7">
        <v>32.964285714285715</v>
      </c>
      <c r="W68" s="7">
        <v>35.116666666666667</v>
      </c>
      <c r="X68" s="8"/>
      <c r="Y68" s="6">
        <f t="shared" si="4"/>
        <v>606.3664965986394</v>
      </c>
      <c r="Z68">
        <f>SUMPRODUCT($D$70:$W$70,D68:W68)</f>
        <v>-102.65360808130782</v>
      </c>
    </row>
    <row r="69" spans="1:26" x14ac:dyDescent="0.25">
      <c r="A69" t="s">
        <v>658</v>
      </c>
      <c r="D69" s="17">
        <v>33.75714285714286</v>
      </c>
      <c r="E69" s="17">
        <v>34.657142857142858</v>
      </c>
      <c r="F69" s="17">
        <v>34.814285714285717</v>
      </c>
      <c r="G69" s="17">
        <v>33.585714285714289</v>
      </c>
      <c r="H69" s="17">
        <v>30.685714285714283</v>
      </c>
      <c r="I69" s="18">
        <v>30.5</v>
      </c>
      <c r="J69" s="6">
        <v>29.375510204081632</v>
      </c>
      <c r="K69" s="6">
        <v>28.667346938775506</v>
      </c>
      <c r="L69" s="6">
        <v>27.530980725623582</v>
      </c>
      <c r="M69" s="6">
        <v>26.724927113702623</v>
      </c>
      <c r="N69" s="4">
        <v>27</v>
      </c>
      <c r="O69" s="7">
        <v>27.5</v>
      </c>
      <c r="P69" s="6">
        <v>27.062857142857144</v>
      </c>
      <c r="Q69" s="6">
        <v>28.30857142857143</v>
      </c>
      <c r="R69" s="6">
        <v>28.493877551020404</v>
      </c>
      <c r="S69" s="6">
        <v>30.146938775510201</v>
      </c>
      <c r="T69" s="6">
        <v>31.386028257456829</v>
      </c>
      <c r="U69" s="6">
        <v>33.694976452119306</v>
      </c>
      <c r="V69" s="6">
        <v>32.813186813186817</v>
      </c>
      <c r="W69" s="6">
        <v>34.84505494505494</v>
      </c>
      <c r="Y69" s="6">
        <f t="shared" ref="Y69" si="6">SUM(D69:W69)</f>
        <v>611.55025634796039</v>
      </c>
      <c r="Z69">
        <f>SUMPRODUCT($D$70:$W$70,D69:W69)</f>
        <v>-103.80798159875224</v>
      </c>
    </row>
    <row r="70" spans="1:26" x14ac:dyDescent="0.25">
      <c r="A70" s="2" t="s">
        <v>71</v>
      </c>
      <c r="D70" s="3">
        <f>CORREL($B$2:$B$28,D38:D64)</f>
        <v>-6.0516644697847413E-2</v>
      </c>
      <c r="E70" s="3">
        <f t="shared" ref="E70:W70" si="7">CORREL($B$2:$B$28,E38:E64)</f>
        <v>-0.26231168142264755</v>
      </c>
      <c r="F70" s="3">
        <f t="shared" si="7"/>
        <v>-0.18532244844138812</v>
      </c>
      <c r="G70" s="3">
        <f t="shared" si="7"/>
        <v>-0.11846600313640415</v>
      </c>
      <c r="H70" s="3">
        <f t="shared" si="7"/>
        <v>-0.25700646592904669</v>
      </c>
      <c r="I70" s="3">
        <f t="shared" si="7"/>
        <v>-0.15532734701751497</v>
      </c>
      <c r="J70" s="3">
        <f t="shared" si="7"/>
        <v>-0.12116906685543423</v>
      </c>
      <c r="K70" s="3">
        <f t="shared" si="7"/>
        <v>-0.1447461686326296</v>
      </c>
      <c r="L70" s="3">
        <f t="shared" si="7"/>
        <v>-0.2041467934284108</v>
      </c>
      <c r="M70" s="3">
        <f t="shared" si="7"/>
        <v>9.1294525364739573E-2</v>
      </c>
      <c r="N70" s="3">
        <f t="shared" si="7"/>
        <v>-0.34353430825285125</v>
      </c>
      <c r="O70" s="3">
        <f t="shared" si="7"/>
        <v>-6.992352748710659E-2</v>
      </c>
      <c r="P70" s="3">
        <f t="shared" si="7"/>
        <v>-0.18581387830127849</v>
      </c>
      <c r="Q70" s="3">
        <f t="shared" si="7"/>
        <v>-0.13800284242297212</v>
      </c>
      <c r="R70" s="3">
        <f t="shared" si="7"/>
        <v>-9.4845306959878986E-2</v>
      </c>
      <c r="S70" s="3">
        <f t="shared" si="7"/>
        <v>-0.28294777445188607</v>
      </c>
      <c r="T70" s="3">
        <f t="shared" si="7"/>
        <v>-0.13586988251311216</v>
      </c>
      <c r="U70" s="3">
        <f t="shared" si="7"/>
        <v>-0.23131626496972893</v>
      </c>
      <c r="V70" s="3">
        <f t="shared" si="7"/>
        <v>-0.42225897483107871</v>
      </c>
      <c r="W70" s="3">
        <f t="shared" si="7"/>
        <v>-4.1605467786536648E-2</v>
      </c>
      <c r="X70" s="3"/>
    </row>
    <row r="71" spans="1:26" x14ac:dyDescent="0.25">
      <c r="P71" s="6"/>
      <c r="Q71" s="6"/>
      <c r="R71" s="6"/>
      <c r="S71" s="6"/>
      <c r="T71" s="6"/>
      <c r="U71" s="6"/>
      <c r="V71" s="6"/>
      <c r="W71" s="6"/>
    </row>
    <row r="72" spans="1:26" x14ac:dyDescent="0.25">
      <c r="P72" s="6"/>
      <c r="Q72" s="6"/>
      <c r="R72" s="6"/>
      <c r="S72" s="6"/>
      <c r="T72" s="6"/>
      <c r="U72" s="6"/>
      <c r="V72" s="6"/>
      <c r="W72" s="6"/>
    </row>
    <row r="73" spans="1:26" x14ac:dyDescent="0.25"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89</v>
      </c>
      <c r="L73" t="s">
        <v>317</v>
      </c>
      <c r="M73" t="s">
        <v>349</v>
      </c>
      <c r="N73" t="s">
        <v>350</v>
      </c>
      <c r="O73" t="s">
        <v>351</v>
      </c>
      <c r="P73" s="6" t="s">
        <v>442</v>
      </c>
      <c r="Q73" s="6" t="s">
        <v>443</v>
      </c>
      <c r="R73" s="6" t="s">
        <v>444</v>
      </c>
      <c r="S73" s="6" t="s">
        <v>445</v>
      </c>
      <c r="T73" s="6" t="s">
        <v>554</v>
      </c>
      <c r="U73" s="6" t="s">
        <v>555</v>
      </c>
      <c r="V73" s="6" t="s">
        <v>556</v>
      </c>
      <c r="W73" s="6" t="s">
        <v>557</v>
      </c>
      <c r="Y73" t="s">
        <v>90</v>
      </c>
      <c r="Z73" t="s">
        <v>91</v>
      </c>
    </row>
    <row r="74" spans="1:26" x14ac:dyDescent="0.25">
      <c r="A74" t="s">
        <v>43</v>
      </c>
      <c r="D74" s="6">
        <v>19.014285714285712</v>
      </c>
      <c r="E74" s="6">
        <v>16.671428571428571</v>
      </c>
      <c r="F74" s="6">
        <v>15.342857142857142</v>
      </c>
      <c r="G74" s="6">
        <v>14.742857142857144</v>
      </c>
      <c r="H74" s="6">
        <v>13.414285714285713</v>
      </c>
      <c r="I74" s="6">
        <v>13.371428571428575</v>
      </c>
      <c r="J74" s="6">
        <v>13</v>
      </c>
      <c r="K74" s="6">
        <v>11.828571428571431</v>
      </c>
      <c r="L74" s="6">
        <v>11.4625</v>
      </c>
      <c r="M74" s="6">
        <v>7.5857142857142863</v>
      </c>
      <c r="N74" s="6">
        <v>10.642857142857142</v>
      </c>
      <c r="O74" s="6">
        <v>11.171428571428573</v>
      </c>
      <c r="P74" s="6">
        <v>11.557142857142855</v>
      </c>
      <c r="Q74" s="6">
        <v>11.5</v>
      </c>
      <c r="R74" s="6">
        <v>13.542857142857143</v>
      </c>
      <c r="S74" s="6">
        <v>12.185714285714285</v>
      </c>
      <c r="T74" s="6">
        <v>13.2</v>
      </c>
      <c r="U74" s="6">
        <v>14.771428571428572</v>
      </c>
      <c r="V74" s="6">
        <v>16.614285714285714</v>
      </c>
      <c r="W74" s="6">
        <v>15.985714285714284</v>
      </c>
      <c r="Y74" s="6">
        <f t="shared" ref="Y74:Y104" si="8">SUM(D74:W74)</f>
        <v>267.60535714285714</v>
      </c>
      <c r="Z74">
        <f t="shared" ref="Z74:Z100" si="9">SUMPRODUCT($D$106:$W$106,D74:W74)</f>
        <v>-65.95862818725459</v>
      </c>
    </row>
    <row r="75" spans="1:26" x14ac:dyDescent="0.25">
      <c r="A75" t="s">
        <v>44</v>
      </c>
      <c r="D75" s="6">
        <v>17.428571428571427</v>
      </c>
      <c r="E75" s="6">
        <v>15.628571428571432</v>
      </c>
      <c r="F75" s="6">
        <v>15.771428571428572</v>
      </c>
      <c r="G75" s="6">
        <v>12.385714285714286</v>
      </c>
      <c r="H75" s="6">
        <v>14.528571428571428</v>
      </c>
      <c r="I75" s="6">
        <v>10.957142857142857</v>
      </c>
      <c r="J75" s="6">
        <v>6.5714285714285712</v>
      </c>
      <c r="K75" s="6">
        <v>8.9571428571428573</v>
      </c>
      <c r="L75" s="6">
        <v>7.8624999999999998</v>
      </c>
      <c r="M75" s="6">
        <v>9.485714285714284</v>
      </c>
      <c r="N75" s="6">
        <v>12</v>
      </c>
      <c r="O75" s="6">
        <v>11.55714285714286</v>
      </c>
      <c r="P75" s="6">
        <v>7.1</v>
      </c>
      <c r="Q75" s="6">
        <v>9.6142857142857139</v>
      </c>
      <c r="R75" s="6">
        <v>9.3571428571428577</v>
      </c>
      <c r="S75" s="6">
        <v>9.8714285714285719</v>
      </c>
      <c r="T75" s="6">
        <v>13.457142857142857</v>
      </c>
      <c r="U75" s="6">
        <v>11.471428571428573</v>
      </c>
      <c r="V75" s="6">
        <v>16.62857142857143</v>
      </c>
      <c r="W75" s="6">
        <v>17.485714285714288</v>
      </c>
      <c r="Y75" s="6">
        <f t="shared" si="8"/>
        <v>238.11964285714285</v>
      </c>
      <c r="Z75">
        <f t="shared" si="9"/>
        <v>-58.06305667328737</v>
      </c>
    </row>
    <row r="76" spans="1:26" x14ac:dyDescent="0.25">
      <c r="A76" t="s">
        <v>45</v>
      </c>
      <c r="D76" s="6">
        <v>17.014285714285698</v>
      </c>
      <c r="E76" s="6">
        <v>14.414285714285713</v>
      </c>
      <c r="F76" s="6">
        <v>5.9285714285714288</v>
      </c>
      <c r="G76" s="6">
        <v>12.671428571428573</v>
      </c>
      <c r="H76" s="6">
        <v>15.6</v>
      </c>
      <c r="I76" s="6">
        <v>12.985714285714286</v>
      </c>
      <c r="J76" s="6">
        <v>13.514285714285716</v>
      </c>
      <c r="K76" s="6">
        <v>11.671428571428569</v>
      </c>
      <c r="L76" s="6">
        <v>11.762500000000001</v>
      </c>
      <c r="M76" s="6">
        <v>12.571428571428571</v>
      </c>
      <c r="N76" s="6">
        <v>13.457142857142857</v>
      </c>
      <c r="O76" s="6">
        <v>12.028571428571428</v>
      </c>
      <c r="P76" s="6">
        <v>8.7285714285714278</v>
      </c>
      <c r="Q76" s="6">
        <v>13.085714285714284</v>
      </c>
      <c r="R76" s="6">
        <v>13</v>
      </c>
      <c r="S76" s="6">
        <v>14.528571428571428</v>
      </c>
      <c r="T76" s="6">
        <v>14.914285714285713</v>
      </c>
      <c r="U76" s="6">
        <v>15.142857142857142</v>
      </c>
      <c r="V76" s="6">
        <v>17.485714285714288</v>
      </c>
      <c r="W76" s="6">
        <v>19.100000000000001</v>
      </c>
      <c r="Y76" s="6">
        <f t="shared" si="8"/>
        <v>269.60535714285714</v>
      </c>
      <c r="Z76">
        <f t="shared" si="9"/>
        <v>-70.030925380725861</v>
      </c>
    </row>
    <row r="77" spans="1:26" x14ac:dyDescent="0.25">
      <c r="A77" t="s">
        <v>46</v>
      </c>
      <c r="D77" s="6">
        <v>15.37142857142857</v>
      </c>
      <c r="E77" s="6">
        <v>13.871428571428572</v>
      </c>
      <c r="F77" s="6">
        <v>12.614285714285716</v>
      </c>
      <c r="G77" s="6">
        <v>12</v>
      </c>
      <c r="H77" s="6">
        <v>10.242857142857144</v>
      </c>
      <c r="I77" s="6">
        <v>10.342857142857142</v>
      </c>
      <c r="J77" s="6">
        <v>12.37142857142857</v>
      </c>
      <c r="K77" s="6">
        <v>12.471428571428573</v>
      </c>
      <c r="L77" s="6">
        <v>10.5875</v>
      </c>
      <c r="M77" s="6">
        <v>9.7000000000000011</v>
      </c>
      <c r="N77" s="6">
        <v>5.5</v>
      </c>
      <c r="O77" s="6">
        <v>7.9857142857142867</v>
      </c>
      <c r="P77" s="6">
        <v>7.6</v>
      </c>
      <c r="Q77" s="6">
        <v>9.0285714285714285</v>
      </c>
      <c r="R77" s="6">
        <v>9.4285714285714288</v>
      </c>
      <c r="S77" s="6">
        <v>11.142857142857142</v>
      </c>
      <c r="T77" s="6">
        <v>9.9571428571428573</v>
      </c>
      <c r="U77" s="6">
        <v>10.414285714285713</v>
      </c>
      <c r="V77" s="6">
        <v>14.042857142857144</v>
      </c>
      <c r="W77" s="6">
        <v>16.671428571428574</v>
      </c>
      <c r="Y77" s="6">
        <f t="shared" si="8"/>
        <v>221.34464285714284</v>
      </c>
      <c r="Z77">
        <f t="shared" si="9"/>
        <v>-53.788122114270074</v>
      </c>
    </row>
    <row r="78" spans="1:26" x14ac:dyDescent="0.25">
      <c r="A78" t="s">
        <v>47</v>
      </c>
      <c r="D78" s="6">
        <v>15.971428571428573</v>
      </c>
      <c r="E78" s="6">
        <v>14.942857142857141</v>
      </c>
      <c r="F78" s="6">
        <v>15.114285714285712</v>
      </c>
      <c r="G78" s="6">
        <v>15.342857142857143</v>
      </c>
      <c r="H78" s="6">
        <v>15.157142857142857</v>
      </c>
      <c r="I78" s="6">
        <v>11.457142857142857</v>
      </c>
      <c r="J78" s="6">
        <v>11.814285714285713</v>
      </c>
      <c r="K78" s="6">
        <v>10.4</v>
      </c>
      <c r="L78" s="6">
        <v>6.6875</v>
      </c>
      <c r="M78" s="6">
        <v>9.014285714285716</v>
      </c>
      <c r="N78" s="6">
        <v>8.7000000000000011</v>
      </c>
      <c r="O78" s="6">
        <v>9.8571428571428577</v>
      </c>
      <c r="P78" s="6">
        <v>10.928571428571429</v>
      </c>
      <c r="Q78" s="6">
        <v>10.314285714285715</v>
      </c>
      <c r="R78" s="6">
        <v>14.885714285714286</v>
      </c>
      <c r="S78" s="6">
        <v>12.542857142857143</v>
      </c>
      <c r="T78" s="6">
        <v>11.200000000000001</v>
      </c>
      <c r="U78" s="6">
        <v>11.814285714285713</v>
      </c>
      <c r="V78" s="6">
        <v>12.5</v>
      </c>
      <c r="W78" s="6">
        <v>15.614285714285716</v>
      </c>
      <c r="Y78" s="6">
        <f t="shared" si="8"/>
        <v>244.25892857142856</v>
      </c>
      <c r="Z78">
        <f t="shared" si="9"/>
        <v>-58.530822918391848</v>
      </c>
    </row>
    <row r="79" spans="1:26" x14ac:dyDescent="0.25">
      <c r="A79" t="s">
        <v>48</v>
      </c>
      <c r="D79" s="6">
        <v>16.100000000000001</v>
      </c>
      <c r="E79" s="6">
        <v>13.700000000000001</v>
      </c>
      <c r="F79" s="6">
        <v>13.471428571428573</v>
      </c>
      <c r="G79" s="6">
        <v>17.328571428571429</v>
      </c>
      <c r="H79" s="6">
        <v>23.928571428571427</v>
      </c>
      <c r="I79" s="6">
        <v>12.557142857142855</v>
      </c>
      <c r="J79" s="6">
        <v>10.042857142857144</v>
      </c>
      <c r="K79" s="6">
        <v>10.957142857142857</v>
      </c>
      <c r="L79" s="6">
        <v>8.3249999999999993</v>
      </c>
      <c r="M79" s="6">
        <v>6.0857142857142863</v>
      </c>
      <c r="N79" s="6">
        <v>6.5285714285714276</v>
      </c>
      <c r="O79" s="6">
        <v>5.9857142857142867</v>
      </c>
      <c r="P79" s="6">
        <v>10.9</v>
      </c>
      <c r="Q79" s="6">
        <v>11.72857142857143</v>
      </c>
      <c r="R79" s="6">
        <v>9.0285714285714302</v>
      </c>
      <c r="S79" s="6">
        <v>13.799999999999999</v>
      </c>
      <c r="T79" s="6">
        <v>8.4428571428571431</v>
      </c>
      <c r="U79" s="6">
        <v>12.042857142857144</v>
      </c>
      <c r="V79" s="6">
        <v>12.728571428571428</v>
      </c>
      <c r="W79" s="6">
        <v>12.999999999999998</v>
      </c>
      <c r="Y79" s="6">
        <f t="shared" si="8"/>
        <v>236.68214285714291</v>
      </c>
      <c r="Z79">
        <f t="shared" si="9"/>
        <v>-58.173058498545046</v>
      </c>
    </row>
    <row r="80" spans="1:26" x14ac:dyDescent="0.25">
      <c r="A80" t="s">
        <v>49</v>
      </c>
      <c r="D80" s="6">
        <v>15.071428571428571</v>
      </c>
      <c r="E80" s="6">
        <v>16.728571428571431</v>
      </c>
      <c r="F80" s="6">
        <v>14.814285714285715</v>
      </c>
      <c r="G80" s="6">
        <v>14.385714285714286</v>
      </c>
      <c r="H80" s="6">
        <v>14.614285714285712</v>
      </c>
      <c r="I80" s="6">
        <v>13.585714285714285</v>
      </c>
      <c r="J80" s="6">
        <v>11.87142857142857</v>
      </c>
      <c r="K80" s="6">
        <v>9.3857142857142843</v>
      </c>
      <c r="L80" s="6">
        <v>11.571428571428571</v>
      </c>
      <c r="M80" s="6">
        <v>5.7000000000000011</v>
      </c>
      <c r="N80" s="6">
        <v>6.0428571428571436</v>
      </c>
      <c r="O80" s="6">
        <v>7.5285714285714294</v>
      </c>
      <c r="P80" s="6">
        <v>11.671428571428573</v>
      </c>
      <c r="Q80" s="6">
        <v>13.657142857142857</v>
      </c>
      <c r="R80" s="6">
        <v>11.042857142857143</v>
      </c>
      <c r="S80" s="6">
        <v>7.9571428571428564</v>
      </c>
      <c r="T80" s="6">
        <v>9.3571428571428594</v>
      </c>
      <c r="U80" s="6">
        <v>12.099999999999998</v>
      </c>
      <c r="V80" s="6">
        <v>12.185714285714285</v>
      </c>
      <c r="W80" s="6">
        <v>15.114285714285714</v>
      </c>
      <c r="Y80" s="6">
        <f t="shared" si="8"/>
        <v>234.3857142857143</v>
      </c>
      <c r="Z80">
        <f t="shared" si="9"/>
        <v>-55.329530962457255</v>
      </c>
    </row>
    <row r="81" spans="1:27" x14ac:dyDescent="0.25">
      <c r="A81" t="s">
        <v>50</v>
      </c>
      <c r="D81" s="6">
        <v>15.171428571428573</v>
      </c>
      <c r="E81" s="6">
        <v>13.528571428571428</v>
      </c>
      <c r="F81" s="6">
        <v>15.085714285714287</v>
      </c>
      <c r="G81" s="6">
        <v>14.342857142857142</v>
      </c>
      <c r="H81" s="6">
        <v>11.328571428571431</v>
      </c>
      <c r="I81" s="6">
        <v>12.8</v>
      </c>
      <c r="J81" s="6">
        <v>10.657142857142857</v>
      </c>
      <c r="K81" s="6">
        <v>11.442857142857145</v>
      </c>
      <c r="L81" s="6">
        <v>12.399999999999999</v>
      </c>
      <c r="M81" s="6">
        <v>8.4571428571428573</v>
      </c>
      <c r="N81" s="6">
        <v>11.27142857142857</v>
      </c>
      <c r="O81" s="6">
        <v>10.485714285714284</v>
      </c>
      <c r="P81" s="6">
        <v>8.6999999999999993</v>
      </c>
      <c r="Q81" s="6">
        <v>9.4714285714285715</v>
      </c>
      <c r="R81" s="6">
        <v>9.7285714285714278</v>
      </c>
      <c r="S81" s="6">
        <v>13.528571428571427</v>
      </c>
      <c r="T81" s="6">
        <v>10.857142857142858</v>
      </c>
      <c r="U81" s="6">
        <v>13.085714285714287</v>
      </c>
      <c r="V81" s="6">
        <v>16.342857142857145</v>
      </c>
      <c r="W81" s="6">
        <v>16.414285714285715</v>
      </c>
      <c r="Y81" s="6">
        <f t="shared" si="8"/>
        <v>245.10000000000002</v>
      </c>
      <c r="Z81">
        <f t="shared" si="9"/>
        <v>-61.940387211295516</v>
      </c>
    </row>
    <row r="82" spans="1:27" x14ac:dyDescent="0.25">
      <c r="A82" t="s">
        <v>51</v>
      </c>
      <c r="D82" s="6">
        <v>17.000000000000004</v>
      </c>
      <c r="E82" s="6">
        <v>16.042857142857144</v>
      </c>
      <c r="F82" s="6">
        <v>18.000000000000004</v>
      </c>
      <c r="G82" s="6">
        <v>15.757142857142858</v>
      </c>
      <c r="H82" s="6">
        <v>11.8</v>
      </c>
      <c r="I82" s="6">
        <v>10.214285714285714</v>
      </c>
      <c r="J82" s="6">
        <v>9.8428571428571416</v>
      </c>
      <c r="K82" s="6">
        <v>8.7857142857142865</v>
      </c>
      <c r="L82" s="6">
        <v>8.5875000000000004</v>
      </c>
      <c r="M82" s="6">
        <v>9.8857142857142861</v>
      </c>
      <c r="N82" s="6">
        <v>12.385714285714284</v>
      </c>
      <c r="O82" s="6">
        <v>9.9</v>
      </c>
      <c r="P82" s="6">
        <v>12.500000000000002</v>
      </c>
      <c r="Q82" s="6">
        <v>7.4428571428571422</v>
      </c>
      <c r="R82" s="6">
        <v>9.7714285714285722</v>
      </c>
      <c r="S82" s="6">
        <v>11.514285714285714</v>
      </c>
      <c r="T82" s="6">
        <v>9.3714285714285701</v>
      </c>
      <c r="U82" s="6">
        <v>12.742857142857144</v>
      </c>
      <c r="V82" s="6">
        <v>13.271428571428574</v>
      </c>
      <c r="W82" s="6">
        <v>17.371428571428574</v>
      </c>
      <c r="Y82" s="6">
        <f t="shared" si="8"/>
        <v>242.18749999999997</v>
      </c>
      <c r="Z82">
        <f t="shared" si="9"/>
        <v>-58.549603217758808</v>
      </c>
    </row>
    <row r="83" spans="1:27" x14ac:dyDescent="0.25">
      <c r="A83" t="s">
        <v>52</v>
      </c>
      <c r="D83" s="6">
        <v>15.485714285714286</v>
      </c>
      <c r="E83" s="6">
        <v>14.785714285714286</v>
      </c>
      <c r="F83" s="6">
        <v>12.214285714285714</v>
      </c>
      <c r="G83" s="6">
        <v>8.4428571428571413</v>
      </c>
      <c r="H83" s="6">
        <v>8.2285714285714278</v>
      </c>
      <c r="I83" s="6">
        <v>13.185714285714283</v>
      </c>
      <c r="J83" s="6">
        <v>6.8142857142857149</v>
      </c>
      <c r="K83" s="6">
        <v>8.4142857142857128</v>
      </c>
      <c r="L83" s="6">
        <v>8.5125000000000011</v>
      </c>
      <c r="M83" s="6">
        <v>9.2999999999999989</v>
      </c>
      <c r="N83" s="6">
        <v>7.2142857142857144</v>
      </c>
      <c r="O83" s="6">
        <v>8</v>
      </c>
      <c r="P83" s="6">
        <v>9.4428571428571413</v>
      </c>
      <c r="Q83" s="6">
        <v>10.242857142857144</v>
      </c>
      <c r="R83" s="6">
        <v>11.542857142857143</v>
      </c>
      <c r="S83" s="6">
        <v>11.028571428571428</v>
      </c>
      <c r="T83" s="6">
        <v>9.8857142857142843</v>
      </c>
      <c r="U83" s="6">
        <v>13.814285714285715</v>
      </c>
      <c r="V83" s="6">
        <v>12.985714285714284</v>
      </c>
      <c r="W83" s="6">
        <v>15.399999999999997</v>
      </c>
      <c r="Y83" s="6">
        <f t="shared" si="8"/>
        <v>214.94107142857143</v>
      </c>
      <c r="Z83">
        <f t="shared" si="9"/>
        <v>-50.118291743775174</v>
      </c>
    </row>
    <row r="84" spans="1:27" x14ac:dyDescent="0.25">
      <c r="A84" t="s">
        <v>53</v>
      </c>
      <c r="D84" s="6">
        <v>17.471428571428572</v>
      </c>
      <c r="E84" s="6">
        <v>12.928571428571429</v>
      </c>
      <c r="F84" s="6">
        <v>11.857142857142856</v>
      </c>
      <c r="G84" s="6">
        <v>13.342857142857143</v>
      </c>
      <c r="H84" s="6">
        <v>13.1</v>
      </c>
      <c r="I84" s="6">
        <v>10.642857142857142</v>
      </c>
      <c r="J84" s="6">
        <v>12.742857142857144</v>
      </c>
      <c r="K84" s="6">
        <v>12.2</v>
      </c>
      <c r="L84" s="6">
        <v>12.9</v>
      </c>
      <c r="M84" s="6">
        <v>11.328571428571427</v>
      </c>
      <c r="N84" s="6">
        <v>8.9571428571428573</v>
      </c>
      <c r="O84" s="6">
        <v>9.0571428571428569</v>
      </c>
      <c r="P84" s="6">
        <v>11.999999999999998</v>
      </c>
      <c r="Q84" s="6">
        <v>8.7285714285714295</v>
      </c>
      <c r="R84" s="6">
        <v>9.3714285714285719</v>
      </c>
      <c r="S84" s="6">
        <v>11.685714285714285</v>
      </c>
      <c r="T84" s="6">
        <v>14.871428571428572</v>
      </c>
      <c r="U84" s="6">
        <v>13.757142857142854</v>
      </c>
      <c r="V84" s="6">
        <v>16.928571428571427</v>
      </c>
      <c r="W84" s="6">
        <v>18.585714285714285</v>
      </c>
      <c r="Y84" s="6">
        <f t="shared" si="8"/>
        <v>252.45714285714283</v>
      </c>
      <c r="Z84">
        <f t="shared" si="9"/>
        <v>-64.294182318404879</v>
      </c>
    </row>
    <row r="85" spans="1:27" x14ac:dyDescent="0.25">
      <c r="A85" t="s">
        <v>54</v>
      </c>
      <c r="D85" s="6">
        <v>15.5</v>
      </c>
      <c r="E85" s="6">
        <v>14.4</v>
      </c>
      <c r="F85" s="6">
        <v>15.071428571428571</v>
      </c>
      <c r="G85" s="6">
        <v>11.828571428571427</v>
      </c>
      <c r="H85" s="6">
        <v>10.571428571428571</v>
      </c>
      <c r="I85" s="6">
        <v>11.585714285714284</v>
      </c>
      <c r="J85" s="6">
        <v>6.7285714285714295</v>
      </c>
      <c r="K85" s="6">
        <v>9</v>
      </c>
      <c r="L85" s="6">
        <v>9.9875000000000007</v>
      </c>
      <c r="M85" s="6">
        <v>8.7857142857142847</v>
      </c>
      <c r="N85" s="6">
        <v>8.6428571428571423</v>
      </c>
      <c r="O85" s="6">
        <v>6.9857142857142858</v>
      </c>
      <c r="P85" s="6">
        <v>8.4000000000000021</v>
      </c>
      <c r="Q85" s="6">
        <v>10.114285714285714</v>
      </c>
      <c r="R85" s="6">
        <v>6.8999999999999995</v>
      </c>
      <c r="S85" s="6">
        <v>10.4</v>
      </c>
      <c r="T85" s="6">
        <v>10.071428571428571</v>
      </c>
      <c r="U85" s="6">
        <v>15.014285714285714</v>
      </c>
      <c r="V85" s="6">
        <v>14.457142857142857</v>
      </c>
      <c r="W85" s="6">
        <v>19.028571428571428</v>
      </c>
      <c r="Y85" s="6">
        <f t="shared" si="8"/>
        <v>223.47321428571431</v>
      </c>
      <c r="Z85">
        <f t="shared" si="9"/>
        <v>-53.322377092885098</v>
      </c>
    </row>
    <row r="86" spans="1:27" x14ac:dyDescent="0.25">
      <c r="A86" t="s">
        <v>55</v>
      </c>
      <c r="D86" s="6">
        <v>18.971428571428568</v>
      </c>
      <c r="E86" s="6">
        <v>18.328571428571429</v>
      </c>
      <c r="F86" s="6">
        <v>16.385714285714286</v>
      </c>
      <c r="G86" s="6">
        <v>16.814285714285713</v>
      </c>
      <c r="H86" s="6">
        <v>13.442857142857145</v>
      </c>
      <c r="I86" s="6">
        <v>13.385714285714286</v>
      </c>
      <c r="J86" s="6">
        <v>8.9857142857142858</v>
      </c>
      <c r="K86" s="6">
        <v>8</v>
      </c>
      <c r="L86" s="6">
        <v>9.9625000000000004</v>
      </c>
      <c r="M86" s="6">
        <v>9.6571428571428584</v>
      </c>
      <c r="N86" s="6">
        <v>11.071428571428569</v>
      </c>
      <c r="O86" s="6">
        <v>6.2285714285714286</v>
      </c>
      <c r="P86" s="6">
        <v>7.4428571428571422</v>
      </c>
      <c r="Q86" s="6">
        <v>11.7</v>
      </c>
      <c r="R86" s="6">
        <v>9.5857142857142854</v>
      </c>
      <c r="S86" s="6">
        <v>12.757142857142856</v>
      </c>
      <c r="T86" s="6">
        <v>10.842857142857143</v>
      </c>
      <c r="U86" s="6">
        <v>11.157142857142858</v>
      </c>
      <c r="V86" s="6">
        <v>15.37142857142857</v>
      </c>
      <c r="W86" s="6">
        <v>15.671428571428569</v>
      </c>
      <c r="Y86" s="6">
        <f t="shared" si="8"/>
        <v>245.76249999999999</v>
      </c>
      <c r="Z86">
        <f t="shared" si="9"/>
        <v>-58.561930250974996</v>
      </c>
    </row>
    <row r="87" spans="1:27" x14ac:dyDescent="0.25">
      <c r="A87" t="s">
        <v>56</v>
      </c>
      <c r="D87" s="6">
        <v>19.685714285714287</v>
      </c>
      <c r="E87" s="6">
        <v>14.6</v>
      </c>
      <c r="F87" s="6">
        <v>14.214285714285714</v>
      </c>
      <c r="G87" s="6">
        <v>12.2</v>
      </c>
      <c r="H87" s="6">
        <v>10.414285714285715</v>
      </c>
      <c r="I87" s="6">
        <v>10.071428571428571</v>
      </c>
      <c r="J87" s="6">
        <v>8.2857142857142865</v>
      </c>
      <c r="K87" s="6">
        <v>9.9571428571428573</v>
      </c>
      <c r="L87" s="6">
        <v>9.0749999999999993</v>
      </c>
      <c r="M87" s="6">
        <v>9.2857142857142865</v>
      </c>
      <c r="N87" s="6">
        <v>7.2714285714285705</v>
      </c>
      <c r="O87" s="6">
        <v>9.9285714285714288</v>
      </c>
      <c r="P87" s="6">
        <v>10.285714285714286</v>
      </c>
      <c r="Q87" s="6">
        <v>8.3142857142857149</v>
      </c>
      <c r="R87" s="6">
        <v>14.542857142857143</v>
      </c>
      <c r="S87" s="6">
        <v>14.828571428571427</v>
      </c>
      <c r="T87" s="6">
        <v>13.6</v>
      </c>
      <c r="U87" s="6">
        <v>18.514285714285712</v>
      </c>
      <c r="V87" s="6">
        <v>11.9</v>
      </c>
      <c r="W87" s="6">
        <v>15.285714285714286</v>
      </c>
      <c r="Y87" s="6">
        <f t="shared" si="8"/>
        <v>242.26071428571427</v>
      </c>
      <c r="Z87">
        <f t="shared" si="9"/>
        <v>-57.220202538358038</v>
      </c>
    </row>
    <row r="88" spans="1:27" x14ac:dyDescent="0.25">
      <c r="A88" t="s">
        <v>57</v>
      </c>
      <c r="D88" s="6">
        <v>16.7</v>
      </c>
      <c r="E88" s="6">
        <v>15.685714285714285</v>
      </c>
      <c r="F88" s="6">
        <v>14.37142857142857</v>
      </c>
      <c r="G88" s="6">
        <v>13.028571428571428</v>
      </c>
      <c r="H88" s="6">
        <v>11.071428571428569</v>
      </c>
      <c r="I88" s="6">
        <v>10.685714285714285</v>
      </c>
      <c r="J88" s="6">
        <v>8.7714285714285705</v>
      </c>
      <c r="K88" s="6">
        <v>9.4428571428571413</v>
      </c>
      <c r="L88" s="6">
        <v>8.4750000000000014</v>
      </c>
      <c r="M88" s="6">
        <v>10.014285714285714</v>
      </c>
      <c r="N88" s="6">
        <v>10.342857142857143</v>
      </c>
      <c r="O88" s="6">
        <v>9.2000000000000011</v>
      </c>
      <c r="P88" s="6">
        <v>12.414285714285715</v>
      </c>
      <c r="Q88" s="6">
        <v>10.414285714285715</v>
      </c>
      <c r="R88" s="6">
        <v>9.5857142857142854</v>
      </c>
      <c r="S88" s="6">
        <v>13.114285714285712</v>
      </c>
      <c r="T88" s="6">
        <v>13.428571428571429</v>
      </c>
      <c r="U88" s="6">
        <v>12.828571428571426</v>
      </c>
      <c r="V88" s="6">
        <v>13.228571428571428</v>
      </c>
      <c r="W88" s="6">
        <v>15.685714285714285</v>
      </c>
      <c r="Y88" s="6">
        <f t="shared" si="8"/>
        <v>238.48928571428564</v>
      </c>
      <c r="Z88">
        <f t="shared" si="9"/>
        <v>-57.974611497736007</v>
      </c>
    </row>
    <row r="89" spans="1:27" x14ac:dyDescent="0.25">
      <c r="A89" t="s">
        <v>58</v>
      </c>
      <c r="D89" s="6">
        <v>16.542857142857141</v>
      </c>
      <c r="E89" s="6">
        <v>15.642857142857142</v>
      </c>
      <c r="F89" s="6">
        <v>15.5</v>
      </c>
      <c r="G89" s="6">
        <v>11.799999999999999</v>
      </c>
      <c r="H89" s="6">
        <v>13.228571428571428</v>
      </c>
      <c r="I89" s="6">
        <v>8.6142857142857157</v>
      </c>
      <c r="J89" s="6">
        <v>10.271428571428572</v>
      </c>
      <c r="K89" s="6">
        <v>10.942857142857141</v>
      </c>
      <c r="L89" s="6">
        <v>9.0500000000000007</v>
      </c>
      <c r="M89" s="6">
        <v>8.0714285714285712</v>
      </c>
      <c r="N89" s="6">
        <v>7.4857142857142858</v>
      </c>
      <c r="O89" s="6">
        <v>8.3571428571428577</v>
      </c>
      <c r="P89" s="6">
        <v>7.3428571428571434</v>
      </c>
      <c r="Q89" s="6">
        <v>10.214285714285714</v>
      </c>
      <c r="R89" s="6">
        <v>7.3142857142857141</v>
      </c>
      <c r="S89" s="6">
        <v>11.142857142857142</v>
      </c>
      <c r="T89" s="6">
        <v>13.757142857142856</v>
      </c>
      <c r="U89" s="6">
        <v>15.500000000000002</v>
      </c>
      <c r="V89" s="6">
        <v>12.471428571428573</v>
      </c>
      <c r="W89" s="6">
        <v>17.900000000000002</v>
      </c>
      <c r="Y89" s="6">
        <f t="shared" si="8"/>
        <v>231.15</v>
      </c>
      <c r="Z89">
        <f t="shared" si="9"/>
        <v>-55.176972117701027</v>
      </c>
    </row>
    <row r="90" spans="1:27" x14ac:dyDescent="0.25">
      <c r="A90" t="s">
        <v>59</v>
      </c>
      <c r="D90" s="6">
        <v>18.171428571428571</v>
      </c>
      <c r="E90" s="6">
        <v>14.542857142857141</v>
      </c>
      <c r="F90" s="6">
        <v>12.999999999999998</v>
      </c>
      <c r="G90" s="6">
        <v>14.900000000000004</v>
      </c>
      <c r="H90" s="6">
        <v>10.72857142857143</v>
      </c>
      <c r="I90" s="6">
        <v>10.771428571428572</v>
      </c>
      <c r="J90" s="6">
        <v>12.8</v>
      </c>
      <c r="K90" s="6">
        <v>10.957142857142856</v>
      </c>
      <c r="L90" s="6">
        <v>7.3222222222222211</v>
      </c>
      <c r="M90" s="6">
        <v>9.257142857142858</v>
      </c>
      <c r="N90" s="6">
        <v>9.5857142857142854</v>
      </c>
      <c r="O90" s="6">
        <v>9.6714285714285726</v>
      </c>
      <c r="P90" s="6">
        <v>8.1571428571428566</v>
      </c>
      <c r="Q90" s="6">
        <v>7.0428571428571427</v>
      </c>
      <c r="R90" s="6">
        <v>8.4714285714285715</v>
      </c>
      <c r="S90" s="6">
        <v>10.057142857142859</v>
      </c>
      <c r="T90" s="6">
        <v>13.785714285714288</v>
      </c>
      <c r="U90" s="6">
        <v>13.028571428571428</v>
      </c>
      <c r="V90" s="6">
        <v>16.228571428571431</v>
      </c>
      <c r="W90" s="6">
        <v>17.8</v>
      </c>
      <c r="Y90" s="6">
        <f t="shared" si="8"/>
        <v>236.27936507936505</v>
      </c>
      <c r="Z90">
        <f t="shared" si="9"/>
        <v>-59.028256236153148</v>
      </c>
      <c r="AA90" s="6"/>
    </row>
    <row r="91" spans="1:27" x14ac:dyDescent="0.25">
      <c r="A91" t="s">
        <v>60</v>
      </c>
      <c r="D91" s="6">
        <v>15.528571428571428</v>
      </c>
      <c r="E91" s="6">
        <v>16.942857142857143</v>
      </c>
      <c r="F91" s="6">
        <v>14.785714285714286</v>
      </c>
      <c r="G91" s="6">
        <v>13.828571428571427</v>
      </c>
      <c r="H91" s="6">
        <v>10.200000000000001</v>
      </c>
      <c r="I91" s="6">
        <v>13.171428571428573</v>
      </c>
      <c r="J91" s="6">
        <v>12.114285714285714</v>
      </c>
      <c r="K91" s="6">
        <v>12.828571428571431</v>
      </c>
      <c r="L91" s="6">
        <v>11.887499999999999</v>
      </c>
      <c r="M91" s="6">
        <v>10.414285714285715</v>
      </c>
      <c r="N91" s="6">
        <v>11</v>
      </c>
      <c r="O91" s="6">
        <v>9.2571428571428562</v>
      </c>
      <c r="P91" s="6">
        <v>14.028571428571427</v>
      </c>
      <c r="Q91" s="6">
        <v>12.942857142857141</v>
      </c>
      <c r="R91" s="6">
        <v>12.085714285714285</v>
      </c>
      <c r="S91" s="6">
        <v>13.857142857142858</v>
      </c>
      <c r="T91" s="6">
        <v>15.042857142857143</v>
      </c>
      <c r="U91" s="6">
        <v>17.928571428571427</v>
      </c>
      <c r="V91" s="6">
        <v>13.9</v>
      </c>
      <c r="W91" s="6">
        <v>16.899999999999999</v>
      </c>
      <c r="Y91" s="6">
        <f t="shared" si="8"/>
        <v>268.64464285714291</v>
      </c>
      <c r="Z91">
        <f t="shared" si="9"/>
        <v>-66.005586724318334</v>
      </c>
      <c r="AA91" s="6"/>
    </row>
    <row r="92" spans="1:27" x14ac:dyDescent="0.25">
      <c r="A92" t="s">
        <v>61</v>
      </c>
      <c r="D92" s="6">
        <v>16.614285714285714</v>
      </c>
      <c r="E92" s="6">
        <v>16.642857142857142</v>
      </c>
      <c r="F92" s="6">
        <v>14.942857142857141</v>
      </c>
      <c r="G92" s="6">
        <v>14.385714285714284</v>
      </c>
      <c r="H92" s="6">
        <v>11.242857142857144</v>
      </c>
      <c r="I92" s="6">
        <v>12.514285714285714</v>
      </c>
      <c r="J92" s="6">
        <v>12.442857142857145</v>
      </c>
      <c r="K92" s="6">
        <v>10.142857142857142</v>
      </c>
      <c r="L92" s="6">
        <v>6.5777777777777784</v>
      </c>
      <c r="M92" s="6">
        <v>9.4142857142857146</v>
      </c>
      <c r="N92" s="6">
        <v>9.0571428571428569</v>
      </c>
      <c r="O92" s="6">
        <v>10.828571428571427</v>
      </c>
      <c r="P92" s="6">
        <v>7.7857142857142856</v>
      </c>
      <c r="Q92" s="6">
        <v>7.8285714285714283</v>
      </c>
      <c r="R92" s="6">
        <v>8.6714285714285726</v>
      </c>
      <c r="S92" s="6">
        <v>11.314285714285715</v>
      </c>
      <c r="T92" s="6">
        <v>13</v>
      </c>
      <c r="U92" s="6">
        <v>12.957142857142856</v>
      </c>
      <c r="V92" s="6">
        <v>14.214285714285714</v>
      </c>
      <c r="W92" s="6">
        <v>17.428571428571427</v>
      </c>
      <c r="Y92" s="6">
        <f t="shared" si="8"/>
        <v>238.0063492063492</v>
      </c>
      <c r="Z92">
        <f t="shared" si="9"/>
        <v>-57.709405442096411</v>
      </c>
      <c r="AA92" s="6"/>
    </row>
    <row r="93" spans="1:27" x14ac:dyDescent="0.25">
      <c r="A93" t="s">
        <v>62</v>
      </c>
      <c r="D93" s="6">
        <v>14.742857142857144</v>
      </c>
      <c r="E93" s="6">
        <v>13.428571428571429</v>
      </c>
      <c r="F93" s="6">
        <v>13.771428571428572</v>
      </c>
      <c r="G93" s="6">
        <v>12.685714285714287</v>
      </c>
      <c r="H93" s="6">
        <v>12.257142857142858</v>
      </c>
      <c r="I93" s="6">
        <v>12.457142857142857</v>
      </c>
      <c r="J93" s="6">
        <v>9.1999999999999993</v>
      </c>
      <c r="K93" s="6">
        <v>8.4857142857142858</v>
      </c>
      <c r="L93" s="6">
        <v>9.5249999999999986</v>
      </c>
      <c r="M93" s="6">
        <v>6.6571428571428584</v>
      </c>
      <c r="N93" s="6">
        <v>5.7999999999999989</v>
      </c>
      <c r="O93" s="6">
        <v>5.9714285714285698</v>
      </c>
      <c r="P93" s="6">
        <v>6.9142857142857128</v>
      </c>
      <c r="Q93" s="6">
        <v>7.6000000000000005</v>
      </c>
      <c r="R93" s="6">
        <v>12.62857142857143</v>
      </c>
      <c r="S93" s="6">
        <v>10.4</v>
      </c>
      <c r="T93" s="6">
        <v>15.4285714285714</v>
      </c>
      <c r="U93" s="6">
        <v>14.828571428571427</v>
      </c>
      <c r="V93" s="6">
        <v>13.428571428571429</v>
      </c>
      <c r="W93" s="6">
        <v>13.400000000000002</v>
      </c>
      <c r="Y93" s="6">
        <f t="shared" si="8"/>
        <v>219.61071428571424</v>
      </c>
      <c r="Z93">
        <f t="shared" si="9"/>
        <v>-52.601634904618152</v>
      </c>
      <c r="AA93" s="6"/>
    </row>
    <row r="94" spans="1:27" x14ac:dyDescent="0.25">
      <c r="A94" t="s">
        <v>63</v>
      </c>
      <c r="D94" s="6">
        <v>15.4</v>
      </c>
      <c r="E94" s="6">
        <v>14.4</v>
      </c>
      <c r="F94" s="6">
        <v>13.342857142857143</v>
      </c>
      <c r="G94" s="6">
        <v>13.171428571428569</v>
      </c>
      <c r="H94" s="6">
        <v>13.085714285714287</v>
      </c>
      <c r="I94" s="6">
        <v>10.214285714285714</v>
      </c>
      <c r="J94" s="6">
        <v>8.514285714285716</v>
      </c>
      <c r="K94" s="6">
        <v>9.0571428571428569</v>
      </c>
      <c r="L94" s="6">
        <v>9.125</v>
      </c>
      <c r="M94" s="6">
        <v>10.457142857142857</v>
      </c>
      <c r="N94" s="6">
        <v>8.6285714285714281</v>
      </c>
      <c r="O94" s="6">
        <v>11.757142857142858</v>
      </c>
      <c r="P94" s="6">
        <v>7.5714285714285721</v>
      </c>
      <c r="Q94" s="6">
        <v>12.114285714285714</v>
      </c>
      <c r="R94" s="6">
        <v>12.485714285714286</v>
      </c>
      <c r="S94" s="6">
        <v>13.942857142857141</v>
      </c>
      <c r="T94" s="6">
        <v>14.6</v>
      </c>
      <c r="U94" s="6">
        <v>15.314285714285715</v>
      </c>
      <c r="V94" s="6">
        <v>15.571428571428573</v>
      </c>
      <c r="W94" s="6">
        <v>16.628571428571426</v>
      </c>
      <c r="Y94" s="6">
        <f t="shared" si="8"/>
        <v>245.3821428571429</v>
      </c>
      <c r="Z94">
        <f t="shared" si="9"/>
        <v>-59.68064645414205</v>
      </c>
      <c r="AA94" s="6"/>
    </row>
    <row r="95" spans="1:27" x14ac:dyDescent="0.25">
      <c r="A95" t="s">
        <v>64</v>
      </c>
      <c r="D95" s="6">
        <v>17.914285714285715</v>
      </c>
      <c r="E95" s="6">
        <v>17.085714285714285</v>
      </c>
      <c r="F95" s="6">
        <v>16.728571428571428</v>
      </c>
      <c r="G95" s="6">
        <v>15.471428571428572</v>
      </c>
      <c r="H95" s="6">
        <v>12.814285714285715</v>
      </c>
      <c r="I95" s="6">
        <v>14.657142857142857</v>
      </c>
      <c r="J95" s="6">
        <v>10.999999999999998</v>
      </c>
      <c r="K95" s="6">
        <v>11.957142857142857</v>
      </c>
      <c r="L95" s="6">
        <v>12.671428571428573</v>
      </c>
      <c r="M95" s="6">
        <v>10.714285714285714</v>
      </c>
      <c r="N95" s="6">
        <v>8.8000000000000007</v>
      </c>
      <c r="O95" s="6">
        <v>10.128571428571428</v>
      </c>
      <c r="P95" s="6">
        <v>10.785714285714286</v>
      </c>
      <c r="Q95" s="6">
        <v>14.285714285714286</v>
      </c>
      <c r="R95" s="6">
        <v>14.37142857142857</v>
      </c>
      <c r="S95" s="6">
        <v>12.599999999999998</v>
      </c>
      <c r="T95" s="6">
        <v>16.028571428571428</v>
      </c>
      <c r="U95" s="6">
        <v>14.342857142857143</v>
      </c>
      <c r="V95" s="6">
        <v>15.314285714285717</v>
      </c>
      <c r="W95" s="6">
        <v>17.571428571428573</v>
      </c>
      <c r="Y95" s="6">
        <f t="shared" si="8"/>
        <v>275.24285714285713</v>
      </c>
      <c r="Z95">
        <f t="shared" si="9"/>
        <v>-66.215462897765107</v>
      </c>
      <c r="AA95" s="6"/>
    </row>
    <row r="96" spans="1:27" x14ac:dyDescent="0.25">
      <c r="A96" t="s">
        <v>65</v>
      </c>
      <c r="D96" s="6">
        <v>16.8</v>
      </c>
      <c r="E96" s="6">
        <v>16.485714285714288</v>
      </c>
      <c r="F96" s="6">
        <v>13.971428571428572</v>
      </c>
      <c r="G96" s="6">
        <v>11.285714285714286</v>
      </c>
      <c r="H96" s="6">
        <v>12.400000000000002</v>
      </c>
      <c r="I96" s="6">
        <v>11.514285714285714</v>
      </c>
      <c r="J96" s="6">
        <v>11.342857142857145</v>
      </c>
      <c r="K96" s="6">
        <v>10.314285714285715</v>
      </c>
      <c r="L96" s="6">
        <v>11.15</v>
      </c>
      <c r="M96" s="6">
        <v>9.8571428571428577</v>
      </c>
      <c r="N96" s="6">
        <v>11</v>
      </c>
      <c r="O96" s="6">
        <v>9.3571428571428577</v>
      </c>
      <c r="P96" s="6">
        <v>6.3571428571428568</v>
      </c>
      <c r="Q96" s="6">
        <v>6.0857142857142872</v>
      </c>
      <c r="R96" s="6">
        <v>5.1571428571428575</v>
      </c>
      <c r="S96" s="6">
        <v>6.9571428571428573</v>
      </c>
      <c r="T96" s="6">
        <v>10.914285714285713</v>
      </c>
      <c r="U96" s="6">
        <v>10.899999999999999</v>
      </c>
      <c r="V96" s="6">
        <v>14.885714285714286</v>
      </c>
      <c r="W96" s="6">
        <v>17.600000000000001</v>
      </c>
      <c r="Y96" s="6">
        <f t="shared" si="8"/>
        <v>224.33571428571432</v>
      </c>
      <c r="Z96">
        <f t="shared" si="9"/>
        <v>-55.640865757101629</v>
      </c>
      <c r="AA96" s="6"/>
    </row>
    <row r="97" spans="1:27" x14ac:dyDescent="0.25">
      <c r="A97" t="s">
        <v>66</v>
      </c>
      <c r="D97" s="6">
        <v>16.857142857142858</v>
      </c>
      <c r="E97" s="6">
        <v>15.757142857142856</v>
      </c>
      <c r="F97" s="6">
        <v>15.085714285714285</v>
      </c>
      <c r="G97" s="6">
        <v>12.514285714285714</v>
      </c>
      <c r="H97" s="6">
        <v>12.028571428571428</v>
      </c>
      <c r="I97" s="6">
        <v>17.785714285714285</v>
      </c>
      <c r="J97" s="6">
        <v>15.857142857142858</v>
      </c>
      <c r="K97" s="6">
        <v>16.085714285714285</v>
      </c>
      <c r="L97" s="6">
        <v>8.7125000000000004</v>
      </c>
      <c r="M97" s="6">
        <v>8.8285714285714292</v>
      </c>
      <c r="N97" s="6">
        <v>11.757142857142856</v>
      </c>
      <c r="O97" s="6">
        <v>15.071428571428571</v>
      </c>
      <c r="P97" s="6">
        <v>10.828571428571427</v>
      </c>
      <c r="Q97" s="6">
        <v>9.3428571428571434</v>
      </c>
      <c r="R97" s="6">
        <v>11.671428571428573</v>
      </c>
      <c r="S97" s="6">
        <v>13.314285714285715</v>
      </c>
      <c r="T97" s="6">
        <v>13.585714285714285</v>
      </c>
      <c r="U97" s="6">
        <v>15.5</v>
      </c>
      <c r="V97" s="6">
        <v>14.571428571428569</v>
      </c>
      <c r="W97" s="6">
        <v>15.057142857142859</v>
      </c>
      <c r="Y97" s="6">
        <f t="shared" si="8"/>
        <v>270.21250000000009</v>
      </c>
      <c r="Z97">
        <f t="shared" si="9"/>
        <v>-68.443982095689606</v>
      </c>
      <c r="AA97" s="6"/>
    </row>
    <row r="98" spans="1:27" x14ac:dyDescent="0.25">
      <c r="A98" t="s">
        <v>67</v>
      </c>
      <c r="D98" s="6">
        <v>15.1</v>
      </c>
      <c r="E98" s="6">
        <v>14.9</v>
      </c>
      <c r="F98" s="6">
        <v>14.700000000000001</v>
      </c>
      <c r="G98" s="6">
        <v>8.8714285714285719</v>
      </c>
      <c r="H98" s="6">
        <v>9.4714285714285715</v>
      </c>
      <c r="I98" s="6">
        <v>9.7142857142857135</v>
      </c>
      <c r="J98" s="6">
        <v>9.3714285714285701</v>
      </c>
      <c r="K98" s="6">
        <v>11.271428571428572</v>
      </c>
      <c r="L98" s="6">
        <v>6.3250000000000002</v>
      </c>
      <c r="M98" s="6">
        <v>9.4775510204081659</v>
      </c>
      <c r="N98" s="6">
        <v>9.4346938775510178</v>
      </c>
      <c r="O98" s="6">
        <v>10.338775510204082</v>
      </c>
      <c r="P98" s="6">
        <v>9.1816326530612233</v>
      </c>
      <c r="Q98" s="6">
        <v>10.028571428571428</v>
      </c>
      <c r="R98" s="6">
        <v>11.010204081632654</v>
      </c>
      <c r="S98" s="6">
        <v>11.769387755102041</v>
      </c>
      <c r="T98" s="6">
        <v>14.085714285714284</v>
      </c>
      <c r="U98" s="6">
        <v>14.538775510204081</v>
      </c>
      <c r="V98" s="6">
        <v>17.428571428571427</v>
      </c>
      <c r="W98" s="6">
        <v>18.157142857142858</v>
      </c>
      <c r="Y98" s="6">
        <f t="shared" si="8"/>
        <v>235.17602040816325</v>
      </c>
      <c r="Z98">
        <f t="shared" si="9"/>
        <v>-56.665164185513447</v>
      </c>
      <c r="AA98" s="6"/>
    </row>
    <row r="99" spans="1:27" x14ac:dyDescent="0.25">
      <c r="A99" t="s">
        <v>68</v>
      </c>
      <c r="D99" s="6">
        <v>17.928571428571427</v>
      </c>
      <c r="E99" s="6">
        <v>19.085714285714285</v>
      </c>
      <c r="F99" s="6">
        <v>14.214285714285714</v>
      </c>
      <c r="G99" s="6">
        <v>12.2</v>
      </c>
      <c r="H99" s="6">
        <v>10.414285714285715</v>
      </c>
      <c r="I99" s="6">
        <v>10.071428571428571</v>
      </c>
      <c r="J99" s="6">
        <v>8.2857142857142865</v>
      </c>
      <c r="K99" s="6">
        <v>9.9571428571428573</v>
      </c>
      <c r="L99" s="6">
        <v>10</v>
      </c>
      <c r="M99" s="6">
        <v>5.4571428571428573</v>
      </c>
      <c r="N99" s="6">
        <v>7.9142857142857137</v>
      </c>
      <c r="O99" s="6">
        <v>8</v>
      </c>
      <c r="P99" s="6">
        <v>9.9714285714285715</v>
      </c>
      <c r="Q99" s="6">
        <v>11.057142857142859</v>
      </c>
      <c r="R99" s="6">
        <v>12.114285714285716</v>
      </c>
      <c r="S99" s="6">
        <v>13.7</v>
      </c>
      <c r="T99" s="6">
        <v>11.6</v>
      </c>
      <c r="U99" s="6">
        <v>14.799999999999999</v>
      </c>
      <c r="V99" s="6">
        <v>14.542857142857144</v>
      </c>
      <c r="W99" s="6">
        <v>15.62857142857143</v>
      </c>
      <c r="Y99" s="6">
        <f>SUM(D99:W99)</f>
        <v>236.94285714285712</v>
      </c>
      <c r="Z99">
        <f t="shared" si="9"/>
        <v>-55.284700309911351</v>
      </c>
      <c r="AA99" s="6"/>
    </row>
    <row r="100" spans="1:27" x14ac:dyDescent="0.25">
      <c r="A100" t="s">
        <v>69</v>
      </c>
      <c r="D100" s="6">
        <v>15.885714285714286</v>
      </c>
      <c r="E100" s="6">
        <v>15.728571428571428</v>
      </c>
      <c r="F100" s="6">
        <v>14.214285714285714</v>
      </c>
      <c r="G100" s="6">
        <v>11.957142857142857</v>
      </c>
      <c r="H100" s="6">
        <v>13.27142857142857</v>
      </c>
      <c r="I100" s="6">
        <v>12.22857142857143</v>
      </c>
      <c r="J100" s="6">
        <v>4.9428571428571431</v>
      </c>
      <c r="K100" s="6">
        <v>7.0142857142857133</v>
      </c>
      <c r="L100" s="6">
        <v>6.0874999999999995</v>
      </c>
      <c r="M100" s="6">
        <v>8.778425655976676</v>
      </c>
      <c r="N100" s="6">
        <v>9.0478134110787156</v>
      </c>
      <c r="O100" s="6">
        <v>10.089212827988336</v>
      </c>
      <c r="P100" s="6">
        <v>8.80145772594752</v>
      </c>
      <c r="Q100" s="6">
        <v>10.073469387755102</v>
      </c>
      <c r="R100" s="6">
        <v>5.9285714285714297</v>
      </c>
      <c r="S100" s="6">
        <v>10.942857142857141</v>
      </c>
      <c r="T100" s="6">
        <v>11.642857142857142</v>
      </c>
      <c r="U100" s="6">
        <v>11.742857142857144</v>
      </c>
      <c r="V100" s="6">
        <v>12.214285714285714</v>
      </c>
      <c r="W100" s="6">
        <v>12.314285714285715</v>
      </c>
      <c r="Y100" s="6">
        <f t="shared" si="8"/>
        <v>212.9064504373178</v>
      </c>
      <c r="Z100">
        <f t="shared" si="9"/>
        <v>-50.921648273821177</v>
      </c>
    </row>
    <row r="101" spans="1:27" x14ac:dyDescent="0.25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Y101" s="6"/>
    </row>
    <row r="102" spans="1:27" x14ac:dyDescent="0.25">
      <c r="A102" t="s">
        <v>70</v>
      </c>
      <c r="D102" s="6">
        <v>13.671428571428573</v>
      </c>
      <c r="E102" s="6">
        <v>13.457142857142857</v>
      </c>
      <c r="F102" s="6">
        <v>14.757142857142856</v>
      </c>
      <c r="G102" s="6">
        <v>13.414285714285713</v>
      </c>
      <c r="H102" s="6">
        <v>12.914285714285715</v>
      </c>
      <c r="I102" s="6">
        <v>14.185714285714285</v>
      </c>
      <c r="J102" s="6">
        <v>12.857142857142858</v>
      </c>
      <c r="K102" s="6">
        <v>12.385714285714286</v>
      </c>
      <c r="L102" s="6">
        <v>8.6999999999999993</v>
      </c>
      <c r="M102" s="6">
        <v>8.778425655976676</v>
      </c>
      <c r="N102" s="6">
        <v>9.0478134110787156</v>
      </c>
      <c r="O102" s="6">
        <v>10.089212827988336</v>
      </c>
      <c r="P102" s="6">
        <v>8.80145772594752</v>
      </c>
      <c r="Q102" s="6">
        <v>10.073469387755102</v>
      </c>
      <c r="R102" s="6">
        <v>10.670918367346939</v>
      </c>
      <c r="S102" s="6">
        <v>11.703316326530611</v>
      </c>
      <c r="T102" s="6">
        <v>13.48571428571428</v>
      </c>
      <c r="U102" s="6">
        <v>13.995918367346938</v>
      </c>
      <c r="V102" s="6">
        <v>14.744642857142857</v>
      </c>
      <c r="W102" s="6">
        <v>15.794642857142859</v>
      </c>
      <c r="Y102" s="6">
        <f t="shared" si="8"/>
        <v>243.52838921282799</v>
      </c>
      <c r="Z102">
        <f>SUMPRODUCT($D$106:$W$106,D102:W102)</f>
        <v>-60.682298998725173</v>
      </c>
    </row>
    <row r="103" spans="1:27" x14ac:dyDescent="0.25">
      <c r="A103" t="s">
        <v>313</v>
      </c>
      <c r="D103" s="4">
        <v>19</v>
      </c>
      <c r="E103" s="4">
        <v>17.62857142857143</v>
      </c>
      <c r="F103" s="4">
        <v>12.528571428571428</v>
      </c>
      <c r="G103" s="4">
        <v>12.357142857142858</v>
      </c>
      <c r="H103" s="4">
        <v>14.285714285714286</v>
      </c>
      <c r="I103" s="4">
        <v>13.214285714285714</v>
      </c>
      <c r="J103" s="4">
        <v>13.285714285714286</v>
      </c>
      <c r="K103" s="4">
        <v>6.8571428571428568</v>
      </c>
      <c r="L103" s="4">
        <v>8.5125000000000011</v>
      </c>
      <c r="M103" s="4">
        <v>9.2999999999999989</v>
      </c>
      <c r="N103" s="4">
        <v>7.2142857142857144</v>
      </c>
      <c r="O103" s="6">
        <v>8</v>
      </c>
      <c r="P103" s="6">
        <v>9.6</v>
      </c>
      <c r="Q103" s="6">
        <v>10.5</v>
      </c>
      <c r="R103" s="6">
        <v>11.1</v>
      </c>
      <c r="S103" s="6">
        <v>6.6</v>
      </c>
      <c r="T103" s="6">
        <v>13.4</v>
      </c>
      <c r="U103" s="6">
        <v>13.2</v>
      </c>
      <c r="V103" s="6">
        <v>12.4</v>
      </c>
      <c r="W103" s="6">
        <v>13</v>
      </c>
      <c r="Y103" s="6">
        <f t="shared" si="8"/>
        <v>231.98392857142858</v>
      </c>
      <c r="Z103">
        <f>SUMPRODUCT($D$106:$W$106,D103:W103)</f>
        <v>-54.779269767559427</v>
      </c>
    </row>
    <row r="104" spans="1:27" x14ac:dyDescent="0.25">
      <c r="A104" t="s">
        <v>314</v>
      </c>
      <c r="D104" s="6">
        <v>21.142857142857142</v>
      </c>
      <c r="E104" s="6">
        <v>16.357142857142858</v>
      </c>
      <c r="F104" s="6">
        <v>15.071428571428571</v>
      </c>
      <c r="G104" s="6">
        <v>14.214285714285714</v>
      </c>
      <c r="H104" s="6">
        <v>13.728571428571428</v>
      </c>
      <c r="I104" s="6">
        <v>12.799999999999999</v>
      </c>
      <c r="J104" s="6">
        <v>9.2142857142857135</v>
      </c>
      <c r="K104" s="4">
        <v>10.3</v>
      </c>
      <c r="L104" s="4">
        <v>8.4</v>
      </c>
      <c r="M104" s="4">
        <v>9</v>
      </c>
      <c r="N104" s="4">
        <v>8.5</v>
      </c>
      <c r="O104" s="6">
        <v>9.6</v>
      </c>
      <c r="P104" s="6">
        <v>9.0678004535147387</v>
      </c>
      <c r="Q104" s="6">
        <v>9.6968253968253961</v>
      </c>
      <c r="R104" s="6">
        <v>10.7281179138322</v>
      </c>
      <c r="S104" s="6">
        <v>11.579138321995465</v>
      </c>
      <c r="T104" s="6">
        <v>14.05238095238095</v>
      </c>
      <c r="U104" s="6">
        <v>14.370975056689341</v>
      </c>
      <c r="V104" s="6">
        <v>15.06031746031746</v>
      </c>
      <c r="W104" s="6">
        <v>16.726984126984128</v>
      </c>
      <c r="Y104" s="6">
        <f t="shared" si="8"/>
        <v>249.61111111111106</v>
      </c>
      <c r="Z104">
        <f>SUMPRODUCT($D$106:$W$106,D104:W104)</f>
        <v>-59.861400332692597</v>
      </c>
    </row>
    <row r="105" spans="1:27" x14ac:dyDescent="0.25">
      <c r="A105" t="s">
        <v>658</v>
      </c>
      <c r="D105" s="19">
        <v>18.099999999999998</v>
      </c>
      <c r="E105" s="19">
        <v>16.600000000000001</v>
      </c>
      <c r="F105" s="19">
        <v>16.471428571428572</v>
      </c>
      <c r="G105" s="19">
        <v>15.585714285714285</v>
      </c>
      <c r="H105" s="19">
        <v>13.885714285714286</v>
      </c>
      <c r="I105" s="20">
        <v>12.3</v>
      </c>
      <c r="J105" s="17">
        <v>10.307142857142859</v>
      </c>
      <c r="K105" s="17">
        <v>10.711428571428574</v>
      </c>
      <c r="L105" s="17">
        <v>9.2061706349206354</v>
      </c>
      <c r="M105" s="17">
        <v>9.0055976676384866</v>
      </c>
      <c r="N105" s="4">
        <v>9.3000000000000007</v>
      </c>
      <c r="O105" s="6">
        <v>10.1</v>
      </c>
      <c r="P105" s="6">
        <v>9.4171428571428564</v>
      </c>
      <c r="Q105" s="6">
        <v>10.954285714285714</v>
      </c>
      <c r="R105" s="6">
        <v>11.010204081632654</v>
      </c>
      <c r="S105" s="6">
        <v>11.769387755102041</v>
      </c>
      <c r="T105" s="6">
        <v>13.65535714285714</v>
      </c>
      <c r="U105" s="6">
        <v>14.147704081632652</v>
      </c>
      <c r="V105" s="6">
        <v>14.994642857142857</v>
      </c>
      <c r="W105" s="6">
        <v>16.433928571428574</v>
      </c>
      <c r="Y105" s="6">
        <f t="shared" ref="Y105" si="10">SUM(D105:W105)</f>
        <v>253.95584993521214</v>
      </c>
      <c r="Z105">
        <f>SUMPRODUCT($D$106:$W$106,D105:W105)</f>
        <v>-61.315338084622162</v>
      </c>
    </row>
    <row r="106" spans="1:27" x14ac:dyDescent="0.25">
      <c r="A106" s="2" t="s">
        <v>71</v>
      </c>
      <c r="D106" s="3">
        <f>CORREL($B$2:$B$28,D74:D100)</f>
        <v>-0.18758529277400515</v>
      </c>
      <c r="E106" s="3">
        <f t="shared" ref="E106:W106" si="11">CORREL($B$2:$B$28,E74:E100)</f>
        <v>8.0431984765694478E-2</v>
      </c>
      <c r="F106" s="3">
        <f t="shared" si="11"/>
        <v>-2.4411067671722517E-3</v>
      </c>
      <c r="G106" s="3">
        <f t="shared" si="11"/>
        <v>-0.37221009049767528</v>
      </c>
      <c r="H106" s="3">
        <f t="shared" si="11"/>
        <v>-0.28079432603899729</v>
      </c>
      <c r="I106" s="3">
        <f t="shared" si="11"/>
        <v>-0.26529904070828714</v>
      </c>
      <c r="J106" s="3">
        <f t="shared" si="11"/>
        <v>-0.35698753799100869</v>
      </c>
      <c r="K106" s="3">
        <f t="shared" si="11"/>
        <v>-0.3879922206801138</v>
      </c>
      <c r="L106" s="3">
        <f t="shared" si="11"/>
        <v>-0.37998439646120252</v>
      </c>
      <c r="M106" s="3">
        <f t="shared" si="11"/>
        <v>-0.18402364111817951</v>
      </c>
      <c r="N106" s="3">
        <f t="shared" si="11"/>
        <v>-0.5529660070131589</v>
      </c>
      <c r="O106" s="3">
        <f t="shared" si="11"/>
        <v>-0.36177125821170109</v>
      </c>
      <c r="P106" s="3">
        <f t="shared" si="11"/>
        <v>-0.28825431101393933</v>
      </c>
      <c r="Q106" s="3">
        <f t="shared" si="11"/>
        <v>-0.17453154935170775</v>
      </c>
      <c r="R106" s="3">
        <f t="shared" si="11"/>
        <v>-7.0514422126125631E-2</v>
      </c>
      <c r="S106" s="3">
        <f t="shared" si="11"/>
        <v>-0.27504504588877832</v>
      </c>
      <c r="T106" s="3">
        <f t="shared" si="11"/>
        <v>-0.34774477559237837</v>
      </c>
      <c r="U106" s="3">
        <f t="shared" si="11"/>
        <v>-0.21537283178888977</v>
      </c>
      <c r="V106" s="3">
        <f t="shared" si="11"/>
        <v>-0.37410409024600089</v>
      </c>
      <c r="W106" s="3">
        <f t="shared" si="11"/>
        <v>-0.14720707642196987</v>
      </c>
      <c r="X106" s="3"/>
    </row>
    <row r="107" spans="1:27" x14ac:dyDescent="0.25">
      <c r="P107" s="6"/>
      <c r="Q107" s="6"/>
      <c r="R107" s="6"/>
      <c r="S107" s="6"/>
      <c r="T107" s="6"/>
      <c r="U107" s="6"/>
      <c r="V107" s="6"/>
      <c r="W107" s="6"/>
    </row>
    <row r="108" spans="1:27" x14ac:dyDescent="0.25">
      <c r="P108" s="6"/>
      <c r="Q108" s="6"/>
      <c r="R108" s="6"/>
      <c r="S108" s="6"/>
      <c r="T108" s="6"/>
      <c r="U108" s="6"/>
      <c r="V108" s="6"/>
      <c r="W108" s="6"/>
    </row>
    <row r="109" spans="1:27" x14ac:dyDescent="0.25"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318</v>
      </c>
      <c r="M109" t="s">
        <v>352</v>
      </c>
      <c r="N109" t="s">
        <v>353</v>
      </c>
      <c r="O109" t="s">
        <v>354</v>
      </c>
      <c r="P109" s="6" t="s">
        <v>446</v>
      </c>
      <c r="Q109" s="6" t="s">
        <v>447</v>
      </c>
      <c r="R109" s="6" t="s">
        <v>448</v>
      </c>
      <c r="S109" s="6" t="s">
        <v>449</v>
      </c>
      <c r="T109" s="6" t="s">
        <v>558</v>
      </c>
      <c r="U109" s="6" t="s">
        <v>559</v>
      </c>
      <c r="V109" s="6" t="s">
        <v>560</v>
      </c>
      <c r="W109" s="6" t="s">
        <v>561</v>
      </c>
      <c r="Y109" t="s">
        <v>92</v>
      </c>
      <c r="Z109" t="s">
        <v>93</v>
      </c>
    </row>
    <row r="110" spans="1:27" x14ac:dyDescent="0.25">
      <c r="A110" t="s">
        <v>43</v>
      </c>
      <c r="D110" s="6">
        <v>62.0065825916435</v>
      </c>
      <c r="E110" s="6">
        <v>66.090434236910809</v>
      </c>
      <c r="F110" s="6">
        <v>56.720280161268775</v>
      </c>
      <c r="G110" s="6">
        <v>66.853252562866189</v>
      </c>
      <c r="H110" s="6">
        <v>64.76133353293487</v>
      </c>
      <c r="I110" s="6">
        <v>64.432497665347256</v>
      </c>
      <c r="J110" s="6">
        <v>67.971625629250383</v>
      </c>
      <c r="K110" s="6">
        <v>72.136265236263512</v>
      </c>
      <c r="L110" s="6">
        <v>68.906007686482639</v>
      </c>
      <c r="M110" s="6">
        <v>51.038136481147617</v>
      </c>
      <c r="N110" s="6">
        <v>47.859062436037682</v>
      </c>
      <c r="O110" s="6">
        <v>73.59051988021254</v>
      </c>
      <c r="P110" s="6">
        <v>59.082352576404368</v>
      </c>
      <c r="Q110" s="6">
        <v>60.392054881489891</v>
      </c>
      <c r="R110" s="6">
        <v>54.753907253783112</v>
      </c>
      <c r="S110" s="6">
        <v>57.087186090636337</v>
      </c>
      <c r="T110" s="6">
        <v>50.150133644848083</v>
      </c>
      <c r="U110" s="6">
        <v>34.356218709380862</v>
      </c>
      <c r="V110" s="6">
        <v>50.637387670903841</v>
      </c>
      <c r="W110" s="6">
        <v>50.973697297222209</v>
      </c>
      <c r="Y110" s="6">
        <f t="shared" ref="Y110:Y140" si="12">SUM(D110:W110)</f>
        <v>1179.7989362250346</v>
      </c>
      <c r="Z110">
        <f t="shared" ref="Z110:Z136" si="13">SUMPRODUCT($D$142:$W$142,D110:W110)</f>
        <v>258.42092964165988</v>
      </c>
    </row>
    <row r="111" spans="1:27" x14ac:dyDescent="0.25">
      <c r="A111" t="s">
        <v>44</v>
      </c>
      <c r="D111" s="6">
        <v>42.716361163761903</v>
      </c>
      <c r="E111" s="6">
        <v>44.561562979196069</v>
      </c>
      <c r="F111" s="6">
        <v>70.645089073221612</v>
      </c>
      <c r="G111" s="6">
        <v>50.987436044375343</v>
      </c>
      <c r="H111" s="6">
        <v>50.365708783766031</v>
      </c>
      <c r="I111" s="6">
        <v>52.383105098244656</v>
      </c>
      <c r="J111" s="6">
        <v>60.532892293782673</v>
      </c>
      <c r="K111" s="6">
        <v>39.771675948415229</v>
      </c>
      <c r="L111" s="6">
        <v>61.173880406658149</v>
      </c>
      <c r="M111" s="6">
        <v>58.959680713958086</v>
      </c>
      <c r="N111" s="6">
        <v>85.810306053196427</v>
      </c>
      <c r="O111" s="6">
        <v>69.151872114693248</v>
      </c>
      <c r="P111" s="6">
        <v>59.517328408339608</v>
      </c>
      <c r="Q111" s="6">
        <v>64.019498663082132</v>
      </c>
      <c r="R111" s="6">
        <v>61.071004657250064</v>
      </c>
      <c r="S111" s="6">
        <v>63.509456163209968</v>
      </c>
      <c r="T111" s="6">
        <v>60.33380331829408</v>
      </c>
      <c r="U111" s="6">
        <v>52.645949195483681</v>
      </c>
      <c r="V111" s="6">
        <v>57.190630439182783</v>
      </c>
      <c r="W111" s="6">
        <v>72.522616299879047</v>
      </c>
      <c r="Y111" s="6">
        <f t="shared" si="12"/>
        <v>1177.8698578179906</v>
      </c>
      <c r="Z111">
        <f t="shared" si="13"/>
        <v>253.21690938485517</v>
      </c>
    </row>
    <row r="112" spans="1:27" x14ac:dyDescent="0.25">
      <c r="A112" t="s">
        <v>45</v>
      </c>
      <c r="D112" s="6">
        <v>40.589789648190148</v>
      </c>
      <c r="E112" s="6">
        <v>37.473462652543823</v>
      </c>
      <c r="F112" s="6">
        <v>37.166570647069889</v>
      </c>
      <c r="G112" s="6">
        <v>53.163063745209385</v>
      </c>
      <c r="H112" s="6">
        <v>64.099988195886183</v>
      </c>
      <c r="I112" s="6">
        <v>48.298304540699228</v>
      </c>
      <c r="J112" s="6">
        <v>76.485514237295618</v>
      </c>
      <c r="K112" s="6">
        <v>67.192780217275441</v>
      </c>
      <c r="L112" s="6">
        <v>64.055861332873278</v>
      </c>
      <c r="M112" s="6">
        <v>61.598185080335078</v>
      </c>
      <c r="N112" s="6">
        <v>62.965864580920318</v>
      </c>
      <c r="O112" s="6">
        <v>53.551021530748095</v>
      </c>
      <c r="P112" s="6">
        <v>50.822379239312809</v>
      </c>
      <c r="Q112" s="6">
        <v>38.704930884519399</v>
      </c>
      <c r="R112" s="6">
        <v>61.079121630359388</v>
      </c>
      <c r="S112" s="6">
        <v>51.258729777436947</v>
      </c>
      <c r="T112" s="6">
        <v>50.558387775699451</v>
      </c>
      <c r="U112" s="6">
        <v>59.346157191854623</v>
      </c>
      <c r="V112" s="6">
        <v>68.215863644828133</v>
      </c>
      <c r="W112" s="6">
        <v>67.14774062611589</v>
      </c>
      <c r="Y112" s="6">
        <f t="shared" si="12"/>
        <v>1113.7737171791732</v>
      </c>
      <c r="Z112">
        <f t="shared" si="13"/>
        <v>227.00011729753271</v>
      </c>
    </row>
    <row r="113" spans="1:27" x14ac:dyDescent="0.25">
      <c r="A113" t="s">
        <v>46</v>
      </c>
      <c r="D113" s="6">
        <v>58.337161486903824</v>
      </c>
      <c r="E113" s="6">
        <v>52.514216740381713</v>
      </c>
      <c r="F113" s="6">
        <v>57.302010977490696</v>
      </c>
      <c r="G113" s="6">
        <v>58.468441098191384</v>
      </c>
      <c r="H113" s="6">
        <v>53.305416769622916</v>
      </c>
      <c r="I113" s="6">
        <v>65.357676694781034</v>
      </c>
      <c r="J113" s="6">
        <v>64.688545095590271</v>
      </c>
      <c r="K113" s="6">
        <v>74.28605666332875</v>
      </c>
      <c r="L113" s="6">
        <v>72.626153694755601</v>
      </c>
      <c r="M113" s="6">
        <v>69.045713058035616</v>
      </c>
      <c r="N113" s="6">
        <v>72.954147669026923</v>
      </c>
      <c r="O113" s="6">
        <v>69.110998247844947</v>
      </c>
      <c r="P113" s="6">
        <v>60.447715703642572</v>
      </c>
      <c r="Q113" s="6">
        <v>69.22378913961235</v>
      </c>
      <c r="R113" s="6">
        <v>55.391984759031295</v>
      </c>
      <c r="S113" s="6">
        <v>73.43508609160854</v>
      </c>
      <c r="T113" s="6">
        <v>58.125305941706735</v>
      </c>
      <c r="U113" s="6">
        <v>59.928149918101965</v>
      </c>
      <c r="V113" s="6">
        <v>46.474219980445795</v>
      </c>
      <c r="W113" s="6">
        <v>49.773561401406646</v>
      </c>
      <c r="Y113" s="6">
        <f t="shared" si="12"/>
        <v>1240.7963511315095</v>
      </c>
      <c r="Z113">
        <f t="shared" si="13"/>
        <v>272.32252671793509</v>
      </c>
    </row>
    <row r="114" spans="1:27" x14ac:dyDescent="0.25">
      <c r="A114" t="s">
        <v>47</v>
      </c>
      <c r="D114" s="6">
        <v>61.089928792548186</v>
      </c>
      <c r="E114" s="6">
        <v>60.482698363753116</v>
      </c>
      <c r="F114" s="6">
        <v>58.620689383253094</v>
      </c>
      <c r="G114" s="6">
        <v>73.410623932299202</v>
      </c>
      <c r="H114" s="6">
        <v>50.425354726352047</v>
      </c>
      <c r="I114" s="6">
        <v>71.662660429062313</v>
      </c>
      <c r="J114" s="6">
        <v>69.947239758712286</v>
      </c>
      <c r="K114" s="6">
        <v>75.824929899580312</v>
      </c>
      <c r="L114" s="6">
        <v>77.171582472856301</v>
      </c>
      <c r="M114" s="6">
        <v>71.383936101847766</v>
      </c>
      <c r="N114" s="6">
        <v>71.4354905516428</v>
      </c>
      <c r="O114" s="6">
        <v>72.1035727690914</v>
      </c>
      <c r="P114" s="6">
        <v>77.058128638096292</v>
      </c>
      <c r="Q114" s="6">
        <v>55.332568849756342</v>
      </c>
      <c r="R114" s="6">
        <v>65.564134848322809</v>
      </c>
      <c r="S114" s="6">
        <v>65.687529655506381</v>
      </c>
      <c r="T114" s="6">
        <v>87.526713279723111</v>
      </c>
      <c r="U114" s="6">
        <v>83.020713353542646</v>
      </c>
      <c r="V114" s="6">
        <v>78.851838994039284</v>
      </c>
      <c r="W114" s="6">
        <v>74.808767019070729</v>
      </c>
      <c r="Y114" s="6">
        <f t="shared" si="12"/>
        <v>1401.4091018190563</v>
      </c>
      <c r="Z114">
        <f t="shared" si="13"/>
        <v>309.3728281119017</v>
      </c>
    </row>
    <row r="115" spans="1:27" x14ac:dyDescent="0.25">
      <c r="A115" t="s">
        <v>48</v>
      </c>
      <c r="D115" s="6">
        <v>71.792902889009667</v>
      </c>
      <c r="E115" s="6">
        <v>80.36425791232773</v>
      </c>
      <c r="F115" s="6">
        <v>82.591559279111294</v>
      </c>
      <c r="G115" s="6">
        <v>84.392391315208812</v>
      </c>
      <c r="H115" s="6">
        <v>92.067916468059806</v>
      </c>
      <c r="I115" s="6">
        <v>80.684848039143546</v>
      </c>
      <c r="J115" s="6">
        <v>90.400633244433592</v>
      </c>
      <c r="K115" s="6">
        <v>92.676130950669744</v>
      </c>
      <c r="L115" s="6">
        <v>86.200146195179926</v>
      </c>
      <c r="M115" s="6">
        <v>71.933737701702299</v>
      </c>
      <c r="N115" s="6">
        <v>68.442816873178074</v>
      </c>
      <c r="O115" s="6">
        <v>64.693242685244442</v>
      </c>
      <c r="P115" s="6">
        <v>82.591732481741317</v>
      </c>
      <c r="Q115" s="6">
        <v>95.128570362001597</v>
      </c>
      <c r="R115" s="6">
        <v>70.73784782582166</v>
      </c>
      <c r="S115" s="6">
        <v>49.696438253281713</v>
      </c>
      <c r="T115" s="6">
        <v>47.017357531682045</v>
      </c>
      <c r="U115" s="6">
        <v>60.526962878848046</v>
      </c>
      <c r="V115" s="6">
        <v>55.979630833448013</v>
      </c>
      <c r="W115" s="6">
        <v>56.570635756251654</v>
      </c>
      <c r="Y115" s="6">
        <f t="shared" si="12"/>
        <v>1484.4897594763454</v>
      </c>
      <c r="Z115">
        <f t="shared" si="13"/>
        <v>309.20750151809864</v>
      </c>
    </row>
    <row r="116" spans="1:27" x14ac:dyDescent="0.25">
      <c r="A116" t="s">
        <v>49</v>
      </c>
      <c r="D116" s="6">
        <v>53.666152387886214</v>
      </c>
      <c r="E116" s="6">
        <v>63.991743108895072</v>
      </c>
      <c r="F116" s="6">
        <v>67.847899191368086</v>
      </c>
      <c r="G116" s="6">
        <v>73.041055701571366</v>
      </c>
      <c r="H116" s="6">
        <v>67.504615140731559</v>
      </c>
      <c r="I116" s="6">
        <v>75.858937206232525</v>
      </c>
      <c r="J116" s="6">
        <v>74.148782208185949</v>
      </c>
      <c r="K116" s="6">
        <v>75.025189880878173</v>
      </c>
      <c r="L116" s="6">
        <v>78.386854875880729</v>
      </c>
      <c r="M116" s="6">
        <v>71.877559531482689</v>
      </c>
      <c r="N116" s="6">
        <v>75.88070808040284</v>
      </c>
      <c r="O116" s="6">
        <v>67.470777215822949</v>
      </c>
      <c r="P116" s="6">
        <v>77.773055759511379</v>
      </c>
      <c r="Q116" s="6">
        <v>89.466965526910158</v>
      </c>
      <c r="R116" s="6">
        <v>88.154609355413413</v>
      </c>
      <c r="S116" s="6">
        <v>75.814520765911837</v>
      </c>
      <c r="T116" s="6">
        <v>66.111973828651244</v>
      </c>
      <c r="U116" s="6">
        <v>64.79664215031903</v>
      </c>
      <c r="V116" s="6">
        <v>72.291626274210429</v>
      </c>
      <c r="W116" s="6">
        <v>60.884889636401056</v>
      </c>
      <c r="Y116" s="6">
        <f t="shared" si="12"/>
        <v>1439.9945578266668</v>
      </c>
      <c r="Z116">
        <f t="shared" si="13"/>
        <v>312.35048989701068</v>
      </c>
    </row>
    <row r="117" spans="1:27" x14ac:dyDescent="0.25">
      <c r="A117" t="s">
        <v>50</v>
      </c>
      <c r="D117" s="6">
        <v>63.594381130034499</v>
      </c>
      <c r="E117" s="6">
        <v>62.915127720610499</v>
      </c>
      <c r="F117" s="6">
        <v>73.190177118620696</v>
      </c>
      <c r="G117" s="6">
        <v>75.137526179171914</v>
      </c>
      <c r="H117" s="6">
        <v>80.005789439318235</v>
      </c>
      <c r="I117" s="6">
        <v>80.206102207305136</v>
      </c>
      <c r="J117" s="6">
        <v>78.052189248928258</v>
      </c>
      <c r="K117" s="6">
        <v>70.745966181853973</v>
      </c>
      <c r="L117" s="6">
        <v>81.706105739567818</v>
      </c>
      <c r="M117" s="6">
        <v>90.161177323674323</v>
      </c>
      <c r="N117" s="6">
        <v>93.40435772087811</v>
      </c>
      <c r="O117" s="6">
        <v>94.525306805238955</v>
      </c>
      <c r="P117" s="6">
        <v>94.120027463405918</v>
      </c>
      <c r="Q117" s="6">
        <v>92.202980778746294</v>
      </c>
      <c r="R117" s="6">
        <v>79.920238008174124</v>
      </c>
      <c r="S117" s="6">
        <v>59.917252391833145</v>
      </c>
      <c r="T117" s="6">
        <v>69.157818366756047</v>
      </c>
      <c r="U117" s="6">
        <v>66.563978342588683</v>
      </c>
      <c r="V117" s="6">
        <v>66.34644543092169</v>
      </c>
      <c r="W117" s="6">
        <v>57.886682003506827</v>
      </c>
      <c r="Y117" s="6">
        <f t="shared" si="12"/>
        <v>1529.7596296011354</v>
      </c>
      <c r="Z117">
        <f t="shared" si="13"/>
        <v>322.70262865153018</v>
      </c>
    </row>
    <row r="118" spans="1:27" x14ac:dyDescent="0.25">
      <c r="A118" t="s">
        <v>51</v>
      </c>
      <c r="D118" s="6">
        <v>49.100843733169896</v>
      </c>
      <c r="E118" s="6">
        <v>70.216479999640242</v>
      </c>
      <c r="F118" s="6">
        <v>98.579689378372677</v>
      </c>
      <c r="G118" s="6">
        <v>74.052636142362573</v>
      </c>
      <c r="H118" s="6">
        <v>83.367757471608641</v>
      </c>
      <c r="I118" s="6">
        <v>80.716561690696281</v>
      </c>
      <c r="J118" s="6">
        <v>90.484621093213335</v>
      </c>
      <c r="K118" s="6">
        <v>69.795132798383861</v>
      </c>
      <c r="L118" s="6">
        <v>105.36975123160521</v>
      </c>
      <c r="M118" s="6">
        <v>91.720411814727456</v>
      </c>
      <c r="N118" s="6">
        <v>97.933378531637331</v>
      </c>
      <c r="O118" s="6">
        <v>86.49061868331448</v>
      </c>
      <c r="P118" s="6">
        <v>91.637408210248196</v>
      </c>
      <c r="Q118" s="6">
        <v>85.002735600494432</v>
      </c>
      <c r="R118" s="6">
        <v>86.083734185871734</v>
      </c>
      <c r="S118" s="6">
        <v>83.199961790924235</v>
      </c>
      <c r="T118" s="6">
        <v>71.194586065349114</v>
      </c>
      <c r="U118" s="6">
        <v>72.44277647505659</v>
      </c>
      <c r="V118" s="6">
        <v>75.186405894993527</v>
      </c>
      <c r="W118" s="6">
        <v>60.469342101083384</v>
      </c>
      <c r="Y118" s="6">
        <f t="shared" si="12"/>
        <v>1623.0448328927528</v>
      </c>
      <c r="Z118">
        <f t="shared" si="13"/>
        <v>342.74882690785313</v>
      </c>
    </row>
    <row r="119" spans="1:27" x14ac:dyDescent="0.25">
      <c r="A119" t="s">
        <v>52</v>
      </c>
      <c r="D119" s="6">
        <v>60.775807345495423</v>
      </c>
      <c r="E119" s="6">
        <v>69.452529570954781</v>
      </c>
      <c r="F119" s="6">
        <v>74.061789446563481</v>
      </c>
      <c r="G119" s="6">
        <v>72.330897174155055</v>
      </c>
      <c r="H119" s="6">
        <v>77.943065384397315</v>
      </c>
      <c r="I119" s="6">
        <v>85.542462628471029</v>
      </c>
      <c r="J119" s="6">
        <v>68.998474573166419</v>
      </c>
      <c r="K119" s="6">
        <v>76.478802163324971</v>
      </c>
      <c r="L119" s="6">
        <v>73.190115853934017</v>
      </c>
      <c r="M119" s="6">
        <v>70.676889734905203</v>
      </c>
      <c r="N119" s="6">
        <v>85.875648946810642</v>
      </c>
      <c r="O119" s="6">
        <v>82.244134961251916</v>
      </c>
      <c r="P119" s="6">
        <v>76.379273038497601</v>
      </c>
      <c r="Q119" s="6">
        <v>76.649391447459493</v>
      </c>
      <c r="R119" s="6">
        <v>70.861925485624909</v>
      </c>
      <c r="S119" s="6">
        <v>85.267982178445223</v>
      </c>
      <c r="T119" s="6">
        <v>62.004604069164813</v>
      </c>
      <c r="U119" s="6">
        <v>50.397153200291299</v>
      </c>
      <c r="V119" s="6">
        <v>59.941475564603323</v>
      </c>
      <c r="W119" s="6">
        <v>48.098309395198548</v>
      </c>
      <c r="Y119" s="6">
        <f t="shared" si="12"/>
        <v>1427.1707321627152</v>
      </c>
      <c r="Z119">
        <f t="shared" si="13"/>
        <v>323.07089641579523</v>
      </c>
    </row>
    <row r="120" spans="1:27" x14ac:dyDescent="0.25">
      <c r="A120" t="s">
        <v>53</v>
      </c>
      <c r="D120" s="6">
        <v>60.264213164181683</v>
      </c>
      <c r="E120" s="6">
        <v>71.357251568959342</v>
      </c>
      <c r="F120" s="6">
        <v>78.048186980762267</v>
      </c>
      <c r="G120" s="6">
        <v>68.694159558754151</v>
      </c>
      <c r="H120" s="6">
        <v>54.504964282437321</v>
      </c>
      <c r="I120" s="6">
        <v>66.966578705751374</v>
      </c>
      <c r="J120" s="6">
        <v>77.016130296125837</v>
      </c>
      <c r="K120" s="6">
        <v>82.274893564239377</v>
      </c>
      <c r="L120" s="6">
        <v>70.795502471633981</v>
      </c>
      <c r="M120" s="6">
        <v>81.380940474049908</v>
      </c>
      <c r="N120" s="6">
        <v>80.790922591370901</v>
      </c>
      <c r="O120" s="6">
        <v>80.17081734580492</v>
      </c>
      <c r="P120" s="6">
        <v>65.938661274070995</v>
      </c>
      <c r="Q120" s="6">
        <v>59.614174554664451</v>
      </c>
      <c r="R120" s="6">
        <v>74.58285052136992</v>
      </c>
      <c r="S120" s="6">
        <v>62.685150314394718</v>
      </c>
      <c r="T120" s="6">
        <v>73.870346141469881</v>
      </c>
      <c r="U120" s="6">
        <v>61.982992860598173</v>
      </c>
      <c r="V120" s="6">
        <v>59.35504857104047</v>
      </c>
      <c r="W120" s="6">
        <v>55.097523705079141</v>
      </c>
      <c r="Y120" s="6">
        <f t="shared" si="12"/>
        <v>1385.3913089467587</v>
      </c>
      <c r="Z120">
        <f t="shared" si="13"/>
        <v>299.40676354815963</v>
      </c>
    </row>
    <row r="121" spans="1:27" x14ac:dyDescent="0.25">
      <c r="A121" t="s">
        <v>54</v>
      </c>
      <c r="D121" s="6">
        <v>75.035701642319381</v>
      </c>
      <c r="E121" s="6">
        <v>69.471822886474484</v>
      </c>
      <c r="F121" s="6">
        <v>60.546050258282072</v>
      </c>
      <c r="G121" s="6">
        <v>73.250501790996509</v>
      </c>
      <c r="H121" s="6">
        <v>66.547558103330374</v>
      </c>
      <c r="I121" s="6">
        <v>66.197334860858646</v>
      </c>
      <c r="J121" s="6">
        <v>59.170024388583499</v>
      </c>
      <c r="K121" s="6">
        <v>63.812700845201725</v>
      </c>
      <c r="L121" s="6">
        <v>70.139474028271067</v>
      </c>
      <c r="M121" s="6">
        <v>69.994946050586663</v>
      </c>
      <c r="N121" s="6">
        <v>70.730138764546794</v>
      </c>
      <c r="O121" s="6">
        <v>78.290481063294536</v>
      </c>
      <c r="P121" s="6">
        <v>67.60074167678566</v>
      </c>
      <c r="Q121" s="6">
        <v>72.57627933108121</v>
      </c>
      <c r="R121" s="6">
        <v>58.763340983354887</v>
      </c>
      <c r="S121" s="6">
        <v>67.041399532777362</v>
      </c>
      <c r="T121" s="6">
        <v>59.950559950372977</v>
      </c>
      <c r="U121" s="6">
        <v>58.961880444629116</v>
      </c>
      <c r="V121" s="6">
        <v>55.941326075000724</v>
      </c>
      <c r="W121" s="6">
        <v>58.815467924882455</v>
      </c>
      <c r="Y121" s="6">
        <f t="shared" si="12"/>
        <v>1322.83773060163</v>
      </c>
      <c r="Z121">
        <f t="shared" si="13"/>
        <v>293.57597017150925</v>
      </c>
    </row>
    <row r="122" spans="1:27" x14ac:dyDescent="0.25">
      <c r="A122" t="s">
        <v>55</v>
      </c>
      <c r="D122" s="6">
        <v>71.261692481347239</v>
      </c>
      <c r="E122" s="6">
        <v>75.002883223031162</v>
      </c>
      <c r="F122" s="6">
        <v>69.604245233521155</v>
      </c>
      <c r="G122" s="6">
        <v>79.751268785355279</v>
      </c>
      <c r="H122" s="6">
        <v>63.606454146792828</v>
      </c>
      <c r="I122" s="6">
        <v>79.833145782325801</v>
      </c>
      <c r="J122" s="6">
        <v>77.220115855545785</v>
      </c>
      <c r="K122" s="6">
        <v>82.429878172179386</v>
      </c>
      <c r="L122" s="6">
        <v>76.496037411794461</v>
      </c>
      <c r="M122" s="6">
        <v>78.724148970440382</v>
      </c>
      <c r="N122" s="6">
        <v>79.307408336323903</v>
      </c>
      <c r="O122" s="6">
        <v>69.861870449815612</v>
      </c>
      <c r="P122" s="6">
        <v>65.716128499074301</v>
      </c>
      <c r="Q122" s="6">
        <v>74.704292010849414</v>
      </c>
      <c r="R122" s="6">
        <v>70.447020043455026</v>
      </c>
      <c r="S122" s="6">
        <v>76.455363823002429</v>
      </c>
      <c r="T122" s="6">
        <v>62.949569602210197</v>
      </c>
      <c r="U122" s="6">
        <v>58.754193692036139</v>
      </c>
      <c r="V122" s="6">
        <v>62.222643052541038</v>
      </c>
      <c r="W122" s="6">
        <v>63.611797567244984</v>
      </c>
      <c r="Y122" s="6">
        <f t="shared" si="12"/>
        <v>1437.9601571388866</v>
      </c>
      <c r="Z122">
        <f t="shared" si="13"/>
        <v>319.30773759383754</v>
      </c>
    </row>
    <row r="123" spans="1:27" x14ac:dyDescent="0.25">
      <c r="A123" t="s">
        <v>56</v>
      </c>
      <c r="D123" s="6">
        <v>78.704900520840312</v>
      </c>
      <c r="E123" s="6">
        <v>75.919094782410795</v>
      </c>
      <c r="F123" s="6">
        <v>81.881359146425126</v>
      </c>
      <c r="G123" s="6">
        <v>78.237083786252668</v>
      </c>
      <c r="H123" s="6">
        <v>77.456651051776547</v>
      </c>
      <c r="I123" s="6">
        <v>79.05983539504588</v>
      </c>
      <c r="J123" s="6">
        <v>73.596763575922026</v>
      </c>
      <c r="K123" s="6">
        <v>85.488009331373945</v>
      </c>
      <c r="L123" s="6">
        <v>80.21752300015811</v>
      </c>
      <c r="M123" s="6">
        <v>81.942074537419131</v>
      </c>
      <c r="N123" s="6">
        <v>73.88923582282375</v>
      </c>
      <c r="O123" s="6">
        <v>77.731695024611099</v>
      </c>
      <c r="P123" s="6">
        <v>75.981890580792054</v>
      </c>
      <c r="Q123" s="6">
        <v>69.924921469848911</v>
      </c>
      <c r="R123" s="6">
        <v>66.5219571326476</v>
      </c>
      <c r="S123" s="6">
        <v>52.145406557515983</v>
      </c>
      <c r="T123" s="6">
        <v>56.49580137608622</v>
      </c>
      <c r="U123" s="6">
        <v>49.838866789455551</v>
      </c>
      <c r="V123" s="6">
        <v>67.807720713171335</v>
      </c>
      <c r="W123" s="6">
        <v>72.903359110342635</v>
      </c>
      <c r="Y123" s="6">
        <f t="shared" si="12"/>
        <v>1455.7441497049199</v>
      </c>
      <c r="Z123">
        <f t="shared" si="13"/>
        <v>312.13360781290476</v>
      </c>
      <c r="AA123" s="6"/>
    </row>
    <row r="124" spans="1:27" x14ac:dyDescent="0.25">
      <c r="A124" t="s">
        <v>57</v>
      </c>
      <c r="D124" s="6">
        <v>73.931773761974426</v>
      </c>
      <c r="E124" s="6">
        <v>80.832658869237349</v>
      </c>
      <c r="F124" s="6">
        <v>74.186069368441011</v>
      </c>
      <c r="G124" s="6">
        <v>69.834214938090099</v>
      </c>
      <c r="H124" s="6">
        <v>67.195142527415996</v>
      </c>
      <c r="I124" s="6">
        <v>70.071421090382842</v>
      </c>
      <c r="J124" s="6">
        <v>74.060151959005665</v>
      </c>
      <c r="K124" s="6">
        <v>73.464854846832395</v>
      </c>
      <c r="L124" s="6">
        <v>70.659881714541811</v>
      </c>
      <c r="M124" s="6">
        <v>76.196069393268729</v>
      </c>
      <c r="N124" s="6">
        <v>79.13272185023105</v>
      </c>
      <c r="O124" s="6">
        <v>55.812939751484045</v>
      </c>
      <c r="P124" s="6">
        <v>76.895207907571702</v>
      </c>
      <c r="Q124" s="6">
        <v>79.569144696585127</v>
      </c>
      <c r="R124" s="6">
        <v>69.415243681505842</v>
      </c>
      <c r="S124" s="6">
        <v>55.084918216803899</v>
      </c>
      <c r="T124" s="6">
        <v>62.710077464430888</v>
      </c>
      <c r="U124" s="6">
        <v>70.160190122436788</v>
      </c>
      <c r="V124" s="6">
        <v>39.209195086885074</v>
      </c>
      <c r="W124" s="6">
        <v>68.027553783628164</v>
      </c>
      <c r="Y124" s="6">
        <f t="shared" si="12"/>
        <v>1386.4494310307532</v>
      </c>
      <c r="Z124">
        <f t="shared" si="13"/>
        <v>295.39785108597971</v>
      </c>
      <c r="AA124" s="6"/>
    </row>
    <row r="125" spans="1:27" x14ac:dyDescent="0.25">
      <c r="A125" t="s">
        <v>58</v>
      </c>
      <c r="D125" s="6">
        <v>51.539412386453499</v>
      </c>
      <c r="E125" s="6">
        <v>66.433749250076843</v>
      </c>
      <c r="F125" s="6">
        <v>58.925211789349483</v>
      </c>
      <c r="G125" s="6">
        <v>72.846818264824137</v>
      </c>
      <c r="H125" s="6">
        <v>56.535397758139801</v>
      </c>
      <c r="I125" s="6">
        <v>58.463141650160523</v>
      </c>
      <c r="J125" s="6">
        <v>68.558678726789097</v>
      </c>
      <c r="K125" s="6">
        <v>66.276968034704694</v>
      </c>
      <c r="L125" s="6">
        <v>69.054805487358067</v>
      </c>
      <c r="M125" s="6">
        <v>73.696407552023302</v>
      </c>
      <c r="N125" s="6">
        <v>68.069345085288958</v>
      </c>
      <c r="O125" s="6">
        <v>71.465971360060891</v>
      </c>
      <c r="P125" s="6">
        <v>57.913059199701927</v>
      </c>
      <c r="Q125" s="6">
        <v>46.338135799354923</v>
      </c>
      <c r="R125" s="6">
        <v>68.487116970236258</v>
      </c>
      <c r="S125" s="6">
        <v>66.70542386189237</v>
      </c>
      <c r="T125" s="6">
        <v>71.595247578371328</v>
      </c>
      <c r="U125" s="6">
        <v>36.157070953637074</v>
      </c>
      <c r="V125" s="6">
        <v>46.306144790468203</v>
      </c>
      <c r="W125" s="6">
        <v>58.654418948842697</v>
      </c>
      <c r="Y125" s="6">
        <f t="shared" si="12"/>
        <v>1234.0225254477339</v>
      </c>
      <c r="Z125">
        <f t="shared" si="13"/>
        <v>271.77896855488837</v>
      </c>
      <c r="AA125" s="6"/>
    </row>
    <row r="126" spans="1:27" x14ac:dyDescent="0.25">
      <c r="A126" t="s">
        <v>59</v>
      </c>
      <c r="D126" s="6">
        <v>72.331207576553055</v>
      </c>
      <c r="E126" s="6">
        <v>64.637734240748102</v>
      </c>
      <c r="F126" s="6">
        <v>62.436838531136253</v>
      </c>
      <c r="G126" s="6">
        <v>66.914632576052242</v>
      </c>
      <c r="H126" s="6">
        <v>65.128218302174687</v>
      </c>
      <c r="I126" s="6">
        <v>73.175681538309505</v>
      </c>
      <c r="J126" s="6">
        <v>70.953089435450892</v>
      </c>
      <c r="K126" s="6">
        <v>64.923958209722656</v>
      </c>
      <c r="L126" s="6">
        <v>59.259508492888145</v>
      </c>
      <c r="M126" s="6">
        <v>70.016146564853287</v>
      </c>
      <c r="N126" s="6">
        <v>75.364938771436215</v>
      </c>
      <c r="O126" s="6">
        <v>67.375356867244093</v>
      </c>
      <c r="P126" s="6">
        <v>62.217687216197611</v>
      </c>
      <c r="Q126" s="6">
        <v>56.074371966065776</v>
      </c>
      <c r="R126" s="6">
        <v>53.097733416606509</v>
      </c>
      <c r="S126" s="6">
        <v>70.201890330236139</v>
      </c>
      <c r="T126" s="6">
        <v>63.000831553086201</v>
      </c>
      <c r="U126" s="6">
        <v>68.66445508444744</v>
      </c>
      <c r="V126" s="6">
        <v>58.185938077817077</v>
      </c>
      <c r="W126" s="6">
        <v>57.206689387620955</v>
      </c>
      <c r="Y126" s="6">
        <f t="shared" si="12"/>
        <v>1301.1669081386472</v>
      </c>
      <c r="Z126">
        <f t="shared" si="13"/>
        <v>292.94398000725943</v>
      </c>
      <c r="AA126" s="6"/>
    </row>
    <row r="127" spans="1:27" x14ac:dyDescent="0.25">
      <c r="A127" t="s">
        <v>60</v>
      </c>
      <c r="D127" s="6">
        <v>56.679098099036118</v>
      </c>
      <c r="E127" s="6">
        <v>48.907755983955504</v>
      </c>
      <c r="F127" s="6">
        <v>59.700789151946175</v>
      </c>
      <c r="G127" s="6">
        <v>62.490774889546366</v>
      </c>
      <c r="H127" s="6">
        <v>68.429402930928703</v>
      </c>
      <c r="I127" s="6">
        <v>48.901727889464631</v>
      </c>
      <c r="J127" s="6">
        <v>62.588348286526653</v>
      </c>
      <c r="K127" s="6">
        <v>81.354109516257395</v>
      </c>
      <c r="L127" s="6">
        <v>69.917491659663398</v>
      </c>
      <c r="M127" s="6">
        <v>65.421843010849912</v>
      </c>
      <c r="N127" s="6">
        <v>54.671497937815339</v>
      </c>
      <c r="O127" s="6">
        <v>52.964164125462766</v>
      </c>
      <c r="P127" s="6">
        <v>60.598485067087282</v>
      </c>
      <c r="Q127" s="6">
        <v>70.541895819830103</v>
      </c>
      <c r="R127" s="6">
        <v>59.79346216994746</v>
      </c>
      <c r="S127" s="6">
        <v>59.186788330850831</v>
      </c>
      <c r="T127" s="6">
        <v>73.296802050263253</v>
      </c>
      <c r="U127" s="6">
        <v>61.179041705657262</v>
      </c>
      <c r="V127" s="6">
        <v>40.849855081928453</v>
      </c>
      <c r="W127" s="6">
        <v>50.374525946045274</v>
      </c>
      <c r="Y127" s="6">
        <f t="shared" si="12"/>
        <v>1207.8478596530626</v>
      </c>
      <c r="Z127">
        <f t="shared" si="13"/>
        <v>257.27214004348707</v>
      </c>
      <c r="AA127" s="6"/>
    </row>
    <row r="128" spans="1:27" x14ac:dyDescent="0.25">
      <c r="A128" t="s">
        <v>61</v>
      </c>
      <c r="D128" s="6">
        <v>71.131581740807945</v>
      </c>
      <c r="E128" s="6">
        <v>82.500574983921595</v>
      </c>
      <c r="F128" s="6">
        <v>70.628551846794423</v>
      </c>
      <c r="G128" s="6">
        <v>65.929917628249527</v>
      </c>
      <c r="H128" s="6">
        <v>83.10663073106636</v>
      </c>
      <c r="I128" s="6">
        <v>79.438788526749448</v>
      </c>
      <c r="J128" s="6">
        <v>76.996742574339194</v>
      </c>
      <c r="K128" s="6">
        <v>74.509827095623237</v>
      </c>
      <c r="L128" s="6">
        <v>66.841984249108464</v>
      </c>
      <c r="M128" s="6">
        <v>70.798176021948493</v>
      </c>
      <c r="N128" s="6">
        <v>81.540679550281439</v>
      </c>
      <c r="O128" s="6">
        <v>77.630792034881651</v>
      </c>
      <c r="P128" s="6">
        <v>76.486010756083644</v>
      </c>
      <c r="Q128" s="6">
        <v>67.26355954955423</v>
      </c>
      <c r="R128" s="6">
        <v>67.399032631197485</v>
      </c>
      <c r="S128" s="6">
        <v>72.815038551928851</v>
      </c>
      <c r="T128" s="6">
        <v>74.834496296695733</v>
      </c>
      <c r="U128" s="6">
        <v>57.965595939893042</v>
      </c>
      <c r="V128" s="6">
        <v>48.719703779499852</v>
      </c>
      <c r="W128" s="6">
        <v>59.747244000167825</v>
      </c>
      <c r="Y128" s="6">
        <f t="shared" si="12"/>
        <v>1426.284928488793</v>
      </c>
      <c r="Z128">
        <f t="shared" si="13"/>
        <v>316.52971811555381</v>
      </c>
      <c r="AA128" s="6"/>
    </row>
    <row r="129" spans="1:27" x14ac:dyDescent="0.25">
      <c r="A129" t="s">
        <v>62</v>
      </c>
      <c r="D129" s="6">
        <v>62.235699474259697</v>
      </c>
      <c r="E129" s="6">
        <v>66.28667697862987</v>
      </c>
      <c r="F129" s="6">
        <v>62.074561755974152</v>
      </c>
      <c r="G129" s="6">
        <v>74.637763389757737</v>
      </c>
      <c r="H129" s="6">
        <v>70.491533368106076</v>
      </c>
      <c r="I129" s="6">
        <v>71.170266756778375</v>
      </c>
      <c r="J129" s="6">
        <v>70.882294906680727</v>
      </c>
      <c r="K129" s="6">
        <v>74.277772582931092</v>
      </c>
      <c r="L129" s="6">
        <v>71.294706598522524</v>
      </c>
      <c r="M129" s="6">
        <v>66.105567788604688</v>
      </c>
      <c r="N129" s="6">
        <v>71.476685804872545</v>
      </c>
      <c r="O129" s="6">
        <v>66.708915292316334</v>
      </c>
      <c r="P129" s="6">
        <v>62.941212666560205</v>
      </c>
      <c r="Q129" s="6">
        <v>63.518463922607339</v>
      </c>
      <c r="R129" s="6">
        <v>72.586713472136225</v>
      </c>
      <c r="S129" s="6">
        <v>70.365292511055131</v>
      </c>
      <c r="T129" s="6">
        <v>64.285955046888859</v>
      </c>
      <c r="U129" s="6">
        <v>71.932592272580308</v>
      </c>
      <c r="V129" s="6">
        <v>67.973556760649444</v>
      </c>
      <c r="W129" s="6">
        <v>64.876918541893062</v>
      </c>
      <c r="Y129" s="6">
        <f t="shared" si="12"/>
        <v>1366.1231498918041</v>
      </c>
      <c r="Z129">
        <f t="shared" si="13"/>
        <v>301.48825156227196</v>
      </c>
      <c r="AA129" s="6"/>
    </row>
    <row r="130" spans="1:27" x14ac:dyDescent="0.25">
      <c r="A130" t="s">
        <v>63</v>
      </c>
      <c r="D130" s="6">
        <v>67.264443206852562</v>
      </c>
      <c r="E130" s="6">
        <v>73.434422282817224</v>
      </c>
      <c r="F130" s="6">
        <v>76.132480501980353</v>
      </c>
      <c r="G130" s="6">
        <v>74.315676555593043</v>
      </c>
      <c r="H130" s="6">
        <v>54.258166498927515</v>
      </c>
      <c r="I130" s="6">
        <v>71.610101393245287</v>
      </c>
      <c r="J130" s="6">
        <v>78.654921784543347</v>
      </c>
      <c r="K130" s="6">
        <v>74.516306527103481</v>
      </c>
      <c r="L130" s="6">
        <v>79.65542307463258</v>
      </c>
      <c r="M130" s="6">
        <v>59.470998920509643</v>
      </c>
      <c r="N130" s="6">
        <v>73.409706211830894</v>
      </c>
      <c r="O130" s="6">
        <v>79.584647436994388</v>
      </c>
      <c r="P130" s="6">
        <v>74.088701145489793</v>
      </c>
      <c r="Q130" s="6">
        <v>66.31917314849737</v>
      </c>
      <c r="R130" s="6">
        <v>70.851124092726394</v>
      </c>
      <c r="S130" s="6">
        <v>75.411980299306833</v>
      </c>
      <c r="T130" s="6">
        <v>70.677586777604972</v>
      </c>
      <c r="U130" s="6">
        <v>55.858466659900166</v>
      </c>
      <c r="V130" s="6">
        <v>68.770488369838191</v>
      </c>
      <c r="W130" s="6">
        <v>68.33662969480612</v>
      </c>
      <c r="Y130" s="6">
        <f t="shared" si="12"/>
        <v>1412.6214445832002</v>
      </c>
      <c r="Z130">
        <f t="shared" si="13"/>
        <v>312.1819767007662</v>
      </c>
      <c r="AA130" s="6"/>
    </row>
    <row r="131" spans="1:27" x14ac:dyDescent="0.25">
      <c r="A131" t="s">
        <v>64</v>
      </c>
      <c r="D131" s="6">
        <v>67.30037111304928</v>
      </c>
      <c r="E131" s="6">
        <v>73.506049526510552</v>
      </c>
      <c r="F131" s="6">
        <v>74.371865885573442</v>
      </c>
      <c r="G131" s="6">
        <v>68.129901519698905</v>
      </c>
      <c r="H131" s="6">
        <v>74.819959458268087</v>
      </c>
      <c r="I131" s="6">
        <v>66.089383861191109</v>
      </c>
      <c r="J131" s="6">
        <v>73.493516124472308</v>
      </c>
      <c r="K131" s="6">
        <v>78.795531863865151</v>
      </c>
      <c r="L131" s="6">
        <v>83.115044664691752</v>
      </c>
      <c r="M131" s="6">
        <v>71.922790191758821</v>
      </c>
      <c r="N131" s="6">
        <v>56.503258584580244</v>
      </c>
      <c r="O131" s="6">
        <v>70.460044890299329</v>
      </c>
      <c r="P131" s="6">
        <v>50.275234291887124</v>
      </c>
      <c r="Q131" s="6">
        <v>78.508838668100651</v>
      </c>
      <c r="R131" s="6">
        <v>83.246010309729556</v>
      </c>
      <c r="S131" s="6">
        <v>77.679929632491877</v>
      </c>
      <c r="T131" s="6">
        <v>71.532954487314569</v>
      </c>
      <c r="U131" s="6">
        <v>70.065681800442448</v>
      </c>
      <c r="V131" s="6">
        <v>55.378719357745112</v>
      </c>
      <c r="W131" s="6">
        <v>53.928562345022478</v>
      </c>
      <c r="Y131" s="6">
        <f t="shared" si="12"/>
        <v>1399.1236485766929</v>
      </c>
      <c r="Z131">
        <f t="shared" si="13"/>
        <v>304.6561128975826</v>
      </c>
      <c r="AA131" s="6"/>
    </row>
    <row r="132" spans="1:27" x14ac:dyDescent="0.25">
      <c r="A132" t="s">
        <v>65</v>
      </c>
      <c r="D132" s="6">
        <v>81.444339112795106</v>
      </c>
      <c r="E132" s="6">
        <v>80.36527186155088</v>
      </c>
      <c r="F132" s="6">
        <v>87.107254595444445</v>
      </c>
      <c r="G132" s="6">
        <v>80.640074302676993</v>
      </c>
      <c r="H132" s="6">
        <v>84.473473190005635</v>
      </c>
      <c r="I132" s="6">
        <v>84.399606188053312</v>
      </c>
      <c r="J132" s="6">
        <v>69.240457212784804</v>
      </c>
      <c r="K132" s="6">
        <v>83.362364977926489</v>
      </c>
      <c r="L132" s="6">
        <v>77.471030527239535</v>
      </c>
      <c r="M132" s="6">
        <v>69.480955227948741</v>
      </c>
      <c r="N132" s="6">
        <v>72.797810094015389</v>
      </c>
      <c r="O132" s="6">
        <v>72.727787530753147</v>
      </c>
      <c r="P132" s="6">
        <v>65.121477143643702</v>
      </c>
      <c r="Q132" s="6">
        <v>78.275036104696056</v>
      </c>
      <c r="R132" s="6">
        <v>61.710038995333676</v>
      </c>
      <c r="S132" s="6">
        <v>76.682882905864503</v>
      </c>
      <c r="T132" s="6">
        <v>74.380056866180851</v>
      </c>
      <c r="U132" s="6">
        <v>74.674079957489084</v>
      </c>
      <c r="V132" s="6">
        <v>55.475582340763303</v>
      </c>
      <c r="W132" s="6">
        <v>69.780779006026663</v>
      </c>
      <c r="Y132" s="6">
        <f t="shared" si="12"/>
        <v>1499.6103581411926</v>
      </c>
      <c r="Z132">
        <f t="shared" si="13"/>
        <v>339.8220421253435</v>
      </c>
      <c r="AA132" s="6"/>
    </row>
    <row r="133" spans="1:27" x14ac:dyDescent="0.25">
      <c r="A133" t="s">
        <v>66</v>
      </c>
      <c r="D133" s="6">
        <v>83.982797715729589</v>
      </c>
      <c r="E133" s="6">
        <v>79.517644363441761</v>
      </c>
      <c r="F133" s="6">
        <v>71.627940912265885</v>
      </c>
      <c r="G133" s="6">
        <v>71.515590639739045</v>
      </c>
      <c r="H133" s="6">
        <v>81.320074823566216</v>
      </c>
      <c r="I133" s="6">
        <v>68.22534976824987</v>
      </c>
      <c r="J133" s="6">
        <v>71.829002974744895</v>
      </c>
      <c r="K133" s="6">
        <v>73.330213857960061</v>
      </c>
      <c r="L133" s="6">
        <v>86.652923418068127</v>
      </c>
      <c r="M133" s="6">
        <v>74.694612430358731</v>
      </c>
      <c r="N133" s="6">
        <v>70.530876793845167</v>
      </c>
      <c r="O133" s="6">
        <v>76.053114298313105</v>
      </c>
      <c r="P133" s="6">
        <v>85.881644134574614</v>
      </c>
      <c r="Q133" s="6">
        <v>71.023492281983721</v>
      </c>
      <c r="R133" s="6">
        <v>75.373650847743264</v>
      </c>
      <c r="S133" s="6">
        <v>69.139189131395142</v>
      </c>
      <c r="T133" s="6">
        <v>67.455236073209633</v>
      </c>
      <c r="U133" s="6">
        <v>73.335500850241914</v>
      </c>
      <c r="V133" s="6">
        <v>65.925364685438481</v>
      </c>
      <c r="W133" s="6">
        <v>54.802148388241832</v>
      </c>
      <c r="Y133" s="6">
        <f t="shared" si="12"/>
        <v>1472.216368389111</v>
      </c>
      <c r="Z133">
        <f t="shared" si="13"/>
        <v>316.64831113539759</v>
      </c>
      <c r="AA133" s="6"/>
    </row>
    <row r="134" spans="1:27" x14ac:dyDescent="0.25">
      <c r="A134" t="s">
        <v>67</v>
      </c>
      <c r="D134" s="6">
        <v>72.023186842910178</v>
      </c>
      <c r="E134" s="6">
        <v>61.274587886033935</v>
      </c>
      <c r="F134" s="6">
        <v>70.271931864452185</v>
      </c>
      <c r="G134" s="6">
        <v>82.036817311940766</v>
      </c>
      <c r="H134" s="6">
        <v>100.32848340684158</v>
      </c>
      <c r="I134" s="6">
        <v>79.48694465576385</v>
      </c>
      <c r="J134" s="6">
        <v>85.616397423918798</v>
      </c>
      <c r="K134" s="6">
        <v>77.35941883874797</v>
      </c>
      <c r="L134" s="6">
        <v>83.853362500352787</v>
      </c>
      <c r="M134" s="6">
        <v>72.131834081044317</v>
      </c>
      <c r="N134" s="6">
        <v>72.015373299947342</v>
      </c>
      <c r="O134" s="6">
        <v>71.202756962238283</v>
      </c>
      <c r="P134" s="6">
        <v>67.68972439710862</v>
      </c>
      <c r="Q134" s="6">
        <v>68.160841380265666</v>
      </c>
      <c r="R134" s="6">
        <v>68.019663947713582</v>
      </c>
      <c r="S134" s="6">
        <v>67.971475285679716</v>
      </c>
      <c r="T134" s="6">
        <v>67.645394376013257</v>
      </c>
      <c r="U134" s="6">
        <v>62.109329223817475</v>
      </c>
      <c r="V134" s="6">
        <v>70.232643019705463</v>
      </c>
      <c r="W134" s="6">
        <v>61.973627598443237</v>
      </c>
      <c r="Y134" s="6">
        <f t="shared" si="12"/>
        <v>1461.4037943029386</v>
      </c>
      <c r="Z134">
        <f t="shared" si="13"/>
        <v>317.47812562292637</v>
      </c>
    </row>
    <row r="135" spans="1:27" x14ac:dyDescent="0.25">
      <c r="A135" t="s">
        <v>68</v>
      </c>
      <c r="D135" s="6">
        <v>68.336675720943958</v>
      </c>
      <c r="E135" s="6">
        <v>73.455235935374361</v>
      </c>
      <c r="F135" s="6">
        <v>92.356796848509376</v>
      </c>
      <c r="G135" s="6">
        <v>93.659316376598454</v>
      </c>
      <c r="H135" s="6">
        <v>89.937037153148225</v>
      </c>
      <c r="I135" s="6">
        <v>91.994206602668626</v>
      </c>
      <c r="J135" s="6">
        <v>67.237910207533801</v>
      </c>
      <c r="K135" s="6">
        <v>60.364207677714084</v>
      </c>
      <c r="L135" s="6">
        <v>80.894184162793934</v>
      </c>
      <c r="M135" s="6">
        <v>71.985622616742305</v>
      </c>
      <c r="N135" s="6">
        <v>75.317912225314998</v>
      </c>
      <c r="O135" s="6">
        <v>66.535482018837897</v>
      </c>
      <c r="P135" s="6">
        <v>76.269034447012572</v>
      </c>
      <c r="Q135" s="6">
        <v>80.793944091390927</v>
      </c>
      <c r="R135" s="6">
        <v>91.616330851999734</v>
      </c>
      <c r="S135" s="6">
        <v>86.950087548971311</v>
      </c>
      <c r="T135" s="6">
        <v>81.787817954053267</v>
      </c>
      <c r="U135" s="6">
        <v>68.815659748987059</v>
      </c>
      <c r="V135" s="6">
        <v>74.823789658315803</v>
      </c>
      <c r="W135" s="6">
        <v>72.328086939625919</v>
      </c>
      <c r="Y135" s="6">
        <f>SUM(D135:W135)</f>
        <v>1565.4593387865366</v>
      </c>
      <c r="Z135">
        <f t="shared" si="13"/>
        <v>359.55957663882748</v>
      </c>
    </row>
    <row r="136" spans="1:27" x14ac:dyDescent="0.25">
      <c r="A136" t="s">
        <v>69</v>
      </c>
      <c r="D136" s="6">
        <v>66.416622028327723</v>
      </c>
      <c r="E136" s="6">
        <v>84.032809546179465</v>
      </c>
      <c r="F136" s="6">
        <v>85.411607258573298</v>
      </c>
      <c r="G136" s="6">
        <v>84.895433349154018</v>
      </c>
      <c r="H136" s="6">
        <v>81.035178799366477</v>
      </c>
      <c r="I136" s="6">
        <v>84.38139437612233</v>
      </c>
      <c r="J136" s="6">
        <v>74.446472417465955</v>
      </c>
      <c r="K136" s="6">
        <v>78.465534375549524</v>
      </c>
      <c r="L136" s="6">
        <v>59.259508492888145</v>
      </c>
      <c r="M136" s="6">
        <v>70.016146564853287</v>
      </c>
      <c r="N136" s="6">
        <v>75.364938771436215</v>
      </c>
      <c r="O136" s="6">
        <v>67.375356867244093</v>
      </c>
      <c r="P136" s="6">
        <v>68.433964103770379</v>
      </c>
      <c r="Q136" s="6">
        <v>93.479887084368883</v>
      </c>
      <c r="R136" s="6">
        <v>63.652544736388883</v>
      </c>
      <c r="S136" s="6">
        <v>57.018558331466707</v>
      </c>
      <c r="T136" s="6">
        <v>64.776067463817157</v>
      </c>
      <c r="U136" s="6">
        <v>77.788279643938495</v>
      </c>
      <c r="V136" s="6">
        <v>70.1582306820561</v>
      </c>
      <c r="W136" s="6">
        <v>63.439226030553407</v>
      </c>
      <c r="Y136" s="6">
        <f t="shared" si="12"/>
        <v>1469.8477609235201</v>
      </c>
      <c r="Z136">
        <f t="shared" si="13"/>
        <v>327.12534787751616</v>
      </c>
    </row>
    <row r="137" spans="1:27" x14ac:dyDescent="0.25"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Y137" s="6"/>
    </row>
    <row r="138" spans="1:27" x14ac:dyDescent="0.25">
      <c r="A138" t="s">
        <v>70</v>
      </c>
      <c r="D138" s="6">
        <v>91.020897786375585</v>
      </c>
      <c r="E138" s="6">
        <v>81.125480457223858</v>
      </c>
      <c r="F138" s="6">
        <v>77.249985888584462</v>
      </c>
      <c r="G138" s="6">
        <v>79.128523872298189</v>
      </c>
      <c r="H138" s="6">
        <v>78.92049077700058</v>
      </c>
      <c r="I138" s="6">
        <v>87.604676291924548</v>
      </c>
      <c r="J138" s="6">
        <v>88.669362191654173</v>
      </c>
      <c r="K138" s="6">
        <v>80.403460829063761</v>
      </c>
      <c r="L138" s="6">
        <v>75.201706976389858</v>
      </c>
      <c r="M138" s="6">
        <v>72.354290936654564</v>
      </c>
      <c r="N138" s="6">
        <v>71.810269397949099</v>
      </c>
      <c r="O138" s="6">
        <v>72.963696571962942</v>
      </c>
      <c r="P138" s="6">
        <v>68.837624041255879</v>
      </c>
      <c r="Q138" s="6">
        <v>75.009959585238832</v>
      </c>
      <c r="R138" s="6">
        <v>73.382009656721408</v>
      </c>
      <c r="S138" s="6">
        <v>72.652424455778899</v>
      </c>
      <c r="T138" s="6">
        <v>70.317633630635314</v>
      </c>
      <c r="U138" s="6">
        <v>69.322448769674622</v>
      </c>
      <c r="V138" s="6">
        <v>66.09229685931399</v>
      </c>
      <c r="W138" s="6">
        <v>63.683247318076589</v>
      </c>
      <c r="Y138" s="6">
        <f t="shared" si="12"/>
        <v>1515.7504862937774</v>
      </c>
      <c r="Z138">
        <f>SUMPRODUCT($D$142:$W$142,D138:W138)</f>
        <v>336.33048353329315</v>
      </c>
    </row>
    <row r="139" spans="1:27" x14ac:dyDescent="0.25">
      <c r="A139" t="s">
        <v>313</v>
      </c>
      <c r="D139" s="6">
        <v>78.900942711273473</v>
      </c>
      <c r="E139" s="6">
        <v>82.543536711199849</v>
      </c>
      <c r="F139" s="6">
        <v>70.021634350683868</v>
      </c>
      <c r="G139" s="6">
        <v>79.711977224957764</v>
      </c>
      <c r="H139" s="6">
        <v>86.207022470541219</v>
      </c>
      <c r="I139" s="6">
        <v>89.436744233736036</v>
      </c>
      <c r="J139" s="6">
        <v>92.055102211343495</v>
      </c>
      <c r="K139" s="6">
        <v>95.56068752095851</v>
      </c>
      <c r="L139" s="6">
        <v>70.139474028271067</v>
      </c>
      <c r="M139" s="6">
        <v>69.994946050586663</v>
      </c>
      <c r="N139" s="6">
        <v>70.730138764546794</v>
      </c>
      <c r="O139" s="6">
        <v>78.290481063294536</v>
      </c>
      <c r="P139" s="6">
        <v>88</v>
      </c>
      <c r="Q139" s="6">
        <v>84.9</v>
      </c>
      <c r="R139" s="6">
        <v>87.1</v>
      </c>
      <c r="S139" s="6">
        <v>46.7</v>
      </c>
      <c r="T139" s="6">
        <v>74</v>
      </c>
      <c r="U139" s="6">
        <v>78</v>
      </c>
      <c r="V139" s="6">
        <v>65</v>
      </c>
      <c r="W139" s="6">
        <v>67</v>
      </c>
      <c r="Y139" s="6">
        <f t="shared" si="12"/>
        <v>1554.2926873413933</v>
      </c>
      <c r="Z139">
        <f>SUMPRODUCT($D$142:$W$142,D139:W139)</f>
        <v>330.11435458863593</v>
      </c>
    </row>
    <row r="140" spans="1:27" x14ac:dyDescent="0.25">
      <c r="A140" t="s">
        <v>314</v>
      </c>
      <c r="D140" s="6">
        <v>71.971393138787931</v>
      </c>
      <c r="E140" s="6">
        <v>69.731208087033295</v>
      </c>
      <c r="F140" s="6">
        <v>58.892219471577064</v>
      </c>
      <c r="G140" s="6">
        <v>73.955680596009316</v>
      </c>
      <c r="H140" s="6">
        <v>83.65897318706719</v>
      </c>
      <c r="I140" s="6">
        <v>84.454815694144955</v>
      </c>
      <c r="J140" s="6">
        <v>87.085571328837418</v>
      </c>
      <c r="K140" s="6">
        <v>85.4</v>
      </c>
      <c r="L140" s="6">
        <v>72.599999999999994</v>
      </c>
      <c r="M140" s="6">
        <v>71.3</v>
      </c>
      <c r="N140" s="6">
        <v>71.8</v>
      </c>
      <c r="O140" s="6">
        <v>77.7</v>
      </c>
      <c r="P140" s="6">
        <v>66.321323601833441</v>
      </c>
      <c r="Q140" s="6">
        <v>66.602380864095579</v>
      </c>
      <c r="R140" s="6">
        <v>68.056454685337059</v>
      </c>
      <c r="S140" s="6">
        <v>70.615989084070151</v>
      </c>
      <c r="T140" s="6">
        <v>69.87045611056287</v>
      </c>
      <c r="U140" s="6">
        <v>63.194181444810624</v>
      </c>
      <c r="V140" s="6">
        <v>57.781799626385364</v>
      </c>
      <c r="W140" s="6">
        <v>59.96815438571101</v>
      </c>
      <c r="Y140" s="6">
        <f t="shared" si="12"/>
        <v>1430.9606013062632</v>
      </c>
      <c r="Z140">
        <f>SUMPRODUCT($D$142:$W$142,D140:W140)</f>
        <v>314.83759618323103</v>
      </c>
    </row>
    <row r="141" spans="1:27" x14ac:dyDescent="0.25">
      <c r="A141" t="s">
        <v>658</v>
      </c>
      <c r="D141" s="17">
        <v>71.1071824508589</v>
      </c>
      <c r="E141" s="17">
        <v>79.149025698344971</v>
      </c>
      <c r="F141" s="17">
        <v>81.436743367171616</v>
      </c>
      <c r="G141" s="17">
        <v>77.318005619831141</v>
      </c>
      <c r="H141" s="17">
        <v>73.552413814180753</v>
      </c>
      <c r="I141" s="17">
        <v>81.7</v>
      </c>
      <c r="J141" s="17">
        <v>73.7</v>
      </c>
      <c r="K141" s="17">
        <v>74.599999999999994</v>
      </c>
      <c r="L141" s="6">
        <v>74.400000000000006</v>
      </c>
      <c r="M141" s="6">
        <v>72.5</v>
      </c>
      <c r="N141" s="6">
        <v>70.8</v>
      </c>
      <c r="O141" s="6">
        <v>71.3</v>
      </c>
      <c r="P141" s="6">
        <v>60.340498365529825</v>
      </c>
      <c r="Q141" s="6">
        <v>56.939029168122502</v>
      </c>
      <c r="R141" s="6">
        <v>46.066821025223767</v>
      </c>
      <c r="S141" s="6">
        <v>65.2</v>
      </c>
      <c r="T141" s="6">
        <v>67.758462272950453</v>
      </c>
      <c r="U141" s="6">
        <v>62.361158850156514</v>
      </c>
      <c r="V141" s="6">
        <v>57.46596577818854</v>
      </c>
      <c r="W141" s="6">
        <v>61.863404178332765</v>
      </c>
      <c r="Y141" s="6">
        <f t="shared" ref="Y141" si="14">SUM(D141:W141)</f>
        <v>1379.5587105888917</v>
      </c>
      <c r="Z141">
        <f>SUMPRODUCT($D$142:$W$142,D141:W141)</f>
        <v>311.74353592271524</v>
      </c>
    </row>
    <row r="142" spans="1:27" x14ac:dyDescent="0.25">
      <c r="A142" s="2" t="s">
        <v>71</v>
      </c>
      <c r="D142" s="3">
        <f>CORREL($B$2:$B$28,D110:D136)</f>
        <v>0.2707760691355206</v>
      </c>
      <c r="E142" s="3">
        <f t="shared" ref="E142:W142" si="15">CORREL($B$2:$B$28,E110:E136)</f>
        <v>0.28300852586596442</v>
      </c>
      <c r="F142" s="3">
        <f t="shared" si="15"/>
        <v>0.25126696376774615</v>
      </c>
      <c r="G142" s="3">
        <f t="shared" si="15"/>
        <v>0.44977523192678448</v>
      </c>
      <c r="H142" s="3">
        <f t="shared" si="15"/>
        <v>0.15316469065895139</v>
      </c>
      <c r="I142" s="3">
        <f t="shared" si="15"/>
        <v>0.60384160535266873</v>
      </c>
      <c r="J142" s="3">
        <f t="shared" si="15"/>
        <v>-9.4773590820440068E-2</v>
      </c>
      <c r="K142" s="3">
        <f t="shared" si="15"/>
        <v>0.1748019948929839</v>
      </c>
      <c r="L142" s="3">
        <f t="shared" si="15"/>
        <v>8.5799688912340435E-3</v>
      </c>
      <c r="M142" s="3">
        <f t="shared" si="15"/>
        <v>7.2993878185400471E-2</v>
      </c>
      <c r="N142" s="3">
        <f t="shared" si="15"/>
        <v>0.21749555204935311</v>
      </c>
      <c r="O142" s="3">
        <f t="shared" si="15"/>
        <v>0.18277008295785868</v>
      </c>
      <c r="P142" s="3">
        <f t="shared" si="15"/>
        <v>0.10576409450996846</v>
      </c>
      <c r="Q142" s="3">
        <f t="shared" si="15"/>
        <v>0.12946440509705104</v>
      </c>
      <c r="R142" s="3">
        <f t="shared" si="15"/>
        <v>8.5353920372853262E-2</v>
      </c>
      <c r="S142" s="3">
        <f t="shared" si="15"/>
        <v>0.55682228688056357</v>
      </c>
      <c r="T142" s="3">
        <f t="shared" si="15"/>
        <v>0.38941774867632473</v>
      </c>
      <c r="U142" s="3">
        <f t="shared" si="15"/>
        <v>0.17762427403453457</v>
      </c>
      <c r="V142" s="3">
        <f t="shared" si="15"/>
        <v>0.2535717116660014</v>
      </c>
      <c r="W142" s="3">
        <f t="shared" si="15"/>
        <v>0.12625868627702763</v>
      </c>
      <c r="X142" s="3"/>
    </row>
    <row r="143" spans="1:27" x14ac:dyDescent="0.25">
      <c r="P143" s="6"/>
      <c r="Q143" s="6"/>
      <c r="R143" s="6"/>
      <c r="S143" s="6"/>
      <c r="T143" s="6"/>
      <c r="U143" s="6"/>
      <c r="V143" s="6"/>
      <c r="W143" s="6"/>
    </row>
    <row r="144" spans="1:27" x14ac:dyDescent="0.25">
      <c r="P144" s="6"/>
      <c r="Q144" s="6"/>
      <c r="R144" s="6"/>
      <c r="S144" s="6"/>
      <c r="T144" s="6"/>
      <c r="U144" s="6"/>
      <c r="V144" s="6"/>
      <c r="W144" s="6"/>
    </row>
    <row r="145" spans="1:26" x14ac:dyDescent="0.25">
      <c r="D145" t="s">
        <v>24</v>
      </c>
      <c r="E145" t="s">
        <v>25</v>
      </c>
      <c r="F145" t="s">
        <v>26</v>
      </c>
      <c r="G145" t="s">
        <v>27</v>
      </c>
      <c r="H145" t="s">
        <v>28</v>
      </c>
      <c r="I145" t="s">
        <v>29</v>
      </c>
      <c r="J145" t="s">
        <v>30</v>
      </c>
      <c r="K145" t="s">
        <v>31</v>
      </c>
      <c r="L145" t="s">
        <v>319</v>
      </c>
      <c r="M145" t="s">
        <v>355</v>
      </c>
      <c r="N145" t="s">
        <v>356</v>
      </c>
      <c r="O145" t="s">
        <v>357</v>
      </c>
      <c r="P145" s="6" t="s">
        <v>450</v>
      </c>
      <c r="Q145" s="6" t="s">
        <v>451</v>
      </c>
      <c r="R145" s="6" t="s">
        <v>452</v>
      </c>
      <c r="S145" s="6" t="s">
        <v>453</v>
      </c>
      <c r="T145" s="6" t="s">
        <v>562</v>
      </c>
      <c r="U145" s="6" t="s">
        <v>563</v>
      </c>
      <c r="V145" s="6" t="s">
        <v>564</v>
      </c>
      <c r="W145" s="6" t="s">
        <v>565</v>
      </c>
      <c r="Y145" t="s">
        <v>94</v>
      </c>
      <c r="Z145" t="s">
        <v>95</v>
      </c>
    </row>
    <row r="146" spans="1:26" x14ac:dyDescent="0.25">
      <c r="A146" t="s">
        <v>43</v>
      </c>
      <c r="D146" s="6">
        <v>19.348789709603093</v>
      </c>
      <c r="E146" s="6">
        <v>18.42668611673896</v>
      </c>
      <c r="F146" s="6">
        <v>16.893374024744634</v>
      </c>
      <c r="G146" s="6">
        <v>27.16241778492849</v>
      </c>
      <c r="H146" s="6">
        <v>22.275540295313881</v>
      </c>
      <c r="I146" s="6">
        <v>21.811649490089273</v>
      </c>
      <c r="J146" s="6">
        <v>39.290850931598591</v>
      </c>
      <c r="K146" s="6">
        <v>23.208915383486584</v>
      </c>
      <c r="L146" s="6">
        <v>29.120610509084802</v>
      </c>
      <c r="M146" s="6">
        <v>15.772867667757421</v>
      </c>
      <c r="N146" s="6">
        <v>18.985303184194219</v>
      </c>
      <c r="O146" s="6">
        <v>25.298319209853275</v>
      </c>
      <c r="P146" s="6">
        <v>24.720903748447903</v>
      </c>
      <c r="Q146" s="6">
        <v>27.412293362013092</v>
      </c>
      <c r="R146" s="6">
        <v>27.617675843974403</v>
      </c>
      <c r="S146" s="6">
        <v>23.29058207553112</v>
      </c>
      <c r="T146" s="6">
        <v>15.941653586594338</v>
      </c>
      <c r="U146" s="6">
        <v>13.49620078505265</v>
      </c>
      <c r="V146" s="6">
        <v>41.808812311841244</v>
      </c>
      <c r="W146" s="6">
        <v>14.820727445967082</v>
      </c>
      <c r="Y146" s="6">
        <f t="shared" ref="Y146:Y176" si="16">SUM(D146:W146)</f>
        <v>466.70417346681495</v>
      </c>
      <c r="Z146">
        <f t="shared" ref="Z146:Z172" si="17">SUMPRODUCT($D$178:$W$178,D146:W146)</f>
        <v>-27.896358197826459</v>
      </c>
    </row>
    <row r="147" spans="1:26" x14ac:dyDescent="0.25">
      <c r="A147" t="s">
        <v>44</v>
      </c>
      <c r="D147" s="6">
        <v>16.387907573559151</v>
      </c>
      <c r="E147" s="6">
        <v>16.712176798687494</v>
      </c>
      <c r="F147" s="6">
        <v>32.748636974692907</v>
      </c>
      <c r="G147" s="6">
        <v>20.666829024124535</v>
      </c>
      <c r="H147" s="6">
        <v>23.673690371662783</v>
      </c>
      <c r="I147" s="6">
        <v>18.413757215483237</v>
      </c>
      <c r="J147" s="6">
        <v>21.864971639286157</v>
      </c>
      <c r="K147" s="6">
        <v>20.189165573933462</v>
      </c>
      <c r="L147" s="6">
        <v>18.438449310562181</v>
      </c>
      <c r="M147" s="6">
        <v>25.506880408297739</v>
      </c>
      <c r="N147" s="6">
        <v>40.353587675466777</v>
      </c>
      <c r="O147" s="6">
        <v>25.413288508710515</v>
      </c>
      <c r="P147" s="6">
        <v>14.692796644623428</v>
      </c>
      <c r="Q147" s="6">
        <v>14.417215739854127</v>
      </c>
      <c r="R147" s="6">
        <v>20.597340784081762</v>
      </c>
      <c r="S147" s="6">
        <v>19.925230963641734</v>
      </c>
      <c r="T147" s="6">
        <v>23.469927778461734</v>
      </c>
      <c r="U147" s="6">
        <v>18.111851827726717</v>
      </c>
      <c r="V147" s="6">
        <v>25.020368117138656</v>
      </c>
      <c r="W147" s="6">
        <v>25.88897985911489</v>
      </c>
      <c r="Y147" s="6">
        <f t="shared" si="16"/>
        <v>442.49305278911004</v>
      </c>
      <c r="Z147">
        <f t="shared" si="17"/>
        <v>-24.402940886248583</v>
      </c>
    </row>
    <row r="148" spans="1:26" x14ac:dyDescent="0.25">
      <c r="A148" t="s">
        <v>45</v>
      </c>
      <c r="D148" s="6">
        <v>27.65992951921654</v>
      </c>
      <c r="E148" s="6">
        <v>9.376226658981226</v>
      </c>
      <c r="F148" s="6">
        <v>11.432239594621468</v>
      </c>
      <c r="G148" s="6">
        <v>29.686615106564545</v>
      </c>
      <c r="H148" s="6">
        <v>30.806294394115216</v>
      </c>
      <c r="I148" s="6">
        <v>26.067000652346291</v>
      </c>
      <c r="J148" s="6">
        <v>39.590086721980946</v>
      </c>
      <c r="K148" s="6">
        <v>20.067610265605449</v>
      </c>
      <c r="L148" s="6">
        <v>23.636159113672583</v>
      </c>
      <c r="M148" s="6">
        <v>22.701223538308721</v>
      </c>
      <c r="N148" s="6">
        <v>29.014659908714943</v>
      </c>
      <c r="O148" s="6">
        <v>25.602256833985273</v>
      </c>
      <c r="P148" s="6">
        <v>12.687261130817499</v>
      </c>
      <c r="Q148" s="6">
        <v>15.280141962856744</v>
      </c>
      <c r="R148" s="6">
        <v>25.561196752418066</v>
      </c>
      <c r="S148" s="6">
        <v>28.369241824423916</v>
      </c>
      <c r="T148" s="6">
        <v>38.302322513717492</v>
      </c>
      <c r="U148" s="6">
        <v>31.734704906142074</v>
      </c>
      <c r="V148" s="6">
        <v>24.765862950431533</v>
      </c>
      <c r="W148" s="6">
        <v>29.092897774464337</v>
      </c>
      <c r="Y148" s="6">
        <f t="shared" si="16"/>
        <v>501.43393212338492</v>
      </c>
      <c r="Z148">
        <f t="shared" si="17"/>
        <v>-32.413050085346093</v>
      </c>
    </row>
    <row r="149" spans="1:26" x14ac:dyDescent="0.25">
      <c r="A149" t="s">
        <v>46</v>
      </c>
      <c r="D149" s="6">
        <v>17.467926373918505</v>
      </c>
      <c r="E149" s="6">
        <v>14.83781077153826</v>
      </c>
      <c r="F149" s="6">
        <v>18.218130973332585</v>
      </c>
      <c r="G149" s="6">
        <v>20.562105863308954</v>
      </c>
      <c r="H149" s="6">
        <v>22.613995122893503</v>
      </c>
      <c r="I149" s="6">
        <v>18.85771837676862</v>
      </c>
      <c r="J149" s="6">
        <v>21.409162814144118</v>
      </c>
      <c r="K149" s="6">
        <v>31.380812886423371</v>
      </c>
      <c r="L149" s="6">
        <v>42.170499235401913</v>
      </c>
      <c r="M149" s="6">
        <v>36.877765555184695</v>
      </c>
      <c r="N149" s="6">
        <v>20.840713320319512</v>
      </c>
      <c r="O149" s="6">
        <v>30.686566509879118</v>
      </c>
      <c r="P149" s="6">
        <v>19.320188704042405</v>
      </c>
      <c r="Q149" s="6">
        <v>21.817556636413137</v>
      </c>
      <c r="R149" s="6">
        <v>16.55306517230499</v>
      </c>
      <c r="S149" s="6">
        <v>35.491572472817687</v>
      </c>
      <c r="T149" s="6">
        <v>16.823840592686931</v>
      </c>
      <c r="U149" s="6">
        <v>14.217769153604705</v>
      </c>
      <c r="V149" s="6">
        <v>14.604053087566182</v>
      </c>
      <c r="W149" s="6">
        <v>19.060868688018836</v>
      </c>
      <c r="Y149" s="6">
        <f t="shared" si="16"/>
        <v>453.81212231056799</v>
      </c>
      <c r="Z149">
        <f t="shared" si="17"/>
        <v>-19.748368092378289</v>
      </c>
    </row>
    <row r="150" spans="1:26" x14ac:dyDescent="0.25">
      <c r="A150" t="s">
        <v>47</v>
      </c>
      <c r="D150" s="6">
        <v>26.78754371480905</v>
      </c>
      <c r="E150" s="6">
        <v>28.618579433120853</v>
      </c>
      <c r="F150" s="6">
        <v>21.45855212843497</v>
      </c>
      <c r="G150" s="6">
        <v>35.558710510797837</v>
      </c>
      <c r="H150" s="6">
        <v>29.979395855283204</v>
      </c>
      <c r="I150" s="6">
        <v>23.470691307741568</v>
      </c>
      <c r="J150" s="6">
        <v>27.999106569119814</v>
      </c>
      <c r="K150" s="6">
        <v>33.130780131342895</v>
      </c>
      <c r="L150" s="6">
        <v>27.375065193255047</v>
      </c>
      <c r="M150" s="6">
        <v>29.870787457110449</v>
      </c>
      <c r="N150" s="6">
        <v>28.691480787267945</v>
      </c>
      <c r="O150" s="6">
        <v>26.932778746621775</v>
      </c>
      <c r="P150" s="6">
        <v>30.606042859296547</v>
      </c>
      <c r="Q150" s="6">
        <v>24.796211955912202</v>
      </c>
      <c r="R150" s="6">
        <v>33.071976169826236</v>
      </c>
      <c r="S150" s="6">
        <v>41.376153251076097</v>
      </c>
      <c r="T150" s="6">
        <v>20.647073189274501</v>
      </c>
      <c r="U150" s="6">
        <v>24.163030786453501</v>
      </c>
      <c r="V150" s="6">
        <v>23.208763850050783</v>
      </c>
      <c r="W150" s="6">
        <v>26.029839398401929</v>
      </c>
      <c r="Y150" s="6">
        <f t="shared" si="16"/>
        <v>563.7725632951973</v>
      </c>
      <c r="Z150">
        <f t="shared" si="17"/>
        <v>-20.520109280974005</v>
      </c>
    </row>
    <row r="151" spans="1:26" x14ac:dyDescent="0.25">
      <c r="A151" t="s">
        <v>48</v>
      </c>
      <c r="D151" s="6">
        <v>35.721652874095902</v>
      </c>
      <c r="E151" s="6">
        <v>41.661115067946596</v>
      </c>
      <c r="F151" s="6">
        <v>45.360659493835207</v>
      </c>
      <c r="G151" s="6">
        <v>55.826158162564944</v>
      </c>
      <c r="H151" s="6">
        <v>53.256716171497082</v>
      </c>
      <c r="I151" s="6">
        <v>54.726048007027437</v>
      </c>
      <c r="J151" s="6">
        <v>69.836269513735218</v>
      </c>
      <c r="K151" s="6">
        <v>64.749645627461518</v>
      </c>
      <c r="L151" s="6">
        <v>42.300675158245646</v>
      </c>
      <c r="M151" s="6">
        <v>31.604319899713452</v>
      </c>
      <c r="N151" s="6">
        <v>36.940084522336683</v>
      </c>
      <c r="O151" s="6">
        <v>24.875834961898512</v>
      </c>
      <c r="P151" s="6">
        <v>29.775163564603282</v>
      </c>
      <c r="Q151" s="6">
        <v>32.260534758960901</v>
      </c>
      <c r="R151" s="6">
        <v>26.178964688881997</v>
      </c>
      <c r="S151" s="6">
        <v>15.22011978363299</v>
      </c>
      <c r="T151" s="6">
        <v>19.502196567645193</v>
      </c>
      <c r="U151" s="6">
        <v>18.599125795401172</v>
      </c>
      <c r="V151" s="6">
        <v>19.55496452401648</v>
      </c>
      <c r="W151" s="6">
        <v>19.173223420382733</v>
      </c>
      <c r="Y151" s="6">
        <f t="shared" si="16"/>
        <v>737.12347256388307</v>
      </c>
      <c r="Z151">
        <f t="shared" si="17"/>
        <v>-19.489509347541897</v>
      </c>
    </row>
    <row r="152" spans="1:26" x14ac:dyDescent="0.25">
      <c r="A152" t="s">
        <v>49</v>
      </c>
      <c r="D152" s="6">
        <v>15.962802857246439</v>
      </c>
      <c r="E152" s="6">
        <v>25.57256023536009</v>
      </c>
      <c r="F152" s="6">
        <v>31.041419302397909</v>
      </c>
      <c r="G152" s="6">
        <v>25.796767192210776</v>
      </c>
      <c r="H152" s="6">
        <v>21.93866000064325</v>
      </c>
      <c r="I152" s="6">
        <v>22.896137768214864</v>
      </c>
      <c r="J152" s="6">
        <v>24.276296282666685</v>
      </c>
      <c r="K152" s="6">
        <v>31.983950668072275</v>
      </c>
      <c r="L152" s="6">
        <v>27.411548244527435</v>
      </c>
      <c r="M152" s="6">
        <v>27.191967456137224</v>
      </c>
      <c r="N152" s="6">
        <v>31.687944498587207</v>
      </c>
      <c r="O152" s="6">
        <v>26.983948316536516</v>
      </c>
      <c r="P152" s="6">
        <v>38.225987589967986</v>
      </c>
      <c r="Q152" s="6">
        <v>60.05889797078661</v>
      </c>
      <c r="R152" s="6">
        <v>44.788098058577091</v>
      </c>
      <c r="S152" s="6">
        <v>33.806904280480246</v>
      </c>
      <c r="T152" s="6">
        <v>21.558716281032986</v>
      </c>
      <c r="U152" s="6">
        <v>26.699821082273697</v>
      </c>
      <c r="V152" s="6">
        <v>28.696777740392186</v>
      </c>
      <c r="W152" s="6">
        <v>17.10893882241071</v>
      </c>
      <c r="Y152" s="6">
        <f t="shared" si="16"/>
        <v>583.68814464852221</v>
      </c>
      <c r="Z152">
        <f t="shared" si="17"/>
        <v>-31.94772608477659</v>
      </c>
    </row>
    <row r="153" spans="1:26" x14ac:dyDescent="0.25">
      <c r="A153" t="s">
        <v>50</v>
      </c>
      <c r="D153" s="6">
        <v>22.892916489244453</v>
      </c>
      <c r="E153" s="6">
        <v>23.478492947289219</v>
      </c>
      <c r="F153" s="6">
        <v>-0.26892475613792854</v>
      </c>
      <c r="G153" s="6">
        <v>35.676758252018494</v>
      </c>
      <c r="H153" s="6">
        <v>35.691087245585734</v>
      </c>
      <c r="I153" s="6">
        <v>30.57617926931648</v>
      </c>
      <c r="J153" s="6">
        <v>29.100164574494499</v>
      </c>
      <c r="K153" s="6">
        <v>26.329173252056538</v>
      </c>
      <c r="L153" s="6">
        <v>32.337341583708991</v>
      </c>
      <c r="M153" s="6">
        <v>61.191044624538151</v>
      </c>
      <c r="N153" s="6">
        <v>85.96204588290027</v>
      </c>
      <c r="O153" s="6">
        <v>95.640140054059046</v>
      </c>
      <c r="P153" s="6">
        <v>96.599725604619735</v>
      </c>
      <c r="Q153" s="6">
        <v>97.629837198472515</v>
      </c>
      <c r="R153" s="6">
        <v>8.0833058755645002</v>
      </c>
      <c r="S153" s="6">
        <v>10.209700790726709</v>
      </c>
      <c r="T153" s="6">
        <v>44.671571708214024</v>
      </c>
      <c r="U153" s="6">
        <v>37.04344794746919</v>
      </c>
      <c r="V153" s="6">
        <v>31.432146100574098</v>
      </c>
      <c r="W153" s="6">
        <v>18.259528514223749</v>
      </c>
      <c r="Y153" s="6">
        <f t="shared" si="16"/>
        <v>822.53568315893858</v>
      </c>
      <c r="Z153">
        <f t="shared" si="17"/>
        <v>-85.869398709671543</v>
      </c>
    </row>
    <row r="154" spans="1:26" x14ac:dyDescent="0.25">
      <c r="A154" t="s">
        <v>51</v>
      </c>
      <c r="D154" s="6">
        <v>32.648136471590455</v>
      </c>
      <c r="E154" s="6">
        <v>57.742990690477704</v>
      </c>
      <c r="F154" s="6">
        <v>92.008044215125011</v>
      </c>
      <c r="G154" s="6">
        <v>44.309325975315957</v>
      </c>
      <c r="H154" s="6">
        <v>38.075515116908221</v>
      </c>
      <c r="I154" s="6">
        <v>25.412265906435874</v>
      </c>
      <c r="J154" s="6">
        <v>67.32557188692131</v>
      </c>
      <c r="K154" s="6">
        <v>78.082074981949077</v>
      </c>
      <c r="L154" s="6">
        <v>78.028480930393727</v>
      </c>
      <c r="M154" s="6">
        <v>82.409407445418225</v>
      </c>
      <c r="N154" s="6">
        <v>84.917613580120573</v>
      </c>
      <c r="O154" s="6">
        <v>71.807840018734865</v>
      </c>
      <c r="P154" s="6">
        <v>74.890744704943629</v>
      </c>
      <c r="Q154" s="6">
        <v>68.275113424748312</v>
      </c>
      <c r="R154" s="6">
        <v>79.600766672329769</v>
      </c>
      <c r="S154" s="6">
        <v>73.803707398802999</v>
      </c>
      <c r="T154" s="6">
        <v>78.434307375792613</v>
      </c>
      <c r="U154" s="6">
        <v>48.865924873670338</v>
      </c>
      <c r="V154" s="6">
        <v>50.772497941058639</v>
      </c>
      <c r="W154" s="6">
        <v>35.112391503881341</v>
      </c>
      <c r="Y154" s="6">
        <f t="shared" si="16"/>
        <v>1262.5227211146184</v>
      </c>
      <c r="Z154">
        <f t="shared" si="17"/>
        <v>-81.162209272172632</v>
      </c>
    </row>
    <row r="155" spans="1:26" x14ac:dyDescent="0.25">
      <c r="A155" t="s">
        <v>52</v>
      </c>
      <c r="D155" s="6">
        <v>27.704456522856951</v>
      </c>
      <c r="E155" s="6">
        <v>28.404970256181013</v>
      </c>
      <c r="F155" s="6">
        <v>29.083349313242469</v>
      </c>
      <c r="G155" s="6">
        <v>25.933000673845918</v>
      </c>
      <c r="H155" s="6">
        <v>31.814679944745002</v>
      </c>
      <c r="I155" s="6">
        <v>39.843184548426265</v>
      </c>
      <c r="J155" s="6">
        <v>20.831348043740043</v>
      </c>
      <c r="K155" s="6">
        <v>23.132031931836234</v>
      </c>
      <c r="L155" s="6">
        <v>32.487592036270129</v>
      </c>
      <c r="M155" s="6">
        <v>30.849982737094518</v>
      </c>
      <c r="N155" s="6">
        <v>31.467427119980222</v>
      </c>
      <c r="O155" s="6">
        <v>29.068174914381274</v>
      </c>
      <c r="P155" s="6">
        <v>28.835708179492062</v>
      </c>
      <c r="Q155" s="6">
        <v>22.70642434527144</v>
      </c>
      <c r="R155" s="6">
        <v>25.833388748057249</v>
      </c>
      <c r="S155" s="6">
        <v>28.264271907582323</v>
      </c>
      <c r="T155" s="6">
        <v>19.70364881490778</v>
      </c>
      <c r="U155" s="6">
        <v>24.228038021428912</v>
      </c>
      <c r="V155" s="6">
        <v>19.711273687321832</v>
      </c>
      <c r="W155" s="6">
        <v>22.896260312850323</v>
      </c>
      <c r="Y155" s="6">
        <f t="shared" si="16"/>
        <v>542.799212059512</v>
      </c>
      <c r="Z155">
        <f t="shared" si="17"/>
        <v>-15.801512150314226</v>
      </c>
    </row>
    <row r="156" spans="1:26" x14ac:dyDescent="0.25">
      <c r="A156" t="s">
        <v>53</v>
      </c>
      <c r="D156" s="6">
        <v>19.041447067479087</v>
      </c>
      <c r="E156" s="6">
        <v>19.104035165774743</v>
      </c>
      <c r="F156" s="6">
        <v>17.432658287907262</v>
      </c>
      <c r="G156" s="6">
        <v>23.757798749898576</v>
      </c>
      <c r="H156" s="6">
        <v>24.975944304865774</v>
      </c>
      <c r="I156" s="6">
        <v>20.128321033570611</v>
      </c>
      <c r="J156" s="6">
        <v>31.529677706731185</v>
      </c>
      <c r="K156" s="6">
        <v>33.312437043292483</v>
      </c>
      <c r="L156" s="6">
        <v>39.416641155447493</v>
      </c>
      <c r="M156" s="6">
        <v>33.171809916863111</v>
      </c>
      <c r="N156" s="6">
        <v>24.411813379514161</v>
      </c>
      <c r="O156" s="6">
        <v>28.32917876562264</v>
      </c>
      <c r="P156" s="6">
        <v>27.727813482985955</v>
      </c>
      <c r="Q156" s="6">
        <v>14.492032941459781</v>
      </c>
      <c r="R156" s="6">
        <v>19.760170122519064</v>
      </c>
      <c r="S156" s="6">
        <v>21.680582923151853</v>
      </c>
      <c r="T156" s="6">
        <v>27.11426403421709</v>
      </c>
      <c r="U156" s="6">
        <v>21.406041907362741</v>
      </c>
      <c r="V156" s="6">
        <v>15.863032240956727</v>
      </c>
      <c r="W156" s="6">
        <v>15.086957724391354</v>
      </c>
      <c r="Y156" s="6">
        <f t="shared" si="16"/>
        <v>477.7426579540118</v>
      </c>
      <c r="Z156">
        <f t="shared" si="17"/>
        <v>-27.924392131771036</v>
      </c>
    </row>
    <row r="157" spans="1:26" x14ac:dyDescent="0.25">
      <c r="A157" t="s">
        <v>54</v>
      </c>
      <c r="D157" s="6">
        <v>23.784810755733467</v>
      </c>
      <c r="E157" s="6">
        <v>35.040079083896636</v>
      </c>
      <c r="F157" s="6">
        <v>30.530591536092651</v>
      </c>
      <c r="G157" s="6">
        <v>19.723997668300083</v>
      </c>
      <c r="H157" s="6">
        <v>17.087149954321642</v>
      </c>
      <c r="I157" s="6">
        <v>22.678105468114644</v>
      </c>
      <c r="J157" s="6">
        <v>14.91003721321853</v>
      </c>
      <c r="K157" s="6">
        <v>18.027759387445908</v>
      </c>
      <c r="L157" s="6">
        <v>28.266890294419497</v>
      </c>
      <c r="M157" s="6">
        <v>35.077116380152376</v>
      </c>
      <c r="N157" s="6">
        <v>40.83362254217257</v>
      </c>
      <c r="O157" s="6">
        <v>43.36079021491242</v>
      </c>
      <c r="P157" s="6">
        <v>44.883770989954108</v>
      </c>
      <c r="Q157" s="6">
        <v>35.935985342083718</v>
      </c>
      <c r="R157" s="6">
        <v>14.175641915724212</v>
      </c>
      <c r="S157" s="6">
        <v>18.810937607774413</v>
      </c>
      <c r="T157" s="6">
        <v>17.018829923696224</v>
      </c>
      <c r="U157" s="6">
        <v>18.990514561057239</v>
      </c>
      <c r="V157" s="6">
        <v>13.165251971360291</v>
      </c>
      <c r="W157" s="6">
        <v>25.502781173734132</v>
      </c>
      <c r="Y157" s="6">
        <f t="shared" si="16"/>
        <v>517.80466398416468</v>
      </c>
      <c r="Z157">
        <f t="shared" si="17"/>
        <v>-23.827498789724164</v>
      </c>
    </row>
    <row r="158" spans="1:26" x14ac:dyDescent="0.25">
      <c r="A158" t="s">
        <v>55</v>
      </c>
      <c r="D158" s="6">
        <v>40.273984838338365</v>
      </c>
      <c r="E158" s="6">
        <v>35.692890853281611</v>
      </c>
      <c r="F158" s="6">
        <v>25.004103749947721</v>
      </c>
      <c r="G158" s="6">
        <v>35.420068530213534</v>
      </c>
      <c r="H158" s="6">
        <v>34.563515309739024</v>
      </c>
      <c r="I158" s="6">
        <v>39.92229274059757</v>
      </c>
      <c r="J158" s="6">
        <v>28.576049288057749</v>
      </c>
      <c r="K158" s="6">
        <v>25.815754932014492</v>
      </c>
      <c r="L158" s="6">
        <v>28.399190922631334</v>
      </c>
      <c r="M158" s="6">
        <v>28.674113459843174</v>
      </c>
      <c r="N158" s="6">
        <v>26.622600261436258</v>
      </c>
      <c r="O158" s="6">
        <v>14.633126309893575</v>
      </c>
      <c r="P158" s="6">
        <v>21.55596450298432</v>
      </c>
      <c r="Q158" s="6">
        <v>34.371135388392517</v>
      </c>
      <c r="R158" s="6">
        <v>17.607923162439597</v>
      </c>
      <c r="S158" s="6">
        <v>28.687853950671418</v>
      </c>
      <c r="T158" s="6">
        <v>17.080829104259614</v>
      </c>
      <c r="U158" s="6">
        <v>15.820714340597808</v>
      </c>
      <c r="V158" s="6">
        <v>34.387590431084611</v>
      </c>
      <c r="W158" s="6">
        <v>28.615048915337773</v>
      </c>
      <c r="Y158" s="6">
        <f t="shared" si="16"/>
        <v>561.72475099176199</v>
      </c>
      <c r="Z158">
        <f t="shared" si="17"/>
        <v>-9.3917699852417371</v>
      </c>
    </row>
    <row r="159" spans="1:26" x14ac:dyDescent="0.25">
      <c r="A159" t="s">
        <v>56</v>
      </c>
      <c r="D159" s="6">
        <v>39.425503397904052</v>
      </c>
      <c r="E159" s="6">
        <v>30.061673862942143</v>
      </c>
      <c r="F159" s="6">
        <v>31.586485974595309</v>
      </c>
      <c r="G159" s="6">
        <v>28.516783945489319</v>
      </c>
      <c r="H159" s="6">
        <v>19.378928697190783</v>
      </c>
      <c r="I159" s="6">
        <v>25.185860005084255</v>
      </c>
      <c r="J159" s="6">
        <v>26.023519248681534</v>
      </c>
      <c r="K159" s="6">
        <v>34.940888834446227</v>
      </c>
      <c r="L159" s="6">
        <v>22.10149051203009</v>
      </c>
      <c r="M159" s="6">
        <v>27.160917636402278</v>
      </c>
      <c r="N159" s="6">
        <v>23.583942600107353</v>
      </c>
      <c r="O159" s="6">
        <v>31.266301693258576</v>
      </c>
      <c r="P159" s="6">
        <v>36.901653748529682</v>
      </c>
      <c r="Q159" s="6">
        <v>21.081770872547562</v>
      </c>
      <c r="R159" s="6">
        <v>19.221587540532177</v>
      </c>
      <c r="S159" s="6">
        <v>17.068595238737714</v>
      </c>
      <c r="T159" s="6">
        <v>11.760480860119802</v>
      </c>
      <c r="U159" s="6">
        <v>10.203704844928714</v>
      </c>
      <c r="V159" s="6">
        <v>42.166071487821675</v>
      </c>
      <c r="W159" s="6">
        <v>28.716743667456097</v>
      </c>
      <c r="Y159" s="6">
        <f t="shared" si="16"/>
        <v>526.35290466880542</v>
      </c>
      <c r="Z159">
        <f t="shared" si="17"/>
        <v>-17.262190299968747</v>
      </c>
    </row>
    <row r="160" spans="1:26" x14ac:dyDescent="0.25">
      <c r="A160" t="s">
        <v>57</v>
      </c>
      <c r="D160" s="6">
        <v>25.620183527948775</v>
      </c>
      <c r="E160" s="6">
        <v>29.335421430698648</v>
      </c>
      <c r="F160" s="6">
        <v>27.416270977291759</v>
      </c>
      <c r="G160" s="6">
        <v>29.617909490133858</v>
      </c>
      <c r="H160" s="6">
        <v>24.204346182522112</v>
      </c>
      <c r="I160" s="6">
        <v>29.468646763846841</v>
      </c>
      <c r="J160" s="6">
        <v>23.737801095333339</v>
      </c>
      <c r="K160" s="6">
        <v>28.819384439293888</v>
      </c>
      <c r="L160" s="6">
        <v>30.704788054683245</v>
      </c>
      <c r="M160" s="6">
        <v>32.964130881613904</v>
      </c>
      <c r="N160" s="6">
        <v>35.365837847317785</v>
      </c>
      <c r="O160" s="6">
        <v>31.415345229126363</v>
      </c>
      <c r="P160" s="6">
        <v>36.046371271301858</v>
      </c>
      <c r="Q160" s="6">
        <v>36.845618200068074</v>
      </c>
      <c r="R160" s="6">
        <v>29.551399047083539</v>
      </c>
      <c r="S160" s="6">
        <v>25.078364264757223</v>
      </c>
      <c r="T160" s="6">
        <v>23.655643621039125</v>
      </c>
      <c r="U160" s="6">
        <v>31.74345552624726</v>
      </c>
      <c r="V160" s="6">
        <v>25.180190977250184</v>
      </c>
      <c r="W160" s="6">
        <v>23.287452619434998</v>
      </c>
      <c r="Y160" s="6">
        <f t="shared" si="16"/>
        <v>580.05856144699271</v>
      </c>
      <c r="Z160">
        <f t="shared" si="17"/>
        <v>-28.056638868541253</v>
      </c>
    </row>
    <row r="161" spans="1:27" x14ac:dyDescent="0.25">
      <c r="A161" t="s">
        <v>58</v>
      </c>
      <c r="D161" s="6">
        <v>13.65839305314738</v>
      </c>
      <c r="E161" s="6">
        <v>19.103194885914924</v>
      </c>
      <c r="F161" s="6">
        <v>31.278993651635083</v>
      </c>
      <c r="G161" s="6">
        <v>53.48943325978663</v>
      </c>
      <c r="H161" s="6">
        <v>21.7408592493064</v>
      </c>
      <c r="I161" s="6">
        <v>14.097666084713735</v>
      </c>
      <c r="J161" s="6">
        <v>18.375415355048766</v>
      </c>
      <c r="K161" s="6">
        <v>25.666260065014452</v>
      </c>
      <c r="L161" s="6">
        <v>24.506191369456154</v>
      </c>
      <c r="M161" s="6">
        <v>25.650735247990958</v>
      </c>
      <c r="N161" s="6">
        <v>19.828106562217247</v>
      </c>
      <c r="O161" s="6">
        <v>30.366590801844911</v>
      </c>
      <c r="P161" s="6">
        <v>18.397045799589822</v>
      </c>
      <c r="Q161" s="6">
        <v>18.00210002408463</v>
      </c>
      <c r="R161" s="6">
        <v>15.991436296489313</v>
      </c>
      <c r="S161" s="6">
        <v>20.860699329673327</v>
      </c>
      <c r="T161" s="6">
        <v>25.001850047402375</v>
      </c>
      <c r="U161" s="6">
        <v>10.741891095413607</v>
      </c>
      <c r="V161" s="6">
        <v>9.7943071311398224</v>
      </c>
      <c r="W161" s="6">
        <v>20.738236269471777</v>
      </c>
      <c r="Y161" s="6">
        <f t="shared" si="16"/>
        <v>437.28940557934135</v>
      </c>
      <c r="Z161">
        <f t="shared" si="17"/>
        <v>-14.478970099450597</v>
      </c>
    </row>
    <row r="162" spans="1:27" x14ac:dyDescent="0.25">
      <c r="A162" t="s">
        <v>59</v>
      </c>
      <c r="D162" s="6">
        <v>21.061489375331835</v>
      </c>
      <c r="E162" s="6">
        <v>14.427569014444373</v>
      </c>
      <c r="F162" s="6">
        <v>15.731149016975989</v>
      </c>
      <c r="G162" s="6">
        <v>21.141383662470353</v>
      </c>
      <c r="H162" s="6">
        <v>14.669650519172317</v>
      </c>
      <c r="I162" s="6">
        <v>19.006113112820618</v>
      </c>
      <c r="J162" s="6">
        <v>25.062568696928473</v>
      </c>
      <c r="K162" s="6">
        <v>20.315197979058336</v>
      </c>
      <c r="L162" s="6">
        <v>15.633921659017776</v>
      </c>
      <c r="M162" s="6">
        <v>22.889677701859846</v>
      </c>
      <c r="N162" s="6">
        <v>31.604508752925238</v>
      </c>
      <c r="O162" s="6">
        <v>28.946331809439972</v>
      </c>
      <c r="P162" s="6">
        <v>27.136396816604826</v>
      </c>
      <c r="Q162" s="6">
        <v>16.98747519116128</v>
      </c>
      <c r="R162" s="6">
        <v>23.968653067830534</v>
      </c>
      <c r="S162" s="6">
        <v>26.859267198437315</v>
      </c>
      <c r="T162" s="6">
        <v>19.984222186155545</v>
      </c>
      <c r="U162" s="6">
        <v>20.194161138658171</v>
      </c>
      <c r="V162" s="6">
        <v>25.52357048723184</v>
      </c>
      <c r="W162" s="6">
        <v>24.294697238678271</v>
      </c>
      <c r="Y162" s="6">
        <f t="shared" si="16"/>
        <v>435.43800462520289</v>
      </c>
      <c r="Z162">
        <f t="shared" si="17"/>
        <v>-26.81809757595336</v>
      </c>
    </row>
    <row r="163" spans="1:27" x14ac:dyDescent="0.25">
      <c r="A163" t="s">
        <v>60</v>
      </c>
      <c r="D163" s="6">
        <v>17.846194533520556</v>
      </c>
      <c r="E163" s="6">
        <v>17.80831938424587</v>
      </c>
      <c r="F163" s="6">
        <v>20.738061003574497</v>
      </c>
      <c r="G163" s="6">
        <v>22.90425701391079</v>
      </c>
      <c r="H163" s="6">
        <v>18.046519936495702</v>
      </c>
      <c r="I163" s="6">
        <v>23.118989679546598</v>
      </c>
      <c r="J163" s="6">
        <v>17.457559388692633</v>
      </c>
      <c r="K163" s="6">
        <v>27.51431591853413</v>
      </c>
      <c r="L163" s="6">
        <v>32.239202939024338</v>
      </c>
      <c r="M163" s="6">
        <v>28.499978348357413</v>
      </c>
      <c r="N163" s="6">
        <v>24.730662128543976</v>
      </c>
      <c r="O163" s="6">
        <v>16.758497856970376</v>
      </c>
      <c r="P163" s="6">
        <v>25.558323673984692</v>
      </c>
      <c r="Q163" s="6">
        <v>33.867890153867826</v>
      </c>
      <c r="R163" s="6">
        <v>20.252534221325394</v>
      </c>
      <c r="S163" s="6">
        <v>24.452062386803927</v>
      </c>
      <c r="T163" s="6">
        <v>27.138363994821919</v>
      </c>
      <c r="U163" s="6">
        <v>24.643960653990177</v>
      </c>
      <c r="V163" s="6">
        <v>8.0372607028244456</v>
      </c>
      <c r="W163" s="6">
        <v>14.191785208132867</v>
      </c>
      <c r="Y163" s="6">
        <f t="shared" si="16"/>
        <v>445.80473912716815</v>
      </c>
      <c r="Z163">
        <f t="shared" si="17"/>
        <v>-21.422413519494771</v>
      </c>
      <c r="AA163" s="6"/>
    </row>
    <row r="164" spans="1:27" x14ac:dyDescent="0.25">
      <c r="A164" t="s">
        <v>61</v>
      </c>
      <c r="D164" s="6">
        <v>26.335120508390936</v>
      </c>
      <c r="E164" s="6">
        <v>28.721116629755773</v>
      </c>
      <c r="F164" s="6">
        <v>28.081608280739726</v>
      </c>
      <c r="G164" s="6">
        <v>23.405692911070112</v>
      </c>
      <c r="H164" s="6">
        <v>22.531791703789885</v>
      </c>
      <c r="I164" s="6">
        <v>21.711943736875039</v>
      </c>
      <c r="J164" s="6">
        <v>28.363893547072752</v>
      </c>
      <c r="K164" s="6">
        <v>23.776713027533638</v>
      </c>
      <c r="L164" s="6">
        <v>22.696620765190154</v>
      </c>
      <c r="M164" s="6">
        <v>31.2810579264689</v>
      </c>
      <c r="N164" s="6">
        <v>30.862591933418319</v>
      </c>
      <c r="O164" s="6">
        <v>40.8639269997255</v>
      </c>
      <c r="P164" s="6">
        <v>30.530387364525456</v>
      </c>
      <c r="Q164" s="6">
        <v>17.871009182308097</v>
      </c>
      <c r="R164" s="6">
        <v>22.450589653708001</v>
      </c>
      <c r="S164" s="6">
        <v>32.283063243546408</v>
      </c>
      <c r="T164" s="6">
        <v>19.197552158654993</v>
      </c>
      <c r="U164" s="6">
        <v>16.405357014023867</v>
      </c>
      <c r="V164" s="6">
        <v>15.483149714165451</v>
      </c>
      <c r="W164" s="6">
        <v>18.315858220256196</v>
      </c>
      <c r="Y164" s="6">
        <f t="shared" si="16"/>
        <v>501.16904452121923</v>
      </c>
      <c r="Z164">
        <f t="shared" si="17"/>
        <v>-20.193367240892513</v>
      </c>
      <c r="AA164" s="6"/>
    </row>
    <row r="165" spans="1:27" x14ac:dyDescent="0.25">
      <c r="A165" t="s">
        <v>62</v>
      </c>
      <c r="D165" s="6">
        <v>20.347433507887626</v>
      </c>
      <c r="E165" s="6">
        <v>19.459346605333334</v>
      </c>
      <c r="F165" s="6">
        <v>21.342618808274242</v>
      </c>
      <c r="G165" s="6">
        <v>20.827667875956415</v>
      </c>
      <c r="H165" s="6">
        <v>22.463113495394307</v>
      </c>
      <c r="I165" s="6">
        <v>25.401295411390855</v>
      </c>
      <c r="J165" s="6">
        <v>23.812644193814684</v>
      </c>
      <c r="K165" s="6">
        <v>24.918442687091208</v>
      </c>
      <c r="L165" s="6">
        <v>29.237410815559727</v>
      </c>
      <c r="M165" s="6">
        <v>22.978088420128319</v>
      </c>
      <c r="N165" s="6">
        <v>24.075233921583926</v>
      </c>
      <c r="O165" s="6">
        <v>26.636424426897928</v>
      </c>
      <c r="P165" s="6">
        <v>24.67333194621343</v>
      </c>
      <c r="Q165" s="6">
        <v>28.419366542602489</v>
      </c>
      <c r="R165" s="6">
        <v>35.656814798744406</v>
      </c>
      <c r="S165" s="6">
        <v>31.58506183635809</v>
      </c>
      <c r="T165" s="6">
        <v>8.0968958499294423</v>
      </c>
      <c r="U165" s="6">
        <v>20.7976953811268</v>
      </c>
      <c r="V165" s="6">
        <v>22.048484467595763</v>
      </c>
      <c r="W165" s="6">
        <v>16.75392334458229</v>
      </c>
      <c r="Y165" s="6">
        <f t="shared" si="16"/>
        <v>469.53129433646529</v>
      </c>
      <c r="Z165">
        <f t="shared" si="17"/>
        <v>-18.607821801878625</v>
      </c>
      <c r="AA165" s="6"/>
    </row>
    <row r="166" spans="1:27" x14ac:dyDescent="0.25">
      <c r="A166" t="s">
        <v>63</v>
      </c>
      <c r="D166" s="6">
        <v>21.348343120473519</v>
      </c>
      <c r="E166" s="6">
        <v>20.943731777553648</v>
      </c>
      <c r="F166" s="6">
        <v>22.850131215366588</v>
      </c>
      <c r="G166" s="6">
        <v>21.358250437544338</v>
      </c>
      <c r="H166" s="6">
        <v>31.779298001760331</v>
      </c>
      <c r="I166" s="6">
        <v>24.219383972357946</v>
      </c>
      <c r="J166" s="6">
        <v>24.233429845554362</v>
      </c>
      <c r="K166" s="6">
        <v>25.350575911538112</v>
      </c>
      <c r="L166" s="6">
        <v>30.11354271082109</v>
      </c>
      <c r="M166" s="6">
        <v>47.006695800434173</v>
      </c>
      <c r="N166" s="6">
        <v>23.366820499714827</v>
      </c>
      <c r="O166" s="6">
        <v>38.959648861510907</v>
      </c>
      <c r="P166" s="6">
        <v>22.15223864423449</v>
      </c>
      <c r="Q166" s="6">
        <v>24.582863175148649</v>
      </c>
      <c r="R166" s="6">
        <v>20.290740237823861</v>
      </c>
      <c r="S166" s="6">
        <v>28.792532760666713</v>
      </c>
      <c r="T166" s="6">
        <v>19.391355108083911</v>
      </c>
      <c r="U166" s="6">
        <v>15.911809799640919</v>
      </c>
      <c r="V166" s="6">
        <v>31.522648005452602</v>
      </c>
      <c r="W166" s="6">
        <v>27.374602320403124</v>
      </c>
      <c r="Y166" s="6">
        <f t="shared" si="16"/>
        <v>521.54864220608408</v>
      </c>
      <c r="Z166">
        <f t="shared" si="17"/>
        <v>-24.743132908878554</v>
      </c>
      <c r="AA166" s="6"/>
    </row>
    <row r="167" spans="1:27" x14ac:dyDescent="0.25">
      <c r="A167" t="s">
        <v>64</v>
      </c>
      <c r="D167" s="6">
        <v>25.331575880046248</v>
      </c>
      <c r="E167" s="6">
        <v>27.238351447454402</v>
      </c>
      <c r="F167" s="6">
        <v>26.619671096263037</v>
      </c>
      <c r="G167" s="6">
        <v>23.781581003778957</v>
      </c>
      <c r="H167" s="6">
        <v>23.017864837695893</v>
      </c>
      <c r="I167" s="6">
        <v>35.125146857240658</v>
      </c>
      <c r="J167" s="6">
        <v>25.33956534372124</v>
      </c>
      <c r="K167" s="6">
        <v>28.165072337188331</v>
      </c>
      <c r="L167" s="6">
        <v>33.980234635292128</v>
      </c>
      <c r="M167" s="6">
        <v>32.530758783363474</v>
      </c>
      <c r="N167" s="6">
        <v>22.047364425155205</v>
      </c>
      <c r="O167" s="6">
        <v>27.784066382262857</v>
      </c>
      <c r="P167" s="6">
        <v>22.490885442978566</v>
      </c>
      <c r="Q167" s="6">
        <v>35.594077437088607</v>
      </c>
      <c r="R167" s="6">
        <v>40.170428786663429</v>
      </c>
      <c r="S167" s="6">
        <v>28.414278943611382</v>
      </c>
      <c r="T167" s="6">
        <v>24.448830846914706</v>
      </c>
      <c r="U167" s="6">
        <v>22.42499973082629</v>
      </c>
      <c r="V167" s="6">
        <v>21.13858099579409</v>
      </c>
      <c r="W167" s="6">
        <v>21.275903978703106</v>
      </c>
      <c r="Y167" s="6">
        <f t="shared" si="16"/>
        <v>546.91923919204271</v>
      </c>
      <c r="Z167">
        <f t="shared" si="17"/>
        <v>-20.063265461338201</v>
      </c>
      <c r="AA167" s="6"/>
    </row>
    <row r="168" spans="1:27" x14ac:dyDescent="0.25">
      <c r="A168" t="s">
        <v>65</v>
      </c>
      <c r="D168" s="6">
        <v>26.892465145877541</v>
      </c>
      <c r="E168" s="6">
        <v>22.460878979751321</v>
      </c>
      <c r="F168" s="6">
        <v>18.49374918222771</v>
      </c>
      <c r="G168" s="6">
        <v>16.090917896917681</v>
      </c>
      <c r="H168" s="6">
        <v>31.001484784365118</v>
      </c>
      <c r="I168" s="6">
        <v>30.957691650719656</v>
      </c>
      <c r="J168" s="6">
        <v>24.644286184934167</v>
      </c>
      <c r="K168" s="6">
        <v>22.887688476473297</v>
      </c>
      <c r="L168" s="6">
        <v>26.849595197406952</v>
      </c>
      <c r="M168" s="6">
        <v>28.178492836960334</v>
      </c>
      <c r="N168" s="6">
        <v>24.870259734989155</v>
      </c>
      <c r="O168" s="6">
        <v>20.820264620065632</v>
      </c>
      <c r="P168" s="6">
        <v>20.86993089676093</v>
      </c>
      <c r="Q168" s="6">
        <v>26.838160757898923</v>
      </c>
      <c r="R168" s="6">
        <v>10.285317865567148</v>
      </c>
      <c r="S168" s="6">
        <v>10.907369719832719</v>
      </c>
      <c r="T168" s="6">
        <v>14.984301257571676</v>
      </c>
      <c r="U168" s="6">
        <v>10.885878927975682</v>
      </c>
      <c r="V168" s="6">
        <v>14.26833931510485</v>
      </c>
      <c r="W168" s="6">
        <v>14.870825930976169</v>
      </c>
      <c r="Y168" s="6">
        <f t="shared" si="16"/>
        <v>418.05789936237682</v>
      </c>
      <c r="Z168">
        <f t="shared" si="17"/>
        <v>-13.829487146737749</v>
      </c>
      <c r="AA168" s="6"/>
    </row>
    <row r="169" spans="1:27" x14ac:dyDescent="0.25">
      <c r="A169" t="s">
        <v>66</v>
      </c>
      <c r="D169" s="6">
        <v>24.219971197283769</v>
      </c>
      <c r="E169" s="6">
        <v>21.569335808299304</v>
      </c>
      <c r="F169" s="6">
        <v>24.206362773128376</v>
      </c>
      <c r="G169" s="6">
        <v>17.520604680793308</v>
      </c>
      <c r="H169" s="6">
        <v>41.557825981032614</v>
      </c>
      <c r="I169" s="6">
        <v>35.949229073201828</v>
      </c>
      <c r="J169" s="6">
        <v>35.352057328397009</v>
      </c>
      <c r="K169" s="6">
        <v>40.129544206066839</v>
      </c>
      <c r="L169" s="6">
        <v>30.704458239862653</v>
      </c>
      <c r="M169" s="6">
        <v>21.379138190483406</v>
      </c>
      <c r="N169" s="6">
        <v>29.581359351790585</v>
      </c>
      <c r="O169" s="6">
        <v>38.191754933673316</v>
      </c>
      <c r="P169" s="6">
        <v>26.885903577988529</v>
      </c>
      <c r="Q169" s="6">
        <v>18.183004188190328</v>
      </c>
      <c r="R169" s="6">
        <v>23.619630445202855</v>
      </c>
      <c r="S169" s="6">
        <v>22.254238693607103</v>
      </c>
      <c r="T169" s="6">
        <v>16.137849093108908</v>
      </c>
      <c r="U169" s="6">
        <v>16.473642188131162</v>
      </c>
      <c r="V169" s="6">
        <v>15.138915051906039</v>
      </c>
      <c r="W169" s="6">
        <v>8.6006062291702978</v>
      </c>
      <c r="Y169" s="6">
        <f t="shared" si="16"/>
        <v>507.65543123131829</v>
      </c>
      <c r="Z169">
        <f t="shared" si="17"/>
        <v>-20.718194607462415</v>
      </c>
      <c r="AA169" s="6"/>
    </row>
    <row r="170" spans="1:27" x14ac:dyDescent="0.25">
      <c r="A170" t="s">
        <v>67</v>
      </c>
      <c r="D170" s="6">
        <v>17.486497168233903</v>
      </c>
      <c r="E170" s="6">
        <v>24.460248127679794</v>
      </c>
      <c r="F170" s="6">
        <v>42.635981085116178</v>
      </c>
      <c r="G170" s="6">
        <v>23.885069431467908</v>
      </c>
      <c r="H170" s="6">
        <v>29.728277120852642</v>
      </c>
      <c r="I170" s="6">
        <v>32.860083686364199</v>
      </c>
      <c r="J170" s="6">
        <v>34.71904082776409</v>
      </c>
      <c r="K170" s="6">
        <v>42.136697995535826</v>
      </c>
      <c r="L170" s="6">
        <v>26.539182312887842</v>
      </c>
      <c r="M170" s="6">
        <v>29.342986001006985</v>
      </c>
      <c r="N170" s="6">
        <v>26.392350093515152</v>
      </c>
      <c r="O170" s="6">
        <v>29.870114486318311</v>
      </c>
      <c r="P170" s="6">
        <v>25.037174795411367</v>
      </c>
      <c r="Q170" s="6">
        <v>25.292980828533274</v>
      </c>
      <c r="R170" s="6">
        <v>24.586838634608203</v>
      </c>
      <c r="S170" s="6">
        <v>25.693484347857957</v>
      </c>
      <c r="T170" s="6">
        <v>18.672421311905136</v>
      </c>
      <c r="U170" s="6">
        <v>18.467188104296632</v>
      </c>
      <c r="V170" s="6">
        <v>22.099798024824445</v>
      </c>
      <c r="W170" s="6">
        <v>12.054476515756823</v>
      </c>
      <c r="Y170" s="6">
        <f t="shared" si="16"/>
        <v>531.96089089993666</v>
      </c>
      <c r="Z170">
        <f t="shared" si="17"/>
        <v>-20.562944797766033</v>
      </c>
      <c r="AA170" s="6"/>
    </row>
    <row r="171" spans="1:27" x14ac:dyDescent="0.25">
      <c r="A171" t="s">
        <v>68</v>
      </c>
      <c r="D171" s="6">
        <v>35.91004276141684</v>
      </c>
      <c r="E171" s="6">
        <v>47.764868965883451</v>
      </c>
      <c r="F171" s="6">
        <v>63.452010748066762</v>
      </c>
      <c r="G171" s="6">
        <v>64.972985651276488</v>
      </c>
      <c r="H171" s="6">
        <v>46.359287482537539</v>
      </c>
      <c r="I171" s="6">
        <v>38.044515106995121</v>
      </c>
      <c r="J171" s="6">
        <v>36.149014865327928</v>
      </c>
      <c r="K171" s="6">
        <v>51.293652965897515</v>
      </c>
      <c r="L171" s="6">
        <v>46.895649148164793</v>
      </c>
      <c r="M171" s="6">
        <v>24.511988609880984</v>
      </c>
      <c r="N171" s="6">
        <v>32.825503085616958</v>
      </c>
      <c r="O171" s="6">
        <v>32.220110524137553</v>
      </c>
      <c r="P171" s="6">
        <v>25.524322853944778</v>
      </c>
      <c r="Q171" s="6">
        <v>31.050380158787824</v>
      </c>
      <c r="R171" s="6">
        <v>37.350555360675962</v>
      </c>
      <c r="S171" s="6">
        <v>40.047624916556565</v>
      </c>
      <c r="T171" s="6">
        <v>30.750205328802149</v>
      </c>
      <c r="U171" s="6">
        <v>27.060438680030455</v>
      </c>
      <c r="V171" s="6">
        <v>19.599195802398434</v>
      </c>
      <c r="W171" s="6">
        <v>12.355149290449338</v>
      </c>
      <c r="Y171" s="6">
        <f>SUM(D171:W171)</f>
        <v>744.1375023068473</v>
      </c>
      <c r="Z171">
        <f t="shared" si="17"/>
        <v>-10.912633918415054</v>
      </c>
      <c r="AA171" s="6"/>
    </row>
    <row r="172" spans="1:27" x14ac:dyDescent="0.25">
      <c r="A172" t="s">
        <v>69</v>
      </c>
      <c r="D172" s="6">
        <v>25.594253929921422</v>
      </c>
      <c r="E172" s="6">
        <v>28.387570748821929</v>
      </c>
      <c r="F172" s="6">
        <v>25.544751481636954</v>
      </c>
      <c r="G172" s="6">
        <v>27.853894112428414</v>
      </c>
      <c r="H172" s="6">
        <v>28.800414910684545</v>
      </c>
      <c r="I172" s="6">
        <v>34.649834779227589</v>
      </c>
      <c r="J172" s="6">
        <v>21.054912939718339</v>
      </c>
      <c r="K172" s="6">
        <v>29.013486537702203</v>
      </c>
      <c r="L172" s="6">
        <v>23.2067379590735</v>
      </c>
      <c r="M172" s="6">
        <v>29.651150821090823</v>
      </c>
      <c r="N172" s="6">
        <v>26.752685380723015</v>
      </c>
      <c r="O172" s="6">
        <v>31.918288904324001</v>
      </c>
      <c r="P172" s="6">
        <v>24.770521940257193</v>
      </c>
      <c r="Q172" s="6">
        <v>88.230838614874784</v>
      </c>
      <c r="R172" s="6">
        <v>21.302592827448301</v>
      </c>
      <c r="S172" s="6">
        <v>19.349667710821592</v>
      </c>
      <c r="T172" s="6">
        <v>17.898460649871264</v>
      </c>
      <c r="U172" s="6">
        <v>22.09945789266407</v>
      </c>
      <c r="V172" s="6">
        <v>16.280407880987941</v>
      </c>
      <c r="W172" s="6">
        <v>16.68517023630729</v>
      </c>
      <c r="Y172" s="6">
        <f t="shared" si="16"/>
        <v>559.04510025858508</v>
      </c>
      <c r="Z172">
        <f t="shared" si="17"/>
        <v>-22.389825329968367</v>
      </c>
    </row>
    <row r="173" spans="1:27" x14ac:dyDescent="0.25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Y173" s="6"/>
    </row>
    <row r="174" spans="1:27" x14ac:dyDescent="0.25">
      <c r="A174" t="s">
        <v>70</v>
      </c>
      <c r="D174" s="6">
        <v>22.534805710652272</v>
      </c>
      <c r="E174" s="6">
        <v>23.033140686930118</v>
      </c>
      <c r="F174" s="6">
        <v>22.135926981848986</v>
      </c>
      <c r="G174" s="6">
        <v>21.672135736256564</v>
      </c>
      <c r="H174" s="6">
        <v>26.680013884532507</v>
      </c>
      <c r="I174" s="6">
        <v>29.241783843101111</v>
      </c>
      <c r="J174" s="6">
        <v>29.198070858911141</v>
      </c>
      <c r="K174" s="6">
        <v>29.413359519244885</v>
      </c>
      <c r="L174" s="6">
        <v>80.441275626647894</v>
      </c>
      <c r="M174" s="6">
        <v>29.447412432918561</v>
      </c>
      <c r="N174" s="6">
        <v>26.238947061636104</v>
      </c>
      <c r="O174" s="6">
        <v>30.800084142398816</v>
      </c>
      <c r="P174" s="6">
        <v>24.05053876222366</v>
      </c>
      <c r="Q174" s="6">
        <v>34.773958962890603</v>
      </c>
      <c r="R174" s="6">
        <v>26.657864869591773</v>
      </c>
      <c r="S174" s="6">
        <v>25.880532366164015</v>
      </c>
      <c r="T174" s="6">
        <v>18.797539930773397</v>
      </c>
      <c r="U174" s="6">
        <v>19.2651388380865</v>
      </c>
      <c r="V174" s="6">
        <v>20.262046193008022</v>
      </c>
      <c r="W174" s="6">
        <v>16.246332230793556</v>
      </c>
      <c r="Y174" s="6">
        <f t="shared" si="16"/>
        <v>556.77090863861054</v>
      </c>
      <c r="Z174">
        <f>SUMPRODUCT($D$178:$W$178,D174:W174)</f>
        <v>-26.005033067904204</v>
      </c>
    </row>
    <row r="175" spans="1:27" x14ac:dyDescent="0.25">
      <c r="A175" t="s">
        <v>313</v>
      </c>
      <c r="D175" s="6">
        <v>31.740550692484074</v>
      </c>
      <c r="E175" s="6">
        <v>36.297647789872499</v>
      </c>
      <c r="F175" s="6">
        <v>33.297606906725022</v>
      </c>
      <c r="G175" s="6">
        <v>32.459570447690218</v>
      </c>
      <c r="H175" s="6">
        <v>36.522057355546039</v>
      </c>
      <c r="I175" s="6">
        <v>33.735336550856552</v>
      </c>
      <c r="J175" s="6">
        <v>31.249357453454156</v>
      </c>
      <c r="K175" s="6">
        <v>61.67311297901184</v>
      </c>
      <c r="L175" s="6">
        <v>32.487592036270129</v>
      </c>
      <c r="M175" s="6">
        <v>30.849982737094518</v>
      </c>
      <c r="N175" s="6">
        <v>31.467427119980222</v>
      </c>
      <c r="O175" s="6">
        <v>29.068174914381274</v>
      </c>
      <c r="P175" s="6">
        <v>53.9</v>
      </c>
      <c r="Q175" s="6">
        <v>56</v>
      </c>
      <c r="R175" s="6">
        <v>59.4</v>
      </c>
      <c r="S175" s="6">
        <v>29.1</v>
      </c>
      <c r="T175" s="6">
        <v>17.8</v>
      </c>
      <c r="U175" s="6">
        <v>22.1</v>
      </c>
      <c r="V175" s="6">
        <v>19.100000000000001</v>
      </c>
      <c r="W175" s="6">
        <v>14.2</v>
      </c>
      <c r="Y175" s="6">
        <f t="shared" si="16"/>
        <v>692.44841698336666</v>
      </c>
      <c r="Z175">
        <f>SUMPRODUCT($D$178:$W$178,D175:W175)</f>
        <v>-25.040005713868304</v>
      </c>
    </row>
    <row r="176" spans="1:27" x14ac:dyDescent="0.25">
      <c r="A176" t="s">
        <v>314</v>
      </c>
      <c r="D176" s="6">
        <v>30.437179197651062</v>
      </c>
      <c r="E176" s="6">
        <v>32.159820824939409</v>
      </c>
      <c r="F176" s="6">
        <v>31.576407369185166</v>
      </c>
      <c r="G176" s="6">
        <v>22.415459052370153</v>
      </c>
      <c r="H176" s="6">
        <v>33.389573157542436</v>
      </c>
      <c r="I176" s="6">
        <v>23.959451154050885</v>
      </c>
      <c r="J176" s="6">
        <v>23.396838901873682</v>
      </c>
      <c r="K176" s="6">
        <v>22.6</v>
      </c>
      <c r="L176" s="6">
        <v>38.6</v>
      </c>
      <c r="M176" s="6">
        <v>47.2</v>
      </c>
      <c r="N176" s="6">
        <v>29.6</v>
      </c>
      <c r="O176" s="6">
        <v>24.3</v>
      </c>
      <c r="P176" s="6">
        <v>24.774772042762184</v>
      </c>
      <c r="Q176" s="6">
        <v>26.331169033204773</v>
      </c>
      <c r="R176" s="6">
        <v>24.664111830455411</v>
      </c>
      <c r="S176" s="6">
        <v>25.547761491535539</v>
      </c>
      <c r="T176" s="6">
        <v>18.508446202623837</v>
      </c>
      <c r="U176" s="6">
        <v>18.251316475001442</v>
      </c>
      <c r="V176" s="6">
        <v>18.717147034708461</v>
      </c>
      <c r="W176" s="6">
        <v>16.679747718497609</v>
      </c>
      <c r="Y176" s="6">
        <f t="shared" si="16"/>
        <v>533.10920148640207</v>
      </c>
      <c r="Z176">
        <f>SUMPRODUCT($D$178:$W$178,D176:W176)</f>
        <v>-16.466317421518685</v>
      </c>
    </row>
    <row r="177" spans="1:26" x14ac:dyDescent="0.25">
      <c r="A177" t="s">
        <v>658</v>
      </c>
      <c r="D177" s="17">
        <v>43.582047245917011</v>
      </c>
      <c r="E177" s="17">
        <v>34.033797522596565</v>
      </c>
      <c r="F177" s="17">
        <v>44.826440134032602</v>
      </c>
      <c r="G177" s="17">
        <v>48.953237283582673</v>
      </c>
      <c r="H177" s="17">
        <v>48.070469865123989</v>
      </c>
      <c r="I177" s="17">
        <v>34.5</v>
      </c>
      <c r="J177" s="17">
        <v>30.4</v>
      </c>
      <c r="K177" s="17">
        <v>37.1</v>
      </c>
      <c r="L177" s="6">
        <v>30</v>
      </c>
      <c r="M177" s="6">
        <v>27.6</v>
      </c>
      <c r="N177" s="6">
        <v>26.4</v>
      </c>
      <c r="O177" s="6">
        <v>30.2</v>
      </c>
      <c r="P177" s="6">
        <v>26.4</v>
      </c>
      <c r="Q177" s="6">
        <v>27.5</v>
      </c>
      <c r="R177" s="6">
        <v>25.1</v>
      </c>
      <c r="S177" s="6">
        <v>25.3</v>
      </c>
      <c r="T177" s="6">
        <v>19.039147194642293</v>
      </c>
      <c r="U177" s="6">
        <v>18.241145367104938</v>
      </c>
      <c r="V177" s="6">
        <v>21.033443030092599</v>
      </c>
      <c r="W177" s="6">
        <v>19.206259295251833</v>
      </c>
      <c r="Y177" s="6">
        <f t="shared" ref="Y177" si="18">SUM(D177:W177)</f>
        <v>617.48598693834447</v>
      </c>
      <c r="Z177">
        <f>SUMPRODUCT($D$178:$W$178,D177:W177)</f>
        <v>-8.1298469483348743</v>
      </c>
    </row>
    <row r="178" spans="1:26" x14ac:dyDescent="0.25">
      <c r="A178" s="2" t="s">
        <v>71</v>
      </c>
      <c r="D178" s="3">
        <f>CORREL($B$2:$B$28,D146:D172)</f>
        <v>0.212823973142065</v>
      </c>
      <c r="E178" s="3">
        <f t="shared" ref="E178:W178" si="19">CORREL($B$2:$B$28,E146:E172)</f>
        <v>0.23754144438665178</v>
      </c>
      <c r="F178" s="3">
        <f t="shared" si="19"/>
        <v>0.13236495344559504</v>
      </c>
      <c r="G178" s="3">
        <f t="shared" si="19"/>
        <v>8.3685759018369027E-2</v>
      </c>
      <c r="H178" s="3">
        <f t="shared" si="19"/>
        <v>5.5481730795997442E-2</v>
      </c>
      <c r="I178" s="3">
        <f t="shared" si="19"/>
        <v>0.19249060616923455</v>
      </c>
      <c r="J178" s="3">
        <f t="shared" si="19"/>
        <v>-0.27249784541174449</v>
      </c>
      <c r="K178" s="3">
        <f t="shared" si="19"/>
        <v>-2.7493048873630584E-2</v>
      </c>
      <c r="L178" s="3">
        <f t="shared" si="19"/>
        <v>-6.3462425086057594E-2</v>
      </c>
      <c r="M178" s="3">
        <f t="shared" si="19"/>
        <v>-7.5703723117508961E-2</v>
      </c>
      <c r="N178" s="3">
        <f t="shared" si="19"/>
        <v>-0.23615012604700666</v>
      </c>
      <c r="O178" s="3">
        <f t="shared" si="19"/>
        <v>-0.18382855988512989</v>
      </c>
      <c r="P178" s="3">
        <f t="shared" si="19"/>
        <v>-0.1629392944261441</v>
      </c>
      <c r="Q178" s="3">
        <f t="shared" si="19"/>
        <v>-0.11047179279040448</v>
      </c>
      <c r="R178" s="3">
        <f t="shared" si="19"/>
        <v>-4.996905909459784E-2</v>
      </c>
      <c r="S178" s="3">
        <f t="shared" si="19"/>
        <v>0.12187009251341145</v>
      </c>
      <c r="T178" s="3">
        <f t="shared" si="19"/>
        <v>-0.29419953116445885</v>
      </c>
      <c r="U178" s="3">
        <f t="shared" si="19"/>
        <v>-0.21334960506173034</v>
      </c>
      <c r="V178" s="3">
        <f t="shared" si="19"/>
        <v>-0.23412236543079595</v>
      </c>
      <c r="W178" s="3">
        <f t="shared" si="19"/>
        <v>9.5516969375134073E-3</v>
      </c>
      <c r="X178" s="3"/>
    </row>
    <row r="179" spans="1:26" x14ac:dyDescent="0.25">
      <c r="P179" s="6"/>
      <c r="Q179" s="6"/>
      <c r="R179" s="6"/>
      <c r="S179" s="6"/>
      <c r="T179" s="6"/>
      <c r="U179" s="6"/>
      <c r="V179" s="6"/>
      <c r="W179" s="6"/>
    </row>
    <row r="180" spans="1:26" x14ac:dyDescent="0.25">
      <c r="P180" s="6"/>
      <c r="Q180" s="6"/>
      <c r="R180" s="6"/>
      <c r="S180" s="6"/>
      <c r="T180" s="6"/>
      <c r="U180" s="6"/>
      <c r="V180" s="6"/>
      <c r="W180" s="6"/>
    </row>
    <row r="181" spans="1:26" x14ac:dyDescent="0.25">
      <c r="D181" t="s">
        <v>0</v>
      </c>
      <c r="E181" t="s">
        <v>1</v>
      </c>
      <c r="F181" t="s">
        <v>2</v>
      </c>
      <c r="G181" t="s">
        <v>3</v>
      </c>
      <c r="H181" t="s">
        <v>4</v>
      </c>
      <c r="I181" t="s">
        <v>5</v>
      </c>
      <c r="J181" t="s">
        <v>6</v>
      </c>
      <c r="K181" t="s">
        <v>7</v>
      </c>
      <c r="L181" t="s">
        <v>320</v>
      </c>
      <c r="M181" t="s">
        <v>358</v>
      </c>
      <c r="N181" t="s">
        <v>359</v>
      </c>
      <c r="O181" t="s">
        <v>360</v>
      </c>
      <c r="P181" s="6" t="s">
        <v>454</v>
      </c>
      <c r="Q181" s="6" t="s">
        <v>455</v>
      </c>
      <c r="R181" s="6" t="s">
        <v>456</v>
      </c>
      <c r="S181" s="6" t="s">
        <v>457</v>
      </c>
      <c r="T181" s="6" t="s">
        <v>566</v>
      </c>
      <c r="U181" s="6" t="s">
        <v>567</v>
      </c>
      <c r="V181" s="6" t="s">
        <v>568</v>
      </c>
      <c r="W181" s="6" t="s">
        <v>569</v>
      </c>
      <c r="Y181" t="s">
        <v>96</v>
      </c>
      <c r="Z181" t="s">
        <v>97</v>
      </c>
    </row>
    <row r="182" spans="1:26" x14ac:dyDescent="0.25">
      <c r="A182" t="s">
        <v>43</v>
      </c>
      <c r="D182" s="6">
        <v>9.9363696093204368</v>
      </c>
      <c r="E182" s="6">
        <v>9.5643100154282923</v>
      </c>
      <c r="F182" s="6">
        <v>7.8413971869137935</v>
      </c>
      <c r="G182" s="6">
        <v>8.7273255286914981</v>
      </c>
      <c r="H182" s="6">
        <v>8.4698057681264789</v>
      </c>
      <c r="I182" s="6">
        <v>7.4918945993968213</v>
      </c>
      <c r="J182" s="6">
        <v>9.1721123981533061</v>
      </c>
      <c r="K182" s="6">
        <v>8.2343572179359619</v>
      </c>
      <c r="L182" s="6">
        <v>8.1291665680696052</v>
      </c>
      <c r="M182" s="6">
        <v>4.3118767681851882</v>
      </c>
      <c r="N182" s="6">
        <v>5.1976035825396236</v>
      </c>
      <c r="O182" s="6">
        <v>7.4733171859801955</v>
      </c>
      <c r="P182" s="6">
        <v>6.3424751348686987</v>
      </c>
      <c r="Q182" s="6">
        <v>6.6400319542307988</v>
      </c>
      <c r="R182" s="6">
        <v>6.9247200018870236</v>
      </c>
      <c r="S182" s="6">
        <v>6.9940771579403371</v>
      </c>
      <c r="T182" s="6">
        <v>6.3199162442695895</v>
      </c>
      <c r="U182" s="6">
        <v>4.9970076821404623</v>
      </c>
      <c r="V182" s="6">
        <v>8.241919222141572</v>
      </c>
      <c r="W182" s="6">
        <v>8.2921754171874813</v>
      </c>
      <c r="Y182" s="6">
        <f t="shared" ref="Y182:Y212" si="20">SUM(D182:W182)</f>
        <v>149.30185924340716</v>
      </c>
      <c r="Z182">
        <f t="shared" ref="Z182:Z208" si="21">SUMPRODUCT($D$214:$W$214,D182:W182)</f>
        <v>12.123456677033346</v>
      </c>
    </row>
    <row r="183" spans="1:26" x14ac:dyDescent="0.25">
      <c r="A183" t="s">
        <v>44</v>
      </c>
      <c r="D183" s="6">
        <v>7.7219067344131762</v>
      </c>
      <c r="E183" s="6">
        <v>7.0924677234799223</v>
      </c>
      <c r="F183" s="6">
        <v>10.924340102075536</v>
      </c>
      <c r="G183" s="6">
        <v>6.0052959402869304</v>
      </c>
      <c r="H183" s="6">
        <v>6.8402774326052551</v>
      </c>
      <c r="I183" s="6">
        <v>5.6904670700679647</v>
      </c>
      <c r="J183" s="6">
        <v>5.1962560302276684</v>
      </c>
      <c r="K183" s="6">
        <v>3.6785720949199652</v>
      </c>
      <c r="L183" s="6">
        <v>5.0814548491179128</v>
      </c>
      <c r="M183" s="6">
        <v>5.5588972293364751</v>
      </c>
      <c r="N183" s="6">
        <v>9.549131574613325</v>
      </c>
      <c r="O183" s="6">
        <v>7.7447163722033894</v>
      </c>
      <c r="P183" s="6">
        <v>4.7440892058651771</v>
      </c>
      <c r="Q183" s="6">
        <v>6.0770571836548912</v>
      </c>
      <c r="R183" s="6">
        <v>5.9153306403172623</v>
      </c>
      <c r="S183" s="6">
        <v>6.4183219673351237</v>
      </c>
      <c r="T183" s="6">
        <v>7.7213498397587541</v>
      </c>
      <c r="U183" s="6">
        <v>6.0998129714226037</v>
      </c>
      <c r="V183" s="6">
        <v>9.2266317509503377</v>
      </c>
      <c r="W183" s="6">
        <v>11.994739945229336</v>
      </c>
      <c r="Y183" s="6">
        <f t="shared" si="20"/>
        <v>139.281116657881</v>
      </c>
      <c r="Z183">
        <f t="shared" si="21"/>
        <v>10.968836142313865</v>
      </c>
    </row>
    <row r="184" spans="1:26" x14ac:dyDescent="0.25">
      <c r="A184" t="s">
        <v>45</v>
      </c>
      <c r="D184" s="6">
        <v>7.4162014995503744</v>
      </c>
      <c r="E184" s="6">
        <v>5.4887213970755289</v>
      </c>
      <c r="F184" s="6">
        <v>5.644096528841323</v>
      </c>
      <c r="G184" s="6">
        <v>6.772411063838284</v>
      </c>
      <c r="H184" s="6">
        <v>9.5171094663910623</v>
      </c>
      <c r="I184" s="6">
        <v>6.1358441956275636</v>
      </c>
      <c r="J184" s="6">
        <v>9.5885524364169186</v>
      </c>
      <c r="K184" s="6">
        <v>7.4776118198780299</v>
      </c>
      <c r="L184" s="6">
        <v>7.3428213520429439</v>
      </c>
      <c r="M184" s="6">
        <v>7.4917300746688884</v>
      </c>
      <c r="N184" s="6">
        <v>8.1352288827624104</v>
      </c>
      <c r="O184" s="6">
        <v>6.4238864000826181</v>
      </c>
      <c r="P184" s="6">
        <v>5.4636183716971116</v>
      </c>
      <c r="Q184" s="6">
        <v>4.7038193093205027</v>
      </c>
      <c r="R184" s="6">
        <v>7.4175488960929457</v>
      </c>
      <c r="S184" s="6">
        <v>7.2494768608426252</v>
      </c>
      <c r="T184" s="6">
        <v>7.2279107253223378</v>
      </c>
      <c r="U184" s="6">
        <v>8.9097031176774184</v>
      </c>
      <c r="V184" s="6">
        <v>11.952612286999116</v>
      </c>
      <c r="W184" s="6">
        <v>12.643793200823257</v>
      </c>
      <c r="Y184" s="6">
        <f t="shared" si="20"/>
        <v>153.00269788595128</v>
      </c>
      <c r="Z184">
        <f t="shared" si="21"/>
        <v>8.971137662478192</v>
      </c>
    </row>
    <row r="185" spans="1:26" x14ac:dyDescent="0.25">
      <c r="A185" t="s">
        <v>46</v>
      </c>
      <c r="D185" s="6">
        <v>9.4998704641316927</v>
      </c>
      <c r="E185" s="6">
        <v>7.8632365589242026</v>
      </c>
      <c r="F185" s="6">
        <v>7.6877790183726722</v>
      </c>
      <c r="G185" s="6">
        <v>7.3563145308722735</v>
      </c>
      <c r="H185" s="6">
        <v>6.4136365510624378</v>
      </c>
      <c r="I185" s="6">
        <v>7.0444195504914848</v>
      </c>
      <c r="J185" s="6">
        <v>7.6593851940332325</v>
      </c>
      <c r="K185" s="6">
        <v>8.9721648337784288</v>
      </c>
      <c r="L185" s="6">
        <v>7.6315075816206894</v>
      </c>
      <c r="M185" s="6">
        <v>7.2567048020010452</v>
      </c>
      <c r="N185" s="6">
        <v>5.9297378564061942</v>
      </c>
      <c r="O185" s="6">
        <v>6.2197832851676838</v>
      </c>
      <c r="P185" s="6">
        <v>5.2857786968304206</v>
      </c>
      <c r="Q185" s="6">
        <v>6.6274857565171414</v>
      </c>
      <c r="R185" s="6">
        <v>5.868604103944393</v>
      </c>
      <c r="S185" s="6">
        <v>8.512588477252903</v>
      </c>
      <c r="T185" s="6">
        <v>6.1935295651974069</v>
      </c>
      <c r="U185" s="6">
        <v>6.8015682972163711</v>
      </c>
      <c r="V185" s="6">
        <v>6.5928200934552219</v>
      </c>
      <c r="W185" s="6">
        <v>8.4209433187964269</v>
      </c>
      <c r="Y185" s="6">
        <f t="shared" si="20"/>
        <v>143.83785853607233</v>
      </c>
      <c r="Z185">
        <f t="shared" si="21"/>
        <v>12.121233085261993</v>
      </c>
    </row>
    <row r="186" spans="1:26" x14ac:dyDescent="0.25">
      <c r="A186" t="s">
        <v>47</v>
      </c>
      <c r="D186" s="6">
        <v>10.523586070850655</v>
      </c>
      <c r="E186" s="6">
        <v>9.9925855662079641</v>
      </c>
      <c r="F186" s="6">
        <v>9.9304413232826683</v>
      </c>
      <c r="G186" s="6">
        <v>11.222373844902048</v>
      </c>
      <c r="H186" s="6">
        <v>7.9126364899959025</v>
      </c>
      <c r="I186" s="6">
        <v>7.9840308603241246</v>
      </c>
      <c r="J186" s="6">
        <v>8.2570223755551826</v>
      </c>
      <c r="K186" s="6">
        <v>8.3100317886589821</v>
      </c>
      <c r="L186" s="6">
        <v>6.4016219500794014</v>
      </c>
      <c r="M186" s="6">
        <v>7.0050035296983069</v>
      </c>
      <c r="N186" s="6">
        <v>6.8965220874936595</v>
      </c>
      <c r="O186" s="6">
        <v>7.3448164333415127</v>
      </c>
      <c r="P186" s="6">
        <v>8.3478794115010668</v>
      </c>
      <c r="Q186" s="6">
        <v>5.7841464125073268</v>
      </c>
      <c r="R186" s="6">
        <v>9.3590525322684375</v>
      </c>
      <c r="S186" s="6">
        <v>9.0433258845689775</v>
      </c>
      <c r="T186" s="6">
        <v>11.520718817154176</v>
      </c>
      <c r="U186" s="6">
        <v>11.370767402971532</v>
      </c>
      <c r="V186" s="6">
        <v>11.926852223413873</v>
      </c>
      <c r="W186" s="6">
        <v>12.406104039425443</v>
      </c>
      <c r="Y186" s="6">
        <f t="shared" si="20"/>
        <v>181.53951904420126</v>
      </c>
      <c r="Z186">
        <f t="shared" si="21"/>
        <v>15.721294053063605</v>
      </c>
    </row>
    <row r="187" spans="1:26" x14ac:dyDescent="0.25">
      <c r="A187" t="s">
        <v>48</v>
      </c>
      <c r="D187" s="6">
        <v>12.87473090283838</v>
      </c>
      <c r="E187" s="6">
        <v>11.605114085272829</v>
      </c>
      <c r="F187" s="6">
        <v>11.785820666362033</v>
      </c>
      <c r="G187" s="6">
        <v>14.538559409789741</v>
      </c>
      <c r="H187" s="6">
        <v>11.676155585776597</v>
      </c>
      <c r="I187" s="6">
        <v>10.250563856564048</v>
      </c>
      <c r="J187" s="6">
        <v>9.5978011572107249</v>
      </c>
      <c r="K187" s="6">
        <v>10.179767759030339</v>
      </c>
      <c r="L187" s="6">
        <v>8.4915123575797633</v>
      </c>
      <c r="M187" s="6">
        <v>6.074383987313289</v>
      </c>
      <c r="N187" s="6">
        <v>5.9299053839856324</v>
      </c>
      <c r="O187" s="6">
        <v>5.6730122019749256</v>
      </c>
      <c r="P187" s="6">
        <v>9.3167330610081809</v>
      </c>
      <c r="Q187" s="6">
        <v>9.8333099690042047</v>
      </c>
      <c r="R187" s="6">
        <v>9.7952213665476933</v>
      </c>
      <c r="S187" s="6">
        <v>4.9443844003597093</v>
      </c>
      <c r="T187" s="6">
        <v>6.3084915788878817</v>
      </c>
      <c r="U187" s="6">
        <v>8.0986586845708324</v>
      </c>
      <c r="V187" s="6">
        <v>7.7396007194821932</v>
      </c>
      <c r="W187" s="6">
        <v>9.5575503918960383</v>
      </c>
      <c r="Y187" s="6">
        <f t="shared" si="20"/>
        <v>184.27127752545499</v>
      </c>
      <c r="Z187">
        <f t="shared" si="21"/>
        <v>16.097369625814725</v>
      </c>
    </row>
    <row r="188" spans="1:26" x14ac:dyDescent="0.25">
      <c r="A188" t="s">
        <v>49</v>
      </c>
      <c r="D188" s="6">
        <v>8.5998817515049897</v>
      </c>
      <c r="E188" s="6">
        <v>10.042707905114728</v>
      </c>
      <c r="F188" s="6">
        <v>10.084946778689462</v>
      </c>
      <c r="G188" s="6">
        <v>10.05863204663096</v>
      </c>
      <c r="H188" s="6">
        <v>8.158371274496087</v>
      </c>
      <c r="I188" s="6">
        <v>7.7858655497240594</v>
      </c>
      <c r="J188" s="6">
        <v>8.6468821618733323</v>
      </c>
      <c r="K188" s="6">
        <v>8.4414213134839677</v>
      </c>
      <c r="L188" s="6">
        <v>6.5823659101619958</v>
      </c>
      <c r="M188" s="6">
        <v>5.6732758759052961</v>
      </c>
      <c r="N188" s="6">
        <v>6.2436012740464308</v>
      </c>
      <c r="O188" s="6">
        <v>6.0663558044075447</v>
      </c>
      <c r="P188" s="6">
        <v>9.0793380448580852</v>
      </c>
      <c r="Q188" s="6">
        <v>11.868679093626119</v>
      </c>
      <c r="R188" s="6">
        <v>9.9329003869627677</v>
      </c>
      <c r="S188" s="6">
        <v>7.4513918271888135</v>
      </c>
      <c r="T188" s="6">
        <v>6.6918618425115417</v>
      </c>
      <c r="U188" s="6">
        <v>8.5192435149454973</v>
      </c>
      <c r="V188" s="6">
        <v>8.9526957804867866</v>
      </c>
      <c r="W188" s="6">
        <v>10.037142765627252</v>
      </c>
      <c r="Y188" s="6">
        <f t="shared" si="20"/>
        <v>168.91756090224567</v>
      </c>
      <c r="Z188">
        <f t="shared" si="21"/>
        <v>13.182928931128592</v>
      </c>
    </row>
    <row r="189" spans="1:26" x14ac:dyDescent="0.25">
      <c r="A189" t="s">
        <v>50</v>
      </c>
      <c r="D189" s="6">
        <v>10.281823437455333</v>
      </c>
      <c r="E189" s="6">
        <v>8.7132131667093891</v>
      </c>
      <c r="F189" s="6">
        <v>11.703089593152319</v>
      </c>
      <c r="G189" s="6">
        <v>10.694089129342501</v>
      </c>
      <c r="H189" s="6">
        <v>9.1207815179818397</v>
      </c>
      <c r="I189" s="6">
        <v>9.8735430480574315</v>
      </c>
      <c r="J189" s="6">
        <v>8.530841933126073</v>
      </c>
      <c r="K189" s="6">
        <v>8.3478140776362384</v>
      </c>
      <c r="L189" s="6">
        <v>10.911033453274257</v>
      </c>
      <c r="M189" s="6">
        <v>8.5623446522272477</v>
      </c>
      <c r="N189" s="6">
        <v>10.54889039953571</v>
      </c>
      <c r="O189" s="6">
        <v>10.828935711249326</v>
      </c>
      <c r="P189" s="6">
        <v>9.6878490150952157</v>
      </c>
      <c r="Q189" s="6">
        <v>10.196098899230295</v>
      </c>
      <c r="R189" s="6">
        <v>8.414037790362535</v>
      </c>
      <c r="S189" s="6">
        <v>8.2214871127330618</v>
      </c>
      <c r="T189" s="6">
        <v>8.2925386996090786</v>
      </c>
      <c r="U189" s="6">
        <v>8.811970723894623</v>
      </c>
      <c r="V189" s="6">
        <v>10.851384430023813</v>
      </c>
      <c r="W189" s="6">
        <v>9.7840496029871442</v>
      </c>
      <c r="Y189" s="6">
        <f t="shared" si="20"/>
        <v>192.37581639368346</v>
      </c>
      <c r="Z189">
        <f t="shared" si="21"/>
        <v>12.953552960484368</v>
      </c>
    </row>
    <row r="190" spans="1:26" x14ac:dyDescent="0.25">
      <c r="A190" t="s">
        <v>51</v>
      </c>
      <c r="D190" s="6">
        <v>9.9532815112464483</v>
      </c>
      <c r="E190" s="6">
        <v>12.171549558400574</v>
      </c>
      <c r="F190" s="6">
        <v>15.659647216639398</v>
      </c>
      <c r="G190" s="6">
        <v>14.370015198633903</v>
      </c>
      <c r="H190" s="6">
        <v>9.297144482638183</v>
      </c>
      <c r="I190" s="6">
        <v>8.8701115468479088</v>
      </c>
      <c r="J190" s="6">
        <v>9.5751566346767145</v>
      </c>
      <c r="K190" s="6">
        <v>6.918224147063917</v>
      </c>
      <c r="L190" s="6">
        <v>9.7889510936450996</v>
      </c>
      <c r="M190" s="6">
        <v>9.1146158542305322</v>
      </c>
      <c r="N190" s="6">
        <v>11.614591012956151</v>
      </c>
      <c r="O190" s="6">
        <v>8.6928331900801705</v>
      </c>
      <c r="P190" s="6">
        <v>11.974026313283444</v>
      </c>
      <c r="Q190" s="6">
        <v>7.3253983501857487</v>
      </c>
      <c r="R190" s="6">
        <v>9.0176000667805098</v>
      </c>
      <c r="S190" s="6">
        <v>10.382395737809421</v>
      </c>
      <c r="T190" s="6">
        <v>7.9719582011118133</v>
      </c>
      <c r="U190" s="6">
        <v>9.8133356006159804</v>
      </c>
      <c r="V190" s="6">
        <v>10.696233806431772</v>
      </c>
      <c r="W190" s="6">
        <v>11.674711782899038</v>
      </c>
      <c r="Y190" s="6">
        <f t="shared" si="20"/>
        <v>204.88178130617669</v>
      </c>
      <c r="Z190">
        <f t="shared" si="21"/>
        <v>15.729106672959086</v>
      </c>
    </row>
    <row r="191" spans="1:26" x14ac:dyDescent="0.25">
      <c r="A191" t="s">
        <v>52</v>
      </c>
      <c r="D191" s="6">
        <v>12.940093764487001</v>
      </c>
      <c r="E191" s="6">
        <v>13.011072801773011</v>
      </c>
      <c r="F191" s="6">
        <v>11.394597838816797</v>
      </c>
      <c r="G191" s="6">
        <v>9.1411196180147627</v>
      </c>
      <c r="H191" s="6">
        <v>10.193658830330744</v>
      </c>
      <c r="I191" s="6">
        <v>11.356785145388502</v>
      </c>
      <c r="J191" s="6">
        <v>6.0555325866015739</v>
      </c>
      <c r="K191" s="6">
        <v>7.3590589524906918</v>
      </c>
      <c r="L191" s="6">
        <v>7.478895106377756</v>
      </c>
      <c r="M191" s="6">
        <v>7.0739744649704566</v>
      </c>
      <c r="N191" s="6">
        <v>7.2734491513832982</v>
      </c>
      <c r="O191" s="6">
        <v>7.4065733036094299</v>
      </c>
      <c r="P191" s="6">
        <v>7.6731921149023004</v>
      </c>
      <c r="Q191" s="6">
        <v>8.09629207134377</v>
      </c>
      <c r="R191" s="6">
        <v>8.3535621761346857</v>
      </c>
      <c r="S191" s="6">
        <v>9.6174013677128869</v>
      </c>
      <c r="T191" s="6">
        <v>7.1129149299552221</v>
      </c>
      <c r="U191" s="6">
        <v>7.4888091319241363</v>
      </c>
      <c r="V191" s="6">
        <v>8.0251010372039477</v>
      </c>
      <c r="W191" s="6">
        <v>8.4484481818247215</v>
      </c>
      <c r="Y191" s="6">
        <f t="shared" si="20"/>
        <v>175.5005325752457</v>
      </c>
      <c r="Z191">
        <f t="shared" si="21"/>
        <v>18.855426276962255</v>
      </c>
    </row>
    <row r="192" spans="1:26" x14ac:dyDescent="0.25">
      <c r="A192" t="s">
        <v>53</v>
      </c>
      <c r="D192" s="6">
        <v>9.968846962225415</v>
      </c>
      <c r="E192" s="6">
        <v>9.5946147386396259</v>
      </c>
      <c r="F192" s="6">
        <v>9.4073993182207261</v>
      </c>
      <c r="G192" s="6">
        <v>8.8295401103694111</v>
      </c>
      <c r="H192" s="6">
        <v>7.2319771690965693</v>
      </c>
      <c r="I192" s="6">
        <v>7.1512619404341775</v>
      </c>
      <c r="J192" s="6">
        <v>9.315669712052344</v>
      </c>
      <c r="K192" s="6">
        <v>9.5840864931185159</v>
      </c>
      <c r="L192" s="6">
        <v>8.9319565843997655</v>
      </c>
      <c r="M192" s="6">
        <v>8.9758839642836321</v>
      </c>
      <c r="N192" s="6">
        <v>7.5566919730989497</v>
      </c>
      <c r="O192" s="6">
        <v>7.7685688353627862</v>
      </c>
      <c r="P192" s="6">
        <v>7.7013010258045886</v>
      </c>
      <c r="Q192" s="6">
        <v>5.3185966645934943</v>
      </c>
      <c r="R192" s="6">
        <v>7.086465514353061</v>
      </c>
      <c r="S192" s="6">
        <v>6.8169098191629649</v>
      </c>
      <c r="T192" s="6">
        <v>10.150869155789719</v>
      </c>
      <c r="U192" s="6">
        <v>7.972045724065195</v>
      </c>
      <c r="V192" s="6">
        <v>9.627685439817057</v>
      </c>
      <c r="W192" s="6">
        <v>10.216139701302207</v>
      </c>
      <c r="Y192" s="6">
        <f t="shared" si="20"/>
        <v>169.20651084619021</v>
      </c>
      <c r="Z192">
        <f t="shared" si="21"/>
        <v>12.389103915298149</v>
      </c>
    </row>
    <row r="193" spans="1:27" x14ac:dyDescent="0.25">
      <c r="A193" t="s">
        <v>54</v>
      </c>
      <c r="D193" s="6">
        <v>11.014394283416765</v>
      </c>
      <c r="E193" s="6">
        <v>9.5461607082309943</v>
      </c>
      <c r="F193" s="6">
        <v>10.314450157584172</v>
      </c>
      <c r="G193" s="6">
        <v>8.03473333754979</v>
      </c>
      <c r="H193" s="6">
        <v>7.1182638280430339</v>
      </c>
      <c r="I193" s="6">
        <v>7.5514950059797696</v>
      </c>
      <c r="J193" s="6">
        <v>4.8390582356790839</v>
      </c>
      <c r="K193" s="6">
        <v>6.2455675744835686</v>
      </c>
      <c r="L193" s="6">
        <v>7.1959741032211575</v>
      </c>
      <c r="M193" s="6">
        <v>6.5613930559846398</v>
      </c>
      <c r="N193" s="6">
        <v>6.3637649587169802</v>
      </c>
      <c r="O193" s="6">
        <v>6.6968064282351847</v>
      </c>
      <c r="P193" s="6">
        <v>6.3278629670099216</v>
      </c>
      <c r="Q193" s="6">
        <v>7.6864142988488959</v>
      </c>
      <c r="R193" s="6">
        <v>4.9602175899790195</v>
      </c>
      <c r="S193" s="6">
        <v>7.0609216088423556</v>
      </c>
      <c r="T193" s="6">
        <v>6.3731310078868519</v>
      </c>
      <c r="U193" s="6">
        <v>8.4316464991777167</v>
      </c>
      <c r="V193" s="6">
        <v>8.057439469182496</v>
      </c>
      <c r="W193" s="6">
        <v>11.253680918660757</v>
      </c>
      <c r="Y193" s="6">
        <f t="shared" si="20"/>
        <v>151.63337603671314</v>
      </c>
      <c r="Z193">
        <f t="shared" si="21"/>
        <v>14.656859967465319</v>
      </c>
    </row>
    <row r="194" spans="1:27" x14ac:dyDescent="0.25">
      <c r="A194" t="s">
        <v>55</v>
      </c>
      <c r="D194" s="6">
        <v>12.978299964333655</v>
      </c>
      <c r="E194" s="6">
        <v>13.389396657012302</v>
      </c>
      <c r="F194" s="6">
        <v>10.795854549590308</v>
      </c>
      <c r="G194" s="6">
        <v>12.849902239322359</v>
      </c>
      <c r="H194" s="6">
        <v>8.6157415591559516</v>
      </c>
      <c r="I194" s="6">
        <v>10.254358184288071</v>
      </c>
      <c r="J194" s="6">
        <v>7.4916660451566868</v>
      </c>
      <c r="K194" s="6">
        <v>7.359214585716054</v>
      </c>
      <c r="L194" s="6">
        <v>7.5879027630216065</v>
      </c>
      <c r="M194" s="6">
        <v>7.7042194004798974</v>
      </c>
      <c r="N194" s="6">
        <v>8.559601224537948</v>
      </c>
      <c r="O194" s="6">
        <v>5.6902190023590959</v>
      </c>
      <c r="P194" s="6">
        <v>5.7282621140918968</v>
      </c>
      <c r="Q194" s="6">
        <v>8.7437648980801015</v>
      </c>
      <c r="R194" s="6">
        <v>6.9535294636449265</v>
      </c>
      <c r="S194" s="6">
        <v>9.2396744995276148</v>
      </c>
      <c r="T194" s="6">
        <v>6.929073903610159</v>
      </c>
      <c r="U194" s="6">
        <v>6.672328580863665</v>
      </c>
      <c r="V194" s="6">
        <v>8.9034017558943432</v>
      </c>
      <c r="W194" s="6">
        <v>9.4243001016659917</v>
      </c>
      <c r="Y194" s="6">
        <f t="shared" si="20"/>
        <v>175.87071149235265</v>
      </c>
      <c r="Z194">
        <f t="shared" si="21"/>
        <v>18.292008040137635</v>
      </c>
    </row>
    <row r="195" spans="1:27" x14ac:dyDescent="0.25">
      <c r="A195" t="s">
        <v>56</v>
      </c>
      <c r="D195" s="6">
        <v>15.655334291121559</v>
      </c>
      <c r="E195" s="6">
        <v>10.848957670500743</v>
      </c>
      <c r="F195" s="6">
        <v>11.2120092111701</v>
      </c>
      <c r="G195" s="6">
        <v>9.2686321232897093</v>
      </c>
      <c r="H195" s="6">
        <v>8.229603865426693</v>
      </c>
      <c r="I195" s="6">
        <v>8.1083028713957308</v>
      </c>
      <c r="J195" s="6">
        <v>7.5354471853526501</v>
      </c>
      <c r="K195" s="6">
        <v>8.8704256046180632</v>
      </c>
      <c r="L195" s="6">
        <v>7.6161532277278354</v>
      </c>
      <c r="M195" s="6">
        <v>7.8244787289556541</v>
      </c>
      <c r="N195" s="6">
        <v>6.1412470382520867</v>
      </c>
      <c r="O195" s="6">
        <v>7.8173540753344648</v>
      </c>
      <c r="P195" s="6">
        <v>8.2590136830892575</v>
      </c>
      <c r="Q195" s="6">
        <v>6.14193853640871</v>
      </c>
      <c r="R195" s="6">
        <v>9.3217159326363532</v>
      </c>
      <c r="S195" s="6">
        <v>8.0724030506598528</v>
      </c>
      <c r="T195" s="6">
        <v>8.1767686870665699</v>
      </c>
      <c r="U195" s="6">
        <v>9.0691505002322348</v>
      </c>
      <c r="V195" s="6">
        <v>7.97612213517783</v>
      </c>
      <c r="W195" s="6">
        <v>10.447069962955114</v>
      </c>
      <c r="Y195" s="6">
        <f t="shared" si="20"/>
        <v>176.59212838137123</v>
      </c>
      <c r="Z195">
        <f t="shared" si="21"/>
        <v>17.666051165710968</v>
      </c>
    </row>
    <row r="196" spans="1:27" x14ac:dyDescent="0.25">
      <c r="A196" t="s">
        <v>57</v>
      </c>
      <c r="D196" s="6">
        <v>11.579219964516215</v>
      </c>
      <c r="E196" s="6">
        <v>12.1303827607173</v>
      </c>
      <c r="F196" s="6">
        <v>10.28732571089631</v>
      </c>
      <c r="G196" s="6">
        <v>9.2962858434411793</v>
      </c>
      <c r="H196" s="6">
        <v>7.4399441416581453</v>
      </c>
      <c r="I196" s="6">
        <v>7.5602473035572846</v>
      </c>
      <c r="J196" s="6">
        <v>6.9419206047061062</v>
      </c>
      <c r="K196" s="6">
        <v>7.3001450619252664</v>
      </c>
      <c r="L196" s="6">
        <v>6.7538658922468988</v>
      </c>
      <c r="M196" s="6">
        <v>7.7645336729670005</v>
      </c>
      <c r="N196" s="6">
        <v>8.3339494873341575</v>
      </c>
      <c r="O196" s="6">
        <v>5.9618429117935534</v>
      </c>
      <c r="P196" s="6">
        <v>9.3191283835975831</v>
      </c>
      <c r="Q196" s="6">
        <v>8.53823861704827</v>
      </c>
      <c r="R196" s="6">
        <v>7.0739400359073032</v>
      </c>
      <c r="S196" s="6">
        <v>4.8988686827990673</v>
      </c>
      <c r="T196" s="6">
        <v>8.7268514909609287</v>
      </c>
      <c r="U196" s="6">
        <v>9.396581462626008</v>
      </c>
      <c r="V196" s="6">
        <v>5.0350102313342591</v>
      </c>
      <c r="W196" s="6">
        <v>10.422793654541099</v>
      </c>
      <c r="Y196" s="6">
        <f t="shared" si="20"/>
        <v>164.76107591457395</v>
      </c>
      <c r="Z196">
        <f t="shared" si="21"/>
        <v>14.482848800810999</v>
      </c>
      <c r="AA196" s="6"/>
    </row>
    <row r="197" spans="1:27" x14ac:dyDescent="0.25">
      <c r="A197" t="s">
        <v>58</v>
      </c>
      <c r="D197" s="6">
        <v>9.0600549962775609</v>
      </c>
      <c r="E197" s="6">
        <v>10.622073275810846</v>
      </c>
      <c r="F197" s="6">
        <v>9.8135913872760376</v>
      </c>
      <c r="G197" s="6">
        <v>9.0733906229103152</v>
      </c>
      <c r="H197" s="6">
        <v>7.5693360641438048</v>
      </c>
      <c r="I197" s="6">
        <v>5.5342112950954236</v>
      </c>
      <c r="J197" s="6">
        <v>6.9649167321636947</v>
      </c>
      <c r="K197" s="6">
        <v>7.7058978056950069</v>
      </c>
      <c r="L197" s="6">
        <v>6.7894789916873766</v>
      </c>
      <c r="M197" s="6">
        <v>6.5144428343765934</v>
      </c>
      <c r="N197" s="6">
        <v>5.7154618783012037</v>
      </c>
      <c r="O197" s="6">
        <v>6.5212283382520999</v>
      </c>
      <c r="P197" s="6">
        <v>5.112589599386153</v>
      </c>
      <c r="Q197" s="6">
        <v>4.6391176568677173</v>
      </c>
      <c r="R197" s="6">
        <v>5.8005680058903497</v>
      </c>
      <c r="S197" s="6">
        <v>6.9829614767443742</v>
      </c>
      <c r="T197" s="6">
        <v>9.2504656957243316</v>
      </c>
      <c r="U197" s="6">
        <v>5.0467786911142607</v>
      </c>
      <c r="V197" s="6">
        <v>5.4358178037833991</v>
      </c>
      <c r="W197" s="6">
        <v>9.8352193990878352</v>
      </c>
      <c r="Y197" s="6">
        <f t="shared" si="20"/>
        <v>143.98760255058838</v>
      </c>
      <c r="Z197">
        <f t="shared" si="21"/>
        <v>13.332742250332855</v>
      </c>
      <c r="AA197" s="6"/>
    </row>
    <row r="198" spans="1:27" x14ac:dyDescent="0.25">
      <c r="A198" t="s">
        <v>59</v>
      </c>
      <c r="D198" s="6">
        <v>12.636597683270496</v>
      </c>
      <c r="E198" s="6">
        <v>9.0495479130657337</v>
      </c>
      <c r="F198" s="6">
        <v>8.1668178129118818</v>
      </c>
      <c r="G198" s="6">
        <v>9.6647117411677765</v>
      </c>
      <c r="H198" s="6">
        <v>7.0504726478275233</v>
      </c>
      <c r="I198" s="6">
        <v>8.0153341796521236</v>
      </c>
      <c r="J198" s="6">
        <v>8.7004382210592475</v>
      </c>
      <c r="K198" s="6">
        <v>7.2587628555610042</v>
      </c>
      <c r="L198" s="6">
        <v>5.4175118480359608</v>
      </c>
      <c r="M198" s="6">
        <v>6.7328767858681493</v>
      </c>
      <c r="N198" s="6">
        <v>7.6920971143688002</v>
      </c>
      <c r="O198" s="6">
        <v>7.137251747275255</v>
      </c>
      <c r="P198" s="6">
        <v>5.9209924769732867</v>
      </c>
      <c r="Q198" s="6">
        <v>4.7101656213840801</v>
      </c>
      <c r="R198" s="6">
        <v>4.7006173184174997</v>
      </c>
      <c r="S198" s="6">
        <v>7.1205702760599667</v>
      </c>
      <c r="T198" s="6">
        <v>8.5410054333561298</v>
      </c>
      <c r="U198" s="6">
        <v>8.4869164180342516</v>
      </c>
      <c r="V198" s="6">
        <v>8.839656273564902</v>
      </c>
      <c r="W198" s="6">
        <v>9.7714514754049215</v>
      </c>
      <c r="Y198" s="6">
        <f t="shared" si="20"/>
        <v>155.61379584325897</v>
      </c>
      <c r="Z198">
        <f t="shared" si="21"/>
        <v>14.088746896859133</v>
      </c>
      <c r="AA198" s="6"/>
    </row>
    <row r="199" spans="1:27" x14ac:dyDescent="0.25">
      <c r="A199" t="s">
        <v>60</v>
      </c>
      <c r="D199" s="6">
        <v>8.5821312065765305</v>
      </c>
      <c r="E199" s="6">
        <v>8.9021637356910581</v>
      </c>
      <c r="F199" s="6">
        <v>8.9902996687046652</v>
      </c>
      <c r="G199" s="6">
        <v>8.7930692348499715</v>
      </c>
      <c r="H199" s="6">
        <v>6.9460393986285265</v>
      </c>
      <c r="I199" s="6">
        <v>6.3238819049469361</v>
      </c>
      <c r="J199" s="6">
        <v>7.0708084604590713</v>
      </c>
      <c r="K199" s="6">
        <v>9.658107477047535</v>
      </c>
      <c r="L199" s="6">
        <v>8.0933135375793963</v>
      </c>
      <c r="M199" s="6">
        <v>6.6881658866728646</v>
      </c>
      <c r="N199" s="6">
        <v>5.6704364299900716</v>
      </c>
      <c r="O199" s="6">
        <v>5.0592454925177766</v>
      </c>
      <c r="P199" s="6">
        <v>8.0693687555291422</v>
      </c>
      <c r="Q199" s="6">
        <v>8.6708249181894175</v>
      </c>
      <c r="R199" s="6">
        <v>6.5089226677436516</v>
      </c>
      <c r="S199" s="6">
        <v>8.2035363875531822</v>
      </c>
      <c r="T199" s="6">
        <v>10.234249975898324</v>
      </c>
      <c r="U199" s="6">
        <v>10.801897208892765</v>
      </c>
      <c r="V199" s="6">
        <v>5.5578106687171474</v>
      </c>
      <c r="W199" s="6">
        <v>8.204704993023709</v>
      </c>
      <c r="Y199" s="6">
        <f t="shared" si="20"/>
        <v>157.02897800921173</v>
      </c>
      <c r="Z199">
        <f t="shared" si="21"/>
        <v>13.039783107853401</v>
      </c>
      <c r="AA199" s="6"/>
    </row>
    <row r="200" spans="1:27" x14ac:dyDescent="0.25">
      <c r="A200" t="s">
        <v>61</v>
      </c>
      <c r="D200" s="6">
        <v>11.82534357122527</v>
      </c>
      <c r="E200" s="6">
        <v>12.727214282468461</v>
      </c>
      <c r="F200" s="6">
        <v>10.704387855854893</v>
      </c>
      <c r="G200" s="6">
        <v>8.19248662049365</v>
      </c>
      <c r="H200" s="6">
        <v>8.9147930616678384</v>
      </c>
      <c r="I200" s="6">
        <v>9.1032902828978628</v>
      </c>
      <c r="J200" s="6">
        <v>9.4469772497370226</v>
      </c>
      <c r="K200" s="6">
        <v>7.3326412247119928</v>
      </c>
      <c r="L200" s="6">
        <v>5.6242773321394672</v>
      </c>
      <c r="M200" s="6">
        <v>6.7832005002682152</v>
      </c>
      <c r="N200" s="6">
        <v>7.9914627033780921</v>
      </c>
      <c r="O200" s="6">
        <v>8.8196876238678517</v>
      </c>
      <c r="P200" s="6">
        <v>6.8673569884100774</v>
      </c>
      <c r="Q200" s="6">
        <v>6.542193468297393</v>
      </c>
      <c r="R200" s="6">
        <v>6.3512212253523606</v>
      </c>
      <c r="S200" s="6">
        <v>8.2941949472099239</v>
      </c>
      <c r="T200" s="6">
        <v>9.217938178002365</v>
      </c>
      <c r="U200" s="6">
        <v>7.2020332572451489</v>
      </c>
      <c r="V200" s="6">
        <v>7.1092057573305407</v>
      </c>
      <c r="W200" s="6">
        <v>10.284044533016315</v>
      </c>
      <c r="Y200" s="6">
        <f t="shared" si="20"/>
        <v>169.33395066357471</v>
      </c>
      <c r="Z200">
        <f t="shared" si="21"/>
        <v>15.9022533911793</v>
      </c>
      <c r="AA200" s="6"/>
    </row>
    <row r="201" spans="1:27" x14ac:dyDescent="0.25">
      <c r="A201" t="s">
        <v>62</v>
      </c>
      <c r="D201" s="6">
        <v>10.331354809341507</v>
      </c>
      <c r="E201" s="6">
        <v>9.6800175510415318</v>
      </c>
      <c r="F201" s="6">
        <v>9.4220167726588944</v>
      </c>
      <c r="G201" s="6">
        <v>10.170527351480136</v>
      </c>
      <c r="H201" s="6">
        <v>9.2199574839100116</v>
      </c>
      <c r="I201" s="6">
        <v>9.535644765099704</v>
      </c>
      <c r="J201" s="6">
        <v>7.5099184307984643</v>
      </c>
      <c r="K201" s="6">
        <v>7.4140170889035755</v>
      </c>
      <c r="L201" s="6">
        <v>8.1155846741151176</v>
      </c>
      <c r="M201" s="6">
        <v>6.071963210600396</v>
      </c>
      <c r="N201" s="6">
        <v>6.2005151995614014</v>
      </c>
      <c r="O201" s="6">
        <v>5.9447860971319031</v>
      </c>
      <c r="P201" s="6">
        <v>5.9008084413869941</v>
      </c>
      <c r="Q201" s="6">
        <v>6.4743507524661741</v>
      </c>
      <c r="R201" s="6">
        <v>9.9934136132793565</v>
      </c>
      <c r="S201" s="6">
        <v>8.3514865593487517</v>
      </c>
      <c r="T201" s="6">
        <v>5.4072421089616887</v>
      </c>
      <c r="U201" s="6">
        <v>10.880634302597809</v>
      </c>
      <c r="V201" s="6">
        <v>9.7840665876186428</v>
      </c>
      <c r="W201" s="6">
        <v>9.5858373752718471</v>
      </c>
      <c r="Y201" s="6">
        <f t="shared" si="20"/>
        <v>165.9941431755739</v>
      </c>
      <c r="Z201">
        <f t="shared" si="21"/>
        <v>15.225687383220055</v>
      </c>
      <c r="AA201" s="6"/>
    </row>
    <row r="202" spans="1:27" x14ac:dyDescent="0.25">
      <c r="A202" t="s">
        <v>63</v>
      </c>
      <c r="D202" s="6">
        <v>10.200568229972989</v>
      </c>
      <c r="E202" s="6">
        <v>9.8871845801175589</v>
      </c>
      <c r="F202" s="6">
        <v>9.5518058723990702</v>
      </c>
      <c r="G202" s="6">
        <v>9.2771754902245345</v>
      </c>
      <c r="H202" s="6">
        <v>6.7314845277563595</v>
      </c>
      <c r="I202" s="6">
        <v>7.0392707280403073</v>
      </c>
      <c r="J202" s="6">
        <v>6.9595822773687592</v>
      </c>
      <c r="K202" s="6">
        <v>6.9182900373798812</v>
      </c>
      <c r="L202" s="6">
        <v>7.5092193560152989</v>
      </c>
      <c r="M202" s="6">
        <v>5.8366858499093439</v>
      </c>
      <c r="N202" s="6">
        <v>6.64972213032721</v>
      </c>
      <c r="O202" s="6">
        <v>9.1408912149079082</v>
      </c>
      <c r="P202" s="6">
        <v>6.328673087923022</v>
      </c>
      <c r="Q202" s="6">
        <v>7.7219270250225884</v>
      </c>
      <c r="R202" s="6">
        <v>8.139342673650356</v>
      </c>
      <c r="S202" s="6">
        <v>9.9657540605015384</v>
      </c>
      <c r="T202" s="6">
        <v>9.8095223091801564</v>
      </c>
      <c r="U202" s="6">
        <v>8.026118553189491</v>
      </c>
      <c r="V202" s="6">
        <v>10.350022274655007</v>
      </c>
      <c r="W202" s="6">
        <v>10.530763682058362</v>
      </c>
      <c r="Y202" s="6">
        <f t="shared" si="20"/>
        <v>166.57400396059975</v>
      </c>
      <c r="Z202">
        <f t="shared" si="21"/>
        <v>14.796645547597223</v>
      </c>
    </row>
    <row r="203" spans="1:27" x14ac:dyDescent="0.25">
      <c r="A203" t="s">
        <v>64</v>
      </c>
      <c r="D203" s="6">
        <v>11.577497929852639</v>
      </c>
      <c r="E203" s="6">
        <v>11.947367229571025</v>
      </c>
      <c r="F203" s="6">
        <v>11.813395912603854</v>
      </c>
      <c r="G203" s="6">
        <v>9.731147027635501</v>
      </c>
      <c r="H203" s="6">
        <v>8.7743914560703171</v>
      </c>
      <c r="I203" s="6">
        <v>9.0494278388081302</v>
      </c>
      <c r="J203" s="6">
        <v>8.0136428530440647</v>
      </c>
      <c r="K203" s="6">
        <v>8.8125033961098058</v>
      </c>
      <c r="L203" s="6">
        <v>9.9555330921042753</v>
      </c>
      <c r="M203" s="6">
        <v>7.7739404893377246</v>
      </c>
      <c r="N203" s="6">
        <v>5.2822540818791328</v>
      </c>
      <c r="O203" s="6">
        <v>7.5061559730437937</v>
      </c>
      <c r="P203" s="6">
        <v>5.754851239633906</v>
      </c>
      <c r="Q203" s="6">
        <v>8.013938690339975</v>
      </c>
      <c r="R203" s="6">
        <v>11.19207558505936</v>
      </c>
      <c r="S203" s="6">
        <v>9.5828200238964261</v>
      </c>
      <c r="T203" s="6">
        <v>10.980106319961775</v>
      </c>
      <c r="U203" s="6">
        <v>9.7983802721323023</v>
      </c>
      <c r="V203" s="6">
        <v>8.4591919311772781</v>
      </c>
      <c r="W203" s="6">
        <v>9.4667813313007567</v>
      </c>
      <c r="Y203" s="6">
        <f t="shared" si="20"/>
        <v>183.48540267356205</v>
      </c>
      <c r="Z203">
        <f t="shared" si="21"/>
        <v>17.748326796753144</v>
      </c>
    </row>
    <row r="204" spans="1:27" x14ac:dyDescent="0.25">
      <c r="A204" t="s">
        <v>65</v>
      </c>
      <c r="D204" s="6">
        <v>12.664793041588768</v>
      </c>
      <c r="E204" s="6">
        <v>12.718905406210945</v>
      </c>
      <c r="F204" s="6">
        <v>11.089170821750105</v>
      </c>
      <c r="G204" s="6">
        <v>9.1403560250103677</v>
      </c>
      <c r="H204" s="6">
        <v>9.9658478497848417</v>
      </c>
      <c r="I204" s="6">
        <v>9.1574875770785571</v>
      </c>
      <c r="J204" s="6">
        <v>7.4213326847132732</v>
      </c>
      <c r="K204" s="6">
        <v>8.5999456002689225</v>
      </c>
      <c r="L204" s="6">
        <v>8.5589266462764755</v>
      </c>
      <c r="M204" s="6">
        <v>7.4098961322785177</v>
      </c>
      <c r="N204" s="6">
        <v>7.4760403322120998</v>
      </c>
      <c r="O204" s="6">
        <v>6.6677650475005352</v>
      </c>
      <c r="P204" s="6">
        <v>5.2084693195176834</v>
      </c>
      <c r="Q204" s="6">
        <v>6.2417377718756493</v>
      </c>
      <c r="R204" s="6">
        <v>4.6183831943507121</v>
      </c>
      <c r="S204" s="6">
        <v>6.2955807276466498</v>
      </c>
      <c r="T204" s="6">
        <v>7.7245167692712382</v>
      </c>
      <c r="U204" s="6">
        <v>8.0357304741321816</v>
      </c>
      <c r="V204" s="6">
        <v>7.7829648206571704</v>
      </c>
      <c r="W204" s="6">
        <v>11.344219441089299</v>
      </c>
      <c r="Y204" s="6">
        <f t="shared" si="20"/>
        <v>168.12206968321402</v>
      </c>
      <c r="Z204">
        <f t="shared" si="21"/>
        <v>16.473641236511153</v>
      </c>
    </row>
    <row r="205" spans="1:27" x14ac:dyDescent="0.25">
      <c r="A205" t="s">
        <v>66</v>
      </c>
      <c r="D205" s="6">
        <v>13.212427466605904</v>
      </c>
      <c r="E205" s="6">
        <v>12.267033610070623</v>
      </c>
      <c r="F205" s="6">
        <v>10.017974816342573</v>
      </c>
      <c r="G205" s="6">
        <v>8.6901211211761673</v>
      </c>
      <c r="H205" s="6">
        <v>10.143170494381</v>
      </c>
      <c r="I205" s="6">
        <v>12.371284551530007</v>
      </c>
      <c r="J205" s="6">
        <v>11.694667769679739</v>
      </c>
      <c r="K205" s="6">
        <v>11.671657460385759</v>
      </c>
      <c r="L205" s="6">
        <v>8.1222600021991394</v>
      </c>
      <c r="M205" s="6">
        <v>6.7367711261965804</v>
      </c>
      <c r="N205" s="6">
        <v>7.8096414006502473</v>
      </c>
      <c r="O205" s="6">
        <v>10.634596408274577</v>
      </c>
      <c r="P205" s="6">
        <v>8.6985814265542878</v>
      </c>
      <c r="Q205" s="6">
        <v>6.6756537266344269</v>
      </c>
      <c r="R205" s="6">
        <v>7.8731624898481796</v>
      </c>
      <c r="S205" s="6">
        <v>8.2257823467206492</v>
      </c>
      <c r="T205" s="6">
        <v>8.4741183887136557</v>
      </c>
      <c r="U205" s="6">
        <v>10.528490698677464</v>
      </c>
      <c r="V205" s="6">
        <v>8.9979736744870884</v>
      </c>
      <c r="W205" s="6">
        <v>7.9124399411510007</v>
      </c>
      <c r="Y205" s="6">
        <f t="shared" si="20"/>
        <v>190.75780892027913</v>
      </c>
      <c r="Z205">
        <f t="shared" si="21"/>
        <v>16.046699589303781</v>
      </c>
    </row>
    <row r="206" spans="1:27" x14ac:dyDescent="0.25">
      <c r="A206" t="s">
        <v>67</v>
      </c>
      <c r="D206" s="6">
        <v>10.289252677202345</v>
      </c>
      <c r="E206" s="6">
        <v>9.8180651503714707</v>
      </c>
      <c r="F206" s="6">
        <v>11.335101309248193</v>
      </c>
      <c r="G206" s="6">
        <v>8.8881198786618558</v>
      </c>
      <c r="H206" s="6">
        <v>9.9846581487733737</v>
      </c>
      <c r="I206" s="6">
        <v>9.9835440712104617</v>
      </c>
      <c r="J206" s="6">
        <v>10.056762988569423</v>
      </c>
      <c r="K206" s="6">
        <v>10.170175773879739</v>
      </c>
      <c r="L206" s="6">
        <v>7.5336605061062771</v>
      </c>
      <c r="M206" s="6">
        <v>6.7275492017231535</v>
      </c>
      <c r="N206" s="6">
        <v>6.7208479189631412</v>
      </c>
      <c r="O206" s="6">
        <v>7.4924008825301893</v>
      </c>
      <c r="P206" s="6">
        <v>6.4290768150349509</v>
      </c>
      <c r="Q206" s="6">
        <v>6.6322121812308241</v>
      </c>
      <c r="R206" s="6">
        <v>7.2419674192879819</v>
      </c>
      <c r="S206" s="6">
        <v>8.1136318672979399</v>
      </c>
      <c r="T206" s="6">
        <v>8.8487961310077399</v>
      </c>
      <c r="U206" s="6">
        <v>8.7563310973350745</v>
      </c>
      <c r="V206" s="6">
        <v>11.403470667232119</v>
      </c>
      <c r="W206" s="6">
        <v>10.339631068997047</v>
      </c>
      <c r="Y206" s="6">
        <f t="shared" si="20"/>
        <v>176.76525575466329</v>
      </c>
      <c r="Z206">
        <f t="shared" si="21"/>
        <v>14.797765164700708</v>
      </c>
    </row>
    <row r="207" spans="1:27" x14ac:dyDescent="0.25">
      <c r="A207" t="s">
        <v>68</v>
      </c>
      <c r="D207" s="6">
        <v>15.655334291121559</v>
      </c>
      <c r="E207" s="6">
        <v>10.848957670500743</v>
      </c>
      <c r="F207" s="6">
        <v>11.2120092111701</v>
      </c>
      <c r="G207" s="6">
        <v>9.2686321232897093</v>
      </c>
      <c r="H207" s="6">
        <v>8.229603865426693</v>
      </c>
      <c r="I207" s="6">
        <v>8.1083028713957308</v>
      </c>
      <c r="J207" s="6">
        <v>7.5354471853526501</v>
      </c>
      <c r="K207" s="6">
        <v>8.8704256046180632</v>
      </c>
      <c r="L207" s="6">
        <v>10.101016501793021</v>
      </c>
      <c r="M207" s="6">
        <v>6.45966879066179</v>
      </c>
      <c r="N207" s="6">
        <v>7.4294609639781219</v>
      </c>
      <c r="O207" s="6">
        <v>6.661834320779044</v>
      </c>
      <c r="P207" s="6">
        <v>7.6926005079188711</v>
      </c>
      <c r="Q207" s="6">
        <v>8.7581710624152631</v>
      </c>
      <c r="R207" s="6">
        <v>10.278513741684931</v>
      </c>
      <c r="S207" s="6">
        <v>10.782088942837218</v>
      </c>
      <c r="T207" s="6">
        <v>9.0165688626796001</v>
      </c>
      <c r="U207" s="6">
        <v>10.401862424104635</v>
      </c>
      <c r="V207" s="6">
        <v>9.9188798419548991</v>
      </c>
      <c r="W207" s="6">
        <v>10.886860104705736</v>
      </c>
      <c r="Y207" s="6">
        <f>SUM(D207:W207)</f>
        <v>188.11623888838838</v>
      </c>
      <c r="Z207">
        <f t="shared" si="21"/>
        <v>18.583756687052354</v>
      </c>
    </row>
    <row r="208" spans="1:27" x14ac:dyDescent="0.25">
      <c r="A208" t="s">
        <v>69</v>
      </c>
      <c r="D208" s="6">
        <v>12.209891997154539</v>
      </c>
      <c r="E208" s="6">
        <v>14.611666570378416</v>
      </c>
      <c r="F208" s="6">
        <v>13.285638889597999</v>
      </c>
      <c r="G208" s="6">
        <v>11.764145044978354</v>
      </c>
      <c r="H208" s="6">
        <v>11.978679859803341</v>
      </c>
      <c r="I208" s="6">
        <v>11.974619391127817</v>
      </c>
      <c r="J208" s="6">
        <v>6.5644193722540658</v>
      </c>
      <c r="K208" s="6">
        <v>7.6140715462835891</v>
      </c>
      <c r="L208" s="6">
        <v>7.5306248074042212</v>
      </c>
      <c r="M208" s="6">
        <v>7.1445596870840538</v>
      </c>
      <c r="N208" s="6">
        <v>7.157750839451765</v>
      </c>
      <c r="O208" s="6">
        <v>6.7152613130571561</v>
      </c>
      <c r="P208" s="6">
        <v>7.0395302858682003</v>
      </c>
      <c r="Q208" s="6">
        <v>4.9625512527702611</v>
      </c>
      <c r="R208" s="6">
        <v>5.2101354069061836</v>
      </c>
      <c r="S208" s="6">
        <v>6.7695972151895898</v>
      </c>
      <c r="T208" s="6">
        <v>7.840638840474047</v>
      </c>
      <c r="U208" s="6">
        <v>9.276436626864081</v>
      </c>
      <c r="V208" s="6">
        <v>8.2471407366515948</v>
      </c>
      <c r="W208" s="6">
        <v>9.59488087882551</v>
      </c>
      <c r="Y208" s="6">
        <f t="shared" si="20"/>
        <v>177.49224056212475</v>
      </c>
      <c r="Z208">
        <f t="shared" si="21"/>
        <v>19.197370234776269</v>
      </c>
    </row>
    <row r="209" spans="1:26" x14ac:dyDescent="0.25"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Y209" s="6"/>
    </row>
    <row r="210" spans="1:26" x14ac:dyDescent="0.25">
      <c r="A210" t="s">
        <v>70</v>
      </c>
      <c r="D210" s="6">
        <v>11.541587893075446</v>
      </c>
      <c r="E210" s="6">
        <v>11.07675319915761</v>
      </c>
      <c r="F210" s="6">
        <v>11.003473186010371</v>
      </c>
      <c r="G210" s="6">
        <v>10.24543830659268</v>
      </c>
      <c r="H210" s="6">
        <v>9.2882439952210571</v>
      </c>
      <c r="I210" s="6">
        <v>11.147762968220055</v>
      </c>
      <c r="J210" s="6">
        <v>10.939866083965839</v>
      </c>
      <c r="K210" s="6">
        <v>8.3543143906437844</v>
      </c>
      <c r="L210" s="6">
        <v>6.930479369665802</v>
      </c>
      <c r="M210" s="6">
        <v>6.7701293109739451</v>
      </c>
      <c r="N210" s="6">
        <v>6.8407791083778902</v>
      </c>
      <c r="O210" s="6">
        <v>7.5954614071531381</v>
      </c>
      <c r="P210" s="6">
        <v>6.6315738904797392</v>
      </c>
      <c r="Q210" s="6">
        <v>6.9350678078443959</v>
      </c>
      <c r="R210" s="6">
        <v>8.0683742655083819</v>
      </c>
      <c r="S210" s="6">
        <v>8.5108427179298456</v>
      </c>
      <c r="T210" s="6">
        <v>8.5126887162812377</v>
      </c>
      <c r="U210" s="6">
        <v>9.4629980561291305</v>
      </c>
      <c r="V210" s="6">
        <v>9.3679638168042239</v>
      </c>
      <c r="W210" s="6">
        <v>9.9576767279249445</v>
      </c>
      <c r="Y210" s="6">
        <f t="shared" si="20"/>
        <v>179.1814752179595</v>
      </c>
      <c r="Z210">
        <f>SUMPRODUCT($D$214:$W$214,D210:W210)</f>
        <v>16.096278125982842</v>
      </c>
    </row>
    <row r="211" spans="1:26" x14ac:dyDescent="0.25">
      <c r="A211" t="s">
        <v>313</v>
      </c>
      <c r="D211" s="6">
        <v>14.196197827561193</v>
      </c>
      <c r="E211" s="6">
        <v>13.657312114434788</v>
      </c>
      <c r="F211" s="6">
        <v>9.6537131220151711</v>
      </c>
      <c r="G211" s="6">
        <v>10.040997232688451</v>
      </c>
      <c r="H211" s="6">
        <v>10.989790386498504</v>
      </c>
      <c r="I211" s="6">
        <v>9.9547739995124598</v>
      </c>
      <c r="J211" s="6">
        <v>9.75917078002667</v>
      </c>
      <c r="K211" s="6">
        <v>7.1646469652425226</v>
      </c>
      <c r="L211" s="6">
        <v>8.9319565843997655</v>
      </c>
      <c r="M211" s="6">
        <v>8.9758839642836321</v>
      </c>
      <c r="N211" s="6">
        <v>7.5566919730989497</v>
      </c>
      <c r="O211" s="6">
        <v>7.7685688353627862</v>
      </c>
      <c r="P211" s="6">
        <v>8.6999999999999993</v>
      </c>
      <c r="Q211" s="6">
        <v>9.1</v>
      </c>
      <c r="R211" s="6">
        <v>10.8</v>
      </c>
      <c r="S211" s="6">
        <v>5.7</v>
      </c>
      <c r="T211" s="6">
        <v>7.8</v>
      </c>
      <c r="U211" s="6">
        <v>8.1999999999999993</v>
      </c>
      <c r="V211" s="6">
        <v>10.01</v>
      </c>
      <c r="W211" s="6">
        <v>9.14</v>
      </c>
      <c r="Y211" s="6">
        <f t="shared" si="20"/>
        <v>188.09970378512492</v>
      </c>
      <c r="Z211">
        <f>SUMPRODUCT($D$214:$W$214,D211:W211)</f>
        <v>16.517570305169183</v>
      </c>
    </row>
    <row r="212" spans="1:26" x14ac:dyDescent="0.25">
      <c r="A212" t="s">
        <v>314</v>
      </c>
      <c r="D212" s="6">
        <v>14.472107523939121</v>
      </c>
      <c r="E212" s="6">
        <v>13.127263707486778</v>
      </c>
      <c r="F212" s="6">
        <v>10.808000391447575</v>
      </c>
      <c r="G212" s="6">
        <v>11.290889003615519</v>
      </c>
      <c r="H212" s="6">
        <v>11.457815733314957</v>
      </c>
      <c r="I212" s="6">
        <v>9.8996914471416062</v>
      </c>
      <c r="J212" s="6">
        <v>8.3535422718966892</v>
      </c>
      <c r="K212" s="6">
        <v>7.1</v>
      </c>
      <c r="L212" s="6">
        <v>7.4</v>
      </c>
      <c r="M212" s="6">
        <v>7.7</v>
      </c>
      <c r="N212" s="6">
        <v>8.1999999999999993</v>
      </c>
      <c r="O212" s="6">
        <v>8.3000000000000007</v>
      </c>
      <c r="P212" s="6">
        <v>6.4839303777327704</v>
      </c>
      <c r="Q212" s="6">
        <v>7.0570938790206927</v>
      </c>
      <c r="R212" s="6">
        <v>7.8129862724393195</v>
      </c>
      <c r="S212" s="6">
        <v>8.4367138052126407</v>
      </c>
      <c r="T212" s="6">
        <v>9.1674119836269128</v>
      </c>
      <c r="U212" s="6">
        <v>9.029010219093303</v>
      </c>
      <c r="V212" s="6">
        <v>9.398724673641734</v>
      </c>
      <c r="W212" s="6">
        <v>9.9187670929192926</v>
      </c>
      <c r="Y212" s="6">
        <f t="shared" si="20"/>
        <v>185.41394838252893</v>
      </c>
      <c r="Z212">
        <f>SUMPRODUCT($D$214:$W$214,D212:W212)</f>
        <v>18.580237952109535</v>
      </c>
    </row>
    <row r="213" spans="1:26" x14ac:dyDescent="0.25">
      <c r="A213" t="s">
        <v>658</v>
      </c>
      <c r="D213" s="17">
        <v>13.742067626053613</v>
      </c>
      <c r="E213" s="17">
        <v>13.20803138277247</v>
      </c>
      <c r="F213" s="17">
        <v>12.96629921926691</v>
      </c>
      <c r="G213" s="17">
        <v>11.84881910924077</v>
      </c>
      <c r="H213" s="17">
        <v>10.319801127067112</v>
      </c>
      <c r="I213" s="17">
        <v>9.1999999999999993</v>
      </c>
      <c r="J213" s="17">
        <v>8.3000000000000007</v>
      </c>
      <c r="K213" s="17">
        <v>8.6</v>
      </c>
      <c r="L213" s="6">
        <v>8.1</v>
      </c>
      <c r="M213" s="6">
        <v>6.9</v>
      </c>
      <c r="N213" s="6">
        <v>6.9</v>
      </c>
      <c r="O213" s="6">
        <v>7.7</v>
      </c>
      <c r="P213" s="6">
        <v>5.7254216846651946</v>
      </c>
      <c r="Q213" s="6">
        <v>8.583961309640296</v>
      </c>
      <c r="R213" s="6">
        <v>5.9582598627299221</v>
      </c>
      <c r="S213" s="6">
        <v>8.5</v>
      </c>
      <c r="T213" s="6">
        <v>8.83771025463985</v>
      </c>
      <c r="U213" s="6">
        <v>8.8145356759978863</v>
      </c>
      <c r="V213" s="6">
        <v>8.0686536991415938</v>
      </c>
      <c r="W213" s="6">
        <v>9.7907169904492903</v>
      </c>
      <c r="Y213" s="6">
        <f t="shared" ref="Y213" si="22">SUM(D213:W213)</f>
        <v>182.06427794166493</v>
      </c>
      <c r="Z213">
        <f>SUMPRODUCT($D$214:$W$214,D213:W213)</f>
        <v>18.61718832206914</v>
      </c>
    </row>
    <row r="214" spans="1:26" x14ac:dyDescent="0.25">
      <c r="A214" s="2" t="s">
        <v>71</v>
      </c>
      <c r="D214" s="3">
        <f>CORREL($B$2:$B$28,D182:D208)</f>
        <v>0.47129789253433396</v>
      </c>
      <c r="E214" s="3">
        <f t="shared" ref="E214:W214" si="23">CORREL($B$2:$B$28,E182:E208)</f>
        <v>0.39145956959375311</v>
      </c>
      <c r="F214" s="3">
        <f t="shared" si="23"/>
        <v>0.21789391669888031</v>
      </c>
      <c r="G214" s="3">
        <f t="shared" si="23"/>
        <v>9.2194629456335039E-2</v>
      </c>
      <c r="H214" s="3">
        <f t="shared" si="23"/>
        <v>9.4501798600393094E-2</v>
      </c>
      <c r="I214" s="3">
        <f t="shared" si="23"/>
        <v>0.28001486355043725</v>
      </c>
      <c r="J214" s="3">
        <f t="shared" si="23"/>
        <v>-0.29981559941783309</v>
      </c>
      <c r="K214" s="3">
        <f t="shared" si="23"/>
        <v>1.0676176875943865E-3</v>
      </c>
      <c r="L214" s="3">
        <f t="shared" si="23"/>
        <v>-0.13783140024359586</v>
      </c>
      <c r="M214" s="3">
        <f t="shared" si="23"/>
        <v>3.1219916614138511E-2</v>
      </c>
      <c r="N214" s="3">
        <f t="shared" si="23"/>
        <v>-0.2008486373529759</v>
      </c>
      <c r="O214" s="3">
        <f t="shared" si="23"/>
        <v>-0.13355274979881285</v>
      </c>
      <c r="P214" s="3">
        <f t="shared" si="23"/>
        <v>-0.11521790405444311</v>
      </c>
      <c r="Q214" s="3">
        <f t="shared" si="23"/>
        <v>-2.961911376446798E-3</v>
      </c>
      <c r="R214" s="3">
        <f t="shared" si="23"/>
        <v>6.2983848546347185E-2</v>
      </c>
      <c r="S214" s="3">
        <f t="shared" si="23"/>
        <v>0.37417168130293077</v>
      </c>
      <c r="T214" s="3">
        <f t="shared" si="23"/>
        <v>0.12436644117882684</v>
      </c>
      <c r="U214" s="3">
        <f t="shared" si="23"/>
        <v>7.7825309648303267E-2</v>
      </c>
      <c r="V214" s="3">
        <f t="shared" si="23"/>
        <v>2.4458808048184032E-2</v>
      </c>
      <c r="W214" s="3">
        <f t="shared" si="23"/>
        <v>4.5199943897420151E-2</v>
      </c>
      <c r="X214" s="3"/>
    </row>
    <row r="215" spans="1:26" x14ac:dyDescent="0.25">
      <c r="P215" s="6"/>
      <c r="Q215" s="6"/>
      <c r="R215" s="6"/>
      <c r="S215" s="6"/>
      <c r="T215" s="6"/>
      <c r="U215" s="6"/>
      <c r="V215" s="6"/>
      <c r="W215" s="6"/>
    </row>
    <row r="216" spans="1:26" x14ac:dyDescent="0.25">
      <c r="P216" s="6"/>
      <c r="Q216" s="6"/>
      <c r="R216" s="6"/>
      <c r="S216" s="6"/>
      <c r="T216" s="6"/>
      <c r="U216" s="6"/>
      <c r="V216" s="6"/>
      <c r="W216" s="6"/>
    </row>
    <row r="217" spans="1:26" x14ac:dyDescent="0.25">
      <c r="D217" t="s">
        <v>8</v>
      </c>
      <c r="E217" t="s">
        <v>9</v>
      </c>
      <c r="F217" t="s">
        <v>10</v>
      </c>
      <c r="G217" t="s">
        <v>11</v>
      </c>
      <c r="H217" t="s">
        <v>12</v>
      </c>
      <c r="I217" t="s">
        <v>13</v>
      </c>
      <c r="J217" t="s">
        <v>14</v>
      </c>
      <c r="K217" t="s">
        <v>15</v>
      </c>
      <c r="L217" t="s">
        <v>321</v>
      </c>
      <c r="M217" t="s">
        <v>361</v>
      </c>
      <c r="N217" t="s">
        <v>362</v>
      </c>
      <c r="O217" t="s">
        <v>363</v>
      </c>
      <c r="P217" s="6" t="s">
        <v>458</v>
      </c>
      <c r="Q217" s="6" t="s">
        <v>459</v>
      </c>
      <c r="R217" s="6" t="s">
        <v>460</v>
      </c>
      <c r="S217" s="6" t="s">
        <v>461</v>
      </c>
      <c r="T217" s="6" t="s">
        <v>570</v>
      </c>
      <c r="U217" s="6" t="s">
        <v>571</v>
      </c>
      <c r="V217" s="6" t="s">
        <v>572</v>
      </c>
      <c r="W217" s="6" t="s">
        <v>573</v>
      </c>
      <c r="Y217" t="s">
        <v>98</v>
      </c>
      <c r="Z217" t="s">
        <v>99</v>
      </c>
    </row>
    <row r="218" spans="1:26" x14ac:dyDescent="0.25">
      <c r="A218" t="s">
        <v>43</v>
      </c>
      <c r="D218" s="6">
        <v>7.525791209003633</v>
      </c>
      <c r="E218" s="6">
        <v>6.9918964094756273</v>
      </c>
      <c r="F218" s="6">
        <v>6.3093672651093398</v>
      </c>
      <c r="G218" s="6">
        <v>8.5387276976910762</v>
      </c>
      <c r="H218" s="6">
        <v>7.3963331727251216</v>
      </c>
      <c r="I218" s="6">
        <v>6.3996539244432551</v>
      </c>
      <c r="J218" s="6">
        <v>10.185507861302705</v>
      </c>
      <c r="K218" s="6">
        <v>6.9385468801518</v>
      </c>
      <c r="L218" s="6">
        <v>7.4540084979136214</v>
      </c>
      <c r="M218" s="6">
        <v>3.8492158997253205</v>
      </c>
      <c r="N218" s="6">
        <v>5.1216090999738428</v>
      </c>
      <c r="O218" s="6">
        <v>6.8419815162876976</v>
      </c>
      <c r="P218" s="6">
        <v>6.8782095516357433</v>
      </c>
      <c r="Q218" s="6">
        <v>6.806904474928082</v>
      </c>
      <c r="R218" s="6">
        <v>7.1184850740594499</v>
      </c>
      <c r="S218" s="6">
        <v>6.662895973378582</v>
      </c>
      <c r="T218" s="6">
        <v>4.7493415213809431</v>
      </c>
      <c r="U218" s="6">
        <v>5.0685092094143851</v>
      </c>
      <c r="V218" s="6">
        <v>9.0653171854333063</v>
      </c>
      <c r="W218" s="6">
        <v>5.5546420923064455</v>
      </c>
      <c r="Y218" s="6">
        <f t="shared" ref="Y218:Y248" si="24">SUM(D218:W218)</f>
        <v>135.45694451633997</v>
      </c>
      <c r="Z218">
        <f t="shared" ref="Z218:Z244" si="25">SUMPRODUCT($D$250:$W$250,D218:W218)</f>
        <v>-8.0240496764432319</v>
      </c>
    </row>
    <row r="219" spans="1:26" x14ac:dyDescent="0.25">
      <c r="A219" t="s">
        <v>44</v>
      </c>
      <c r="D219" s="6">
        <v>6.955096955596348</v>
      </c>
      <c r="E219" s="6">
        <v>6.5312657232658156</v>
      </c>
      <c r="F219" s="6">
        <v>10.895875216424182</v>
      </c>
      <c r="G219" s="6">
        <v>7.202349263987557</v>
      </c>
      <c r="H219" s="6">
        <v>6.9515785252022386</v>
      </c>
      <c r="I219" s="6">
        <v>6.2273725197576164</v>
      </c>
      <c r="J219" s="6">
        <v>4.8254493609259148</v>
      </c>
      <c r="K219" s="6">
        <v>4.4849636374947845</v>
      </c>
      <c r="L219" s="6">
        <v>4.6892093235060823</v>
      </c>
      <c r="M219" s="6">
        <v>6.6804108774736477</v>
      </c>
      <c r="N219" s="6">
        <v>9.7728385937550737</v>
      </c>
      <c r="O219" s="6">
        <v>6.2446475950188161</v>
      </c>
      <c r="P219" s="6">
        <v>4.2151513786349977</v>
      </c>
      <c r="Q219" s="6">
        <v>4.4809548949903215</v>
      </c>
      <c r="R219" s="6">
        <v>6.2426161665318078</v>
      </c>
      <c r="S219" s="6">
        <v>6.3254716068336254</v>
      </c>
      <c r="T219" s="6">
        <v>7.6415084474661237</v>
      </c>
      <c r="U219" s="6">
        <v>5.8510249385794779</v>
      </c>
      <c r="V219" s="6">
        <v>9.1313298243973104</v>
      </c>
      <c r="W219" s="6">
        <v>9.5707077235813411</v>
      </c>
      <c r="Y219" s="6">
        <f t="shared" si="24"/>
        <v>134.91982257342309</v>
      </c>
      <c r="Z219">
        <f t="shared" si="25"/>
        <v>-6.1511563586969231</v>
      </c>
    </row>
    <row r="220" spans="1:26" x14ac:dyDescent="0.25">
      <c r="A220" t="s">
        <v>45</v>
      </c>
      <c r="D220" s="6">
        <v>7.1178845849579204</v>
      </c>
      <c r="E220" s="6">
        <v>3.9012977449938151</v>
      </c>
      <c r="F220" s="6">
        <v>4.6997907541048418</v>
      </c>
      <c r="G220" s="6">
        <v>10.755227226062999</v>
      </c>
      <c r="H220" s="6">
        <v>10.602685021156432</v>
      </c>
      <c r="I220" s="6">
        <v>7.9690941718269164</v>
      </c>
      <c r="J220" s="6">
        <v>8.4607814438431674</v>
      </c>
      <c r="K220" s="6">
        <v>5.7348373120972065</v>
      </c>
      <c r="L220" s="6">
        <v>6.9165141588053292</v>
      </c>
      <c r="M220" s="6">
        <v>6.4073588798026719</v>
      </c>
      <c r="N220" s="6">
        <v>8.5088591788077412</v>
      </c>
      <c r="O220" s="6">
        <v>7.0621235606527923</v>
      </c>
      <c r="P220" s="6">
        <v>3.4608739820000904</v>
      </c>
      <c r="Q220" s="6">
        <v>4.9457804465223347</v>
      </c>
      <c r="R220" s="6">
        <v>7.8266915305466815</v>
      </c>
      <c r="S220" s="6">
        <v>8.8078036570270601</v>
      </c>
      <c r="T220" s="6">
        <v>13.337071618992155</v>
      </c>
      <c r="U220" s="6">
        <v>10.828599109298173</v>
      </c>
      <c r="V220" s="6">
        <v>9.70772130787409</v>
      </c>
      <c r="W220" s="6">
        <v>11.940699801431965</v>
      </c>
      <c r="Y220" s="6">
        <f t="shared" si="24"/>
        <v>158.9916954908044</v>
      </c>
      <c r="Z220">
        <f t="shared" si="25"/>
        <v>-8.897548091776379</v>
      </c>
    </row>
    <row r="221" spans="1:26" x14ac:dyDescent="0.25">
      <c r="A221" t="s">
        <v>46</v>
      </c>
      <c r="D221" s="6">
        <v>7.3044617680271928</v>
      </c>
      <c r="E221" s="6">
        <v>6.0680578934111606</v>
      </c>
      <c r="F221" s="6">
        <v>7.0244509727793485</v>
      </c>
      <c r="G221" s="6">
        <v>7.2405773483174967</v>
      </c>
      <c r="H221" s="6">
        <v>6.5677359520210663</v>
      </c>
      <c r="I221" s="6">
        <v>6.0289200328236765</v>
      </c>
      <c r="J221" s="6">
        <v>7.3169629078967278</v>
      </c>
      <c r="K221" s="6">
        <v>9.3815512865213329</v>
      </c>
      <c r="L221" s="6">
        <v>10.729254773113343</v>
      </c>
      <c r="M221" s="6">
        <v>8.2830464047292356</v>
      </c>
      <c r="N221" s="6">
        <v>4.49801883061963</v>
      </c>
      <c r="O221" s="6">
        <v>7.3915993751182754</v>
      </c>
      <c r="P221" s="6">
        <v>5.2075135322149206</v>
      </c>
      <c r="Q221" s="6">
        <v>6.6414763187035089</v>
      </c>
      <c r="R221" s="6">
        <v>4.3702234019247284</v>
      </c>
      <c r="S221" s="6">
        <v>8.5863134100559559</v>
      </c>
      <c r="T221" s="6">
        <v>5.3693594956725166</v>
      </c>
      <c r="U221" s="6">
        <v>4.9076756052928081</v>
      </c>
      <c r="V221" s="6">
        <v>6.1205018990418196</v>
      </c>
      <c r="W221" s="6">
        <v>7.6403610454027042</v>
      </c>
      <c r="Y221" s="6">
        <f t="shared" si="24"/>
        <v>136.67806225368744</v>
      </c>
      <c r="Z221">
        <f t="shared" si="25"/>
        <v>-7.1477934227199498</v>
      </c>
    </row>
    <row r="222" spans="1:26" x14ac:dyDescent="0.25">
      <c r="A222" t="s">
        <v>47</v>
      </c>
      <c r="D222" s="6">
        <v>10.70436208837298</v>
      </c>
      <c r="E222" s="6">
        <v>10.600317925740223</v>
      </c>
      <c r="F222" s="6">
        <v>8.599054724210756</v>
      </c>
      <c r="G222" s="6">
        <v>11.311601813747671</v>
      </c>
      <c r="H222" s="6">
        <v>8.6489914864637925</v>
      </c>
      <c r="I222" s="6">
        <v>7.1496523266067387</v>
      </c>
      <c r="J222" s="6">
        <v>8.2679612691362845</v>
      </c>
      <c r="K222" s="6">
        <v>8.2561453984397577</v>
      </c>
      <c r="L222" s="6">
        <v>6.4547143576326063</v>
      </c>
      <c r="M222" s="6">
        <v>8.0988587593762098</v>
      </c>
      <c r="N222" s="6">
        <v>8.3174017126336874</v>
      </c>
      <c r="O222" s="6">
        <v>8.6096404944894456</v>
      </c>
      <c r="P222" s="6">
        <v>9.5136746320625711</v>
      </c>
      <c r="Q222" s="6">
        <v>6.9267398366827626</v>
      </c>
      <c r="R222" s="6">
        <v>11.000693024900452</v>
      </c>
      <c r="S222" s="6">
        <v>10.250793133212861</v>
      </c>
      <c r="T222" s="6">
        <v>21.332026617284043</v>
      </c>
      <c r="U222" s="6">
        <v>20.708306592084305</v>
      </c>
      <c r="V222" s="6">
        <v>8.1459354382490918</v>
      </c>
      <c r="W222" s="6">
        <v>10.8902097471482</v>
      </c>
      <c r="Y222" s="6">
        <f t="shared" si="24"/>
        <v>203.78708137847443</v>
      </c>
      <c r="Z222">
        <f t="shared" si="25"/>
        <v>-8.3088703360602114</v>
      </c>
    </row>
    <row r="223" spans="1:26" x14ac:dyDescent="0.25">
      <c r="A223" t="s">
        <v>48</v>
      </c>
      <c r="D223" s="6">
        <v>14.555357619753929</v>
      </c>
      <c r="E223" s="6">
        <v>14.865192307363813</v>
      </c>
      <c r="F223" s="6">
        <v>16.169177383019097</v>
      </c>
      <c r="G223" s="6">
        <v>17.802700066914781</v>
      </c>
      <c r="H223" s="6">
        <v>17.157048939633377</v>
      </c>
      <c r="I223" s="6">
        <v>16.771680865532325</v>
      </c>
      <c r="J223" s="6">
        <v>20.226197278304785</v>
      </c>
      <c r="K223" s="6">
        <v>17.071964810178894</v>
      </c>
      <c r="L223" s="6">
        <v>10.639824588420312</v>
      </c>
      <c r="M223" s="6">
        <v>6.4403038239987298</v>
      </c>
      <c r="N223" s="6">
        <v>8.2244753464526461</v>
      </c>
      <c r="O223" s="6">
        <v>6.3041253086175635</v>
      </c>
      <c r="P223" s="6">
        <v>10.047947342778075</v>
      </c>
      <c r="Q223" s="6">
        <v>8.0522656958513981</v>
      </c>
      <c r="R223" s="6">
        <v>8.0820410206896209</v>
      </c>
      <c r="S223" s="6">
        <v>3.67355450072569</v>
      </c>
      <c r="T223" s="6">
        <v>6.3839006657168857</v>
      </c>
      <c r="U223" s="6">
        <v>6.1476220782249413</v>
      </c>
      <c r="V223" s="6">
        <v>7.0045557562755691</v>
      </c>
      <c r="W223" s="6">
        <v>7.2940837905558924</v>
      </c>
      <c r="Y223" s="6">
        <f t="shared" si="24"/>
        <v>222.91401918900831</v>
      </c>
      <c r="Z223">
        <f t="shared" si="25"/>
        <v>-7.9455254233324988</v>
      </c>
    </row>
    <row r="224" spans="1:26" x14ac:dyDescent="0.25">
      <c r="A224" t="s">
        <v>49</v>
      </c>
      <c r="D224" s="6">
        <v>6.8644207928825649</v>
      </c>
      <c r="E224" s="6">
        <v>8.735181218446888</v>
      </c>
      <c r="F224" s="6">
        <v>10.011605221186192</v>
      </c>
      <c r="G224" s="6">
        <v>8.7747240570392311</v>
      </c>
      <c r="H224" s="6">
        <v>6.7790192192159564</v>
      </c>
      <c r="I224" s="6">
        <v>7.5762939517883865</v>
      </c>
      <c r="J224" s="6">
        <v>8.051119827558189</v>
      </c>
      <c r="K224" s="6">
        <v>9.0452363978180248</v>
      </c>
      <c r="L224" s="6">
        <v>5.8791075910793813</v>
      </c>
      <c r="M224" s="6">
        <v>6.7322150138721275</v>
      </c>
      <c r="N224" s="6">
        <v>7.4682482901824887</v>
      </c>
      <c r="O224" s="6">
        <v>7.3691140241137161</v>
      </c>
      <c r="P224" s="6">
        <v>12.312086180055273</v>
      </c>
      <c r="Q224" s="6">
        <v>13.739376357530022</v>
      </c>
      <c r="R224" s="6">
        <v>11.89344444446345</v>
      </c>
      <c r="S224" s="6">
        <v>8.7236739969036545</v>
      </c>
      <c r="T224" s="6">
        <v>6.0244362608174828</v>
      </c>
      <c r="U224" s="6">
        <v>8.6797110930170991</v>
      </c>
      <c r="V224" s="6">
        <v>9.3657933880970425</v>
      </c>
      <c r="W224" s="6">
        <v>6.6196365159505666</v>
      </c>
      <c r="Y224" s="6">
        <f t="shared" si="24"/>
        <v>170.64444384201769</v>
      </c>
      <c r="Z224">
        <f t="shared" si="25"/>
        <v>-10.475787453109071</v>
      </c>
    </row>
    <row r="225" spans="1:26" x14ac:dyDescent="0.25">
      <c r="A225" t="s">
        <v>50</v>
      </c>
      <c r="D225" s="6">
        <v>8.7382448935688597</v>
      </c>
      <c r="E225" s="6">
        <v>8.6894145714861803</v>
      </c>
      <c r="F225" s="6">
        <v>0.70994505376881434</v>
      </c>
      <c r="G225" s="6">
        <v>10.298879193244208</v>
      </c>
      <c r="H225" s="6">
        <v>10.544377471683429</v>
      </c>
      <c r="I225" s="6">
        <v>9.5591041547470734</v>
      </c>
      <c r="J225" s="6">
        <v>8.2834357662182612</v>
      </c>
      <c r="K225" s="6">
        <v>8.3645009744375169</v>
      </c>
      <c r="L225" s="6">
        <v>10.47525625691609</v>
      </c>
      <c r="M225" s="6">
        <v>10.166396089188783</v>
      </c>
      <c r="N225" s="6">
        <v>22.884453943118157</v>
      </c>
      <c r="O225" s="6">
        <v>22.529714720834139</v>
      </c>
      <c r="P225" s="6">
        <v>27.028547263328303</v>
      </c>
      <c r="Q225" s="6">
        <v>29.634272900757473</v>
      </c>
      <c r="R225" s="6">
        <v>3.1263082952704542</v>
      </c>
      <c r="S225" s="6">
        <v>3.5049207497013568</v>
      </c>
      <c r="T225" s="6">
        <v>12.498660063443726</v>
      </c>
      <c r="U225" s="6">
        <v>7.4927435800767848</v>
      </c>
      <c r="V225" s="6">
        <v>11.381332492770941</v>
      </c>
      <c r="W225" s="6">
        <v>7.5885432229171963</v>
      </c>
      <c r="Y225" s="6">
        <f t="shared" si="24"/>
        <v>233.49905165747782</v>
      </c>
      <c r="Z225">
        <f t="shared" si="25"/>
        <v>-26.885112918638558</v>
      </c>
    </row>
    <row r="226" spans="1:26" x14ac:dyDescent="0.25">
      <c r="A226" t="s">
        <v>51</v>
      </c>
      <c r="D226" s="6">
        <v>13.441239403470863</v>
      </c>
      <c r="E226" s="6">
        <v>23.479510632274188</v>
      </c>
      <c r="F226" s="6">
        <v>26.366953147286324</v>
      </c>
      <c r="G226" s="6">
        <v>14.569564867134659</v>
      </c>
      <c r="H226" s="6">
        <v>13.103754589799333</v>
      </c>
      <c r="I226" s="6">
        <v>8.7357869571432083</v>
      </c>
      <c r="J226" s="6">
        <v>20.302893739397383</v>
      </c>
      <c r="K226" s="6">
        <v>23.360401519739138</v>
      </c>
      <c r="L226" s="6">
        <v>21.697103827145394</v>
      </c>
      <c r="M226" s="6">
        <v>24.313031862599754</v>
      </c>
      <c r="N226" s="6">
        <v>20.33953392427518</v>
      </c>
      <c r="O226" s="6">
        <v>16.250748147162369</v>
      </c>
      <c r="P226" s="6">
        <v>23.655768702199016</v>
      </c>
      <c r="Q226" s="6">
        <v>18.427999085146507</v>
      </c>
      <c r="R226" s="6">
        <v>21.948937702607196</v>
      </c>
      <c r="S226" s="6">
        <v>21.762307163645911</v>
      </c>
      <c r="T226" s="6">
        <v>22.391191611509072</v>
      </c>
      <c r="U226" s="6">
        <v>17.810136732115506</v>
      </c>
      <c r="V226" s="6">
        <v>20.122869068832284</v>
      </c>
      <c r="W226" s="6">
        <v>16.639830201336338</v>
      </c>
      <c r="Y226" s="6">
        <f t="shared" si="24"/>
        <v>388.71956288481954</v>
      </c>
      <c r="Z226">
        <f t="shared" si="25"/>
        <v>-23.914837707156344</v>
      </c>
    </row>
    <row r="227" spans="1:26" x14ac:dyDescent="0.25">
      <c r="A227" t="s">
        <v>52</v>
      </c>
      <c r="D227" s="6">
        <v>11.217456016316785</v>
      </c>
      <c r="E227" s="6">
        <v>10.927463898099262</v>
      </c>
      <c r="F227" s="6">
        <v>9.2976756125459641</v>
      </c>
      <c r="G227" s="6">
        <v>8.3785551089734778</v>
      </c>
      <c r="H227" s="6">
        <v>10.035509312124507</v>
      </c>
      <c r="I227" s="6">
        <v>11.963749523055753</v>
      </c>
      <c r="J227" s="6">
        <v>4.9961942201031047</v>
      </c>
      <c r="K227" s="6">
        <v>6.6087815754983703</v>
      </c>
      <c r="L227" s="6">
        <v>8.3799882829721586</v>
      </c>
      <c r="M227" s="6">
        <v>7.3309543471031668</v>
      </c>
      <c r="N227" s="6">
        <v>6.5224266225078038</v>
      </c>
      <c r="O227" s="6">
        <v>6.5590492610633557</v>
      </c>
      <c r="P227" s="6">
        <v>7.9351498395323556</v>
      </c>
      <c r="Q227" s="6">
        <v>6.8925449678343886</v>
      </c>
      <c r="R227" s="6">
        <v>7.9301802442327949</v>
      </c>
      <c r="S227" s="6">
        <v>7.6878313940560918</v>
      </c>
      <c r="T227" s="6">
        <v>5.1986496059221494</v>
      </c>
      <c r="U227" s="6">
        <v>6.6440585120204334</v>
      </c>
      <c r="V227" s="6">
        <v>5.2835969752012728</v>
      </c>
      <c r="W227" s="6">
        <v>8.2402408185092746</v>
      </c>
      <c r="Y227" s="6">
        <f t="shared" si="24"/>
        <v>158.03005613767249</v>
      </c>
      <c r="Z227">
        <f t="shared" si="25"/>
        <v>-3.6904958949797386</v>
      </c>
    </row>
    <row r="228" spans="1:26" x14ac:dyDescent="0.25">
      <c r="A228" t="s">
        <v>53</v>
      </c>
      <c r="D228" s="6">
        <v>7.5278909630247641</v>
      </c>
      <c r="E228" s="6">
        <v>6.9201867374926493</v>
      </c>
      <c r="F228" s="6">
        <v>6.3627227663770123</v>
      </c>
      <c r="G228" s="6">
        <v>7.9707309144110772</v>
      </c>
      <c r="H228" s="6">
        <v>7.0032471691351281</v>
      </c>
      <c r="I228" s="6">
        <v>6.274170103877287</v>
      </c>
      <c r="J228" s="6">
        <v>9.3185060899426926</v>
      </c>
      <c r="K228" s="6">
        <v>9.6398956271754734</v>
      </c>
      <c r="L228" s="6">
        <v>9.9091487456908762</v>
      </c>
      <c r="M228" s="6">
        <v>8.3267736967090293</v>
      </c>
      <c r="N228" s="6">
        <v>6.4765904213508874</v>
      </c>
      <c r="O228" s="6">
        <v>5.7484325394556484</v>
      </c>
      <c r="P228" s="6">
        <v>7.6924152378701871</v>
      </c>
      <c r="Q228" s="6">
        <v>4.0794944512021027</v>
      </c>
      <c r="R228" s="6">
        <v>5.7958939152975999</v>
      </c>
      <c r="S228" s="6">
        <v>6.5761491480509653</v>
      </c>
      <c r="T228" s="6">
        <v>8.8412273192827673</v>
      </c>
      <c r="U228" s="6">
        <v>7.4822841720172963</v>
      </c>
      <c r="V228" s="6">
        <v>6.9286412546551492</v>
      </c>
      <c r="W228" s="6">
        <v>6.4435267864931225</v>
      </c>
      <c r="Y228" s="6">
        <f t="shared" si="24"/>
        <v>145.31792805951173</v>
      </c>
      <c r="Z228">
        <f t="shared" si="25"/>
        <v>-8.1604187652410136</v>
      </c>
    </row>
    <row r="229" spans="1:26" x14ac:dyDescent="0.25">
      <c r="A229" t="s">
        <v>54</v>
      </c>
      <c r="D229" s="6">
        <v>9.2090642076256461</v>
      </c>
      <c r="E229" s="6">
        <v>10.193105451621367</v>
      </c>
      <c r="F229" s="6">
        <v>9.9751444910460485</v>
      </c>
      <c r="G229" s="6">
        <v>6.2793187654220617</v>
      </c>
      <c r="H229" s="6">
        <v>5.5255482103658045</v>
      </c>
      <c r="I229" s="6">
        <v>6.7491651790876688</v>
      </c>
      <c r="J229" s="6">
        <v>4.456704454355001</v>
      </c>
      <c r="K229" s="6">
        <v>5.8619481886105547</v>
      </c>
      <c r="L229" s="6">
        <v>8.1653042916493455</v>
      </c>
      <c r="M229" s="6">
        <v>9.6856775643351174</v>
      </c>
      <c r="N229" s="6">
        <v>10.216529397102963</v>
      </c>
      <c r="O229" s="6">
        <v>10.171576290208913</v>
      </c>
      <c r="P229" s="6">
        <v>11.408357188317742</v>
      </c>
      <c r="Q229" s="6">
        <v>8.917080360486823</v>
      </c>
      <c r="R229" s="6">
        <v>3.8053112989311564</v>
      </c>
      <c r="S229" s="6">
        <v>5.6558773480445428</v>
      </c>
      <c r="T229" s="6">
        <v>6.024695850633627</v>
      </c>
      <c r="U229" s="6">
        <v>7.5705534230918037</v>
      </c>
      <c r="V229" s="6">
        <v>5.4166906872694911</v>
      </c>
      <c r="W229" s="6">
        <v>10.255406642228467</v>
      </c>
      <c r="Y229" s="6">
        <f t="shared" si="24"/>
        <v>155.54305929043417</v>
      </c>
      <c r="Z229">
        <f t="shared" si="25"/>
        <v>-7.7580060434771507</v>
      </c>
    </row>
    <row r="230" spans="1:26" x14ac:dyDescent="0.25">
      <c r="A230" t="s">
        <v>55</v>
      </c>
      <c r="D230" s="6">
        <v>14.062285329813696</v>
      </c>
      <c r="E230" s="6">
        <v>13.829756134795948</v>
      </c>
      <c r="F230" s="6">
        <v>8.293390163842151</v>
      </c>
      <c r="G230" s="6">
        <v>11.081476682009608</v>
      </c>
      <c r="H230" s="6">
        <v>9.3473786588637982</v>
      </c>
      <c r="I230" s="6">
        <v>10.201391462243279</v>
      </c>
      <c r="J230" s="6">
        <v>7.043686487264968</v>
      </c>
      <c r="K230" s="6">
        <v>6.1450683369223311</v>
      </c>
      <c r="L230" s="6">
        <v>6.6353048581865393</v>
      </c>
      <c r="M230" s="6">
        <v>7.9546129045870853</v>
      </c>
      <c r="N230" s="6">
        <v>7.782338586453089</v>
      </c>
      <c r="O230" s="6">
        <v>3.2232971552932033</v>
      </c>
      <c r="P230" s="6">
        <v>5.1102779091609873</v>
      </c>
      <c r="Q230" s="6">
        <v>9.4441218769223561</v>
      </c>
      <c r="R230" s="6">
        <v>5.4413945314065444</v>
      </c>
      <c r="S230" s="6">
        <v>7.8731025001971764</v>
      </c>
      <c r="T230" s="6">
        <v>4.5405885453056998</v>
      </c>
      <c r="U230" s="6">
        <v>5.150544117560715</v>
      </c>
      <c r="V230" s="6">
        <v>11.580533767772181</v>
      </c>
      <c r="W230" s="6">
        <v>10.083213219711812</v>
      </c>
      <c r="Y230" s="6">
        <f t="shared" si="24"/>
        <v>164.82376322831314</v>
      </c>
      <c r="Z230">
        <f t="shared" si="25"/>
        <v>-4.1650470050262696</v>
      </c>
    </row>
    <row r="231" spans="1:26" x14ac:dyDescent="0.25">
      <c r="A231" t="s">
        <v>56</v>
      </c>
      <c r="D231" s="6">
        <v>15.400236607530491</v>
      </c>
      <c r="E231" s="6">
        <v>10.276577473770677</v>
      </c>
      <c r="F231" s="6">
        <v>10.346580430636058</v>
      </c>
      <c r="G231" s="6">
        <v>9.8103172132049838</v>
      </c>
      <c r="H231" s="6">
        <v>6.6022090393669384</v>
      </c>
      <c r="I231" s="6">
        <v>8.7705291054979284</v>
      </c>
      <c r="J231" s="6">
        <v>8.1109065180604087</v>
      </c>
      <c r="K231" s="6">
        <v>9.8766562109921185</v>
      </c>
      <c r="L231" s="6">
        <v>6.7561826764056248</v>
      </c>
      <c r="M231" s="6">
        <v>7.0562205869199461</v>
      </c>
      <c r="N231" s="6">
        <v>5.5725296574526846</v>
      </c>
      <c r="O231" s="6">
        <v>8.9151903779532056</v>
      </c>
      <c r="P231" s="6">
        <v>8.8735696633470784</v>
      </c>
      <c r="Q231" s="6">
        <v>5.15918972956612</v>
      </c>
      <c r="R231" s="6">
        <v>6.9864238592912518</v>
      </c>
      <c r="S231" s="6">
        <v>6.8019317313603809</v>
      </c>
      <c r="T231" s="6">
        <v>4.8966769681961324</v>
      </c>
      <c r="U231" s="6">
        <v>5.1558160011826875</v>
      </c>
      <c r="V231" s="6">
        <v>9.7795510552086622</v>
      </c>
      <c r="W231" s="6">
        <v>9.831885785926195</v>
      </c>
      <c r="Y231" s="6">
        <f t="shared" si="24"/>
        <v>164.97918069186963</v>
      </c>
      <c r="Z231">
        <f t="shared" si="25"/>
        <v>-4.9865744855040059</v>
      </c>
    </row>
    <row r="232" spans="1:26" x14ac:dyDescent="0.25">
      <c r="A232" t="s">
        <v>57</v>
      </c>
      <c r="D232" s="6">
        <v>11.197951097055304</v>
      </c>
      <c r="E232" s="6">
        <v>11.642610525967484</v>
      </c>
      <c r="F232" s="6">
        <v>10.823288760677347</v>
      </c>
      <c r="G232" s="6">
        <v>10.348063472760572</v>
      </c>
      <c r="H232" s="6">
        <v>8.6725823346892543</v>
      </c>
      <c r="I232" s="6">
        <v>9.0935370589858451</v>
      </c>
      <c r="J232" s="6">
        <v>7.195612523788709</v>
      </c>
      <c r="K232" s="6">
        <v>8.7124519184404523</v>
      </c>
      <c r="L232" s="6">
        <v>8.996217984389796</v>
      </c>
      <c r="M232" s="6">
        <v>10.012214956080969</v>
      </c>
      <c r="N232" s="6">
        <v>9.6280722990749474</v>
      </c>
      <c r="O232" s="6">
        <v>8.0388698783214174</v>
      </c>
      <c r="P232" s="6">
        <v>10.197099794734603</v>
      </c>
      <c r="Q232" s="6">
        <v>9.7523354242004494</v>
      </c>
      <c r="R232" s="6">
        <v>7.3823101061246472</v>
      </c>
      <c r="S232" s="6">
        <v>6.7642711405791536</v>
      </c>
      <c r="T232" s="6">
        <v>7.506749524527601</v>
      </c>
      <c r="U232" s="6">
        <v>12.41012453365752</v>
      </c>
      <c r="V232" s="6">
        <v>8.250689104905609</v>
      </c>
      <c r="W232" s="6">
        <v>8.4815365565573675</v>
      </c>
      <c r="Y232" s="6">
        <f t="shared" si="24"/>
        <v>185.10658899551902</v>
      </c>
      <c r="Z232">
        <f t="shared" si="25"/>
        <v>-7.9468731100051198</v>
      </c>
    </row>
    <row r="233" spans="1:26" x14ac:dyDescent="0.25">
      <c r="A233" t="s">
        <v>58</v>
      </c>
      <c r="D233" s="6">
        <v>5.8736468656745684</v>
      </c>
      <c r="E233" s="6">
        <v>7.7540832725400781</v>
      </c>
      <c r="F233" s="6">
        <v>12.906632290396839</v>
      </c>
      <c r="G233" s="6">
        <v>18.731425949510818</v>
      </c>
      <c r="H233" s="6">
        <v>6.664842505626388</v>
      </c>
      <c r="I233" s="6">
        <v>4.7641479529460602</v>
      </c>
      <c r="J233" s="6">
        <v>6.0835371423383346</v>
      </c>
      <c r="K233" s="6">
        <v>7.8822075730410734</v>
      </c>
      <c r="L233" s="6">
        <v>7.5769108280103383</v>
      </c>
      <c r="M233" s="6">
        <v>6.1779298195645707</v>
      </c>
      <c r="N233" s="6">
        <v>5.1613641750162822</v>
      </c>
      <c r="O233" s="6">
        <v>8.5633004613300354</v>
      </c>
      <c r="P233" s="6">
        <v>5.0194225021635726</v>
      </c>
      <c r="Q233" s="6">
        <v>5.0330510605627392</v>
      </c>
      <c r="R233" s="6">
        <v>4.9711961093323236</v>
      </c>
      <c r="S233" s="6">
        <v>6.5351632259948387</v>
      </c>
      <c r="T233" s="6">
        <v>8.6320383471091731</v>
      </c>
      <c r="U233" s="6">
        <v>3.8768753496114301</v>
      </c>
      <c r="V233" s="6">
        <v>4.0212248277739295</v>
      </c>
      <c r="W233" s="6">
        <v>9.0636495118122617</v>
      </c>
      <c r="Y233" s="6">
        <f t="shared" si="24"/>
        <v>145.29264977035567</v>
      </c>
      <c r="Z233">
        <f t="shared" si="25"/>
        <v>-5.6758541339992679</v>
      </c>
    </row>
    <row r="234" spans="1:26" x14ac:dyDescent="0.25">
      <c r="A234" t="s">
        <v>59</v>
      </c>
      <c r="D234" s="6">
        <v>9.6328737945183835</v>
      </c>
      <c r="E234" s="6">
        <v>5.5868863293927351</v>
      </c>
      <c r="F234" s="6">
        <v>6.3499370271109035</v>
      </c>
      <c r="G234" s="6">
        <v>8.3645190735114028</v>
      </c>
      <c r="H234" s="6">
        <v>5.0034198244922061</v>
      </c>
      <c r="I234" s="6">
        <v>6.764082590448341</v>
      </c>
      <c r="J234" s="6">
        <v>7.9983766867248596</v>
      </c>
      <c r="K234" s="6">
        <v>6.2881429986661681</v>
      </c>
      <c r="L234" s="6">
        <v>4.5765857935478982</v>
      </c>
      <c r="M234" s="6">
        <v>6.7331302042206671</v>
      </c>
      <c r="N234" s="6">
        <v>8.9354180998557844</v>
      </c>
      <c r="O234" s="6">
        <v>6.7965543475105985</v>
      </c>
      <c r="P234" s="6">
        <v>6.522023730234209</v>
      </c>
      <c r="Q234" s="6">
        <v>4.5206135114658377</v>
      </c>
      <c r="R234" s="6">
        <v>5.1539158551065594</v>
      </c>
      <c r="S234" s="6">
        <v>8.7765777893752581</v>
      </c>
      <c r="T234" s="6">
        <v>6.7274169182827022</v>
      </c>
      <c r="U234" s="6">
        <v>7.1663598782282962</v>
      </c>
      <c r="V234" s="6">
        <v>9.1974024045957954</v>
      </c>
      <c r="W234" s="6">
        <v>10.194724500146153</v>
      </c>
      <c r="Y234" s="6">
        <f t="shared" si="24"/>
        <v>141.28896135743474</v>
      </c>
      <c r="Z234">
        <f t="shared" si="25"/>
        <v>-7.2871438440172023</v>
      </c>
    </row>
    <row r="235" spans="1:26" x14ac:dyDescent="0.25">
      <c r="A235" t="s">
        <v>60</v>
      </c>
      <c r="D235" s="6">
        <v>8.105170610829159</v>
      </c>
      <c r="E235" s="6">
        <v>7.2706662427800994</v>
      </c>
      <c r="F235" s="6">
        <v>7.5359194300307948</v>
      </c>
      <c r="G235" s="6">
        <v>8.6704114359136675</v>
      </c>
      <c r="H235" s="6">
        <v>6.2106889760033583</v>
      </c>
      <c r="I235" s="6">
        <v>7.5885189752144981</v>
      </c>
      <c r="J235" s="6">
        <v>6.4362262286822602</v>
      </c>
      <c r="K235" s="6">
        <v>8.821219350756353</v>
      </c>
      <c r="L235" s="6">
        <v>7.4892838492177187</v>
      </c>
      <c r="M235" s="6">
        <v>6.8786437564267375</v>
      </c>
      <c r="N235" s="6">
        <v>6.891816815925389</v>
      </c>
      <c r="O235" s="6">
        <v>5.2237320987917366</v>
      </c>
      <c r="P235" s="6">
        <v>7.9455457163125303</v>
      </c>
      <c r="Q235" s="6">
        <v>8.212311396186843</v>
      </c>
      <c r="R235" s="6">
        <v>6.2377439112550794</v>
      </c>
      <c r="S235" s="6">
        <v>7.1283139762135823</v>
      </c>
      <c r="T235" s="6">
        <v>8.3148803109983387</v>
      </c>
      <c r="U235" s="6">
        <v>8.8712251811222984</v>
      </c>
      <c r="V235" s="6">
        <v>3.0561860250486217</v>
      </c>
      <c r="W235" s="6">
        <v>5.7732824851961704</v>
      </c>
      <c r="Y235" s="6">
        <f t="shared" si="24"/>
        <v>142.66178677290523</v>
      </c>
      <c r="Z235">
        <f t="shared" si="25"/>
        <v>-6.2506842959476243</v>
      </c>
    </row>
    <row r="236" spans="1:26" x14ac:dyDescent="0.25">
      <c r="A236" t="s">
        <v>61</v>
      </c>
      <c r="D236" s="6">
        <v>10.92917363872869</v>
      </c>
      <c r="E236" s="6">
        <v>11.53631645410225</v>
      </c>
      <c r="F236" s="6">
        <v>9.7058293030681</v>
      </c>
      <c r="G236" s="6">
        <v>7.3745080714461126</v>
      </c>
      <c r="H236" s="6">
        <v>7.4664520032546084</v>
      </c>
      <c r="I236" s="6">
        <v>7.5281161653169546</v>
      </c>
      <c r="J236" s="6">
        <v>7.774090061115575</v>
      </c>
      <c r="K236" s="6">
        <v>6.220048353588238</v>
      </c>
      <c r="L236" s="6">
        <v>5.4019855445335399</v>
      </c>
      <c r="M236" s="6">
        <v>7.9922793051871901</v>
      </c>
      <c r="N236" s="6">
        <v>9.366674989793335</v>
      </c>
      <c r="O236" s="6">
        <v>11.005604007335476</v>
      </c>
      <c r="P236" s="6">
        <v>7.403247825374768</v>
      </c>
      <c r="Q236" s="6">
        <v>4.4925754388109125</v>
      </c>
      <c r="R236" s="6">
        <v>6.4038023574461116</v>
      </c>
      <c r="S236" s="6">
        <v>10.81705630311836</v>
      </c>
      <c r="T236" s="6">
        <v>7.4281939907634325</v>
      </c>
      <c r="U236" s="6">
        <v>6.5438676213821356</v>
      </c>
      <c r="V236" s="6">
        <v>7.0797790400709868</v>
      </c>
      <c r="W236" s="6">
        <v>9.6389646841947627</v>
      </c>
      <c r="Y236" s="6">
        <f t="shared" si="24"/>
        <v>162.10856515863156</v>
      </c>
      <c r="Z236">
        <f t="shared" si="25"/>
        <v>-5.8943488211308006</v>
      </c>
    </row>
    <row r="237" spans="1:26" x14ac:dyDescent="0.25">
      <c r="A237" t="s">
        <v>62</v>
      </c>
      <c r="D237" s="6">
        <v>7.9968543317423331</v>
      </c>
      <c r="E237" s="6">
        <v>7.4217303791798122</v>
      </c>
      <c r="F237" s="6">
        <v>8.4377621744683289</v>
      </c>
      <c r="G237" s="6">
        <v>8.1948177520318009</v>
      </c>
      <c r="H237" s="6">
        <v>7.8532069736545775</v>
      </c>
      <c r="I237" s="6">
        <v>8.4037872588967311</v>
      </c>
      <c r="J237" s="6">
        <v>7.7203838713081669</v>
      </c>
      <c r="K237" s="6">
        <v>7.4504431025973572</v>
      </c>
      <c r="L237" s="6">
        <v>8.3541562738738939</v>
      </c>
      <c r="M237" s="6">
        <v>5.4537081543536861</v>
      </c>
      <c r="N237" s="6">
        <v>6.2991523383890451</v>
      </c>
      <c r="O237" s="6">
        <v>5.8973830639358491</v>
      </c>
      <c r="P237" s="6">
        <v>5.7272098242259952</v>
      </c>
      <c r="Q237" s="6">
        <v>6.5532024081851006</v>
      </c>
      <c r="R237" s="6">
        <v>10.89753986219333</v>
      </c>
      <c r="S237" s="6">
        <v>9.1940134831999867</v>
      </c>
      <c r="T237" s="6">
        <v>1.8818821190197657</v>
      </c>
      <c r="U237" s="6">
        <v>8.1576465378715124</v>
      </c>
      <c r="V237" s="6">
        <v>7.6688303130087982</v>
      </c>
      <c r="W237" s="6">
        <v>7.2484011306503122</v>
      </c>
      <c r="Y237" s="6">
        <f t="shared" si="24"/>
        <v>146.81211135278639</v>
      </c>
      <c r="Z237">
        <f t="shared" si="25"/>
        <v>-6.1536642768457375</v>
      </c>
    </row>
    <row r="238" spans="1:26" x14ac:dyDescent="0.25">
      <c r="A238" t="s">
        <v>63</v>
      </c>
      <c r="D238" s="6">
        <v>8.3519336873463264</v>
      </c>
      <c r="E238" s="6">
        <v>8.0055720250293803</v>
      </c>
      <c r="F238" s="6">
        <v>8.6872287517295224</v>
      </c>
      <c r="G238" s="6">
        <v>8.1167046761758392</v>
      </c>
      <c r="H238" s="6">
        <v>9.0579578148947952</v>
      </c>
      <c r="I238" s="6">
        <v>7.6396942336126639</v>
      </c>
      <c r="J238" s="6">
        <v>7.1961906901466923</v>
      </c>
      <c r="K238" s="6">
        <v>6.4482031064796441</v>
      </c>
      <c r="L238" s="6">
        <v>8.2546890060199338</v>
      </c>
      <c r="M238" s="6">
        <v>5.6980840425784773</v>
      </c>
      <c r="N238" s="6">
        <v>3.3554516215034185</v>
      </c>
      <c r="O238" s="6">
        <v>5.862936155807188</v>
      </c>
      <c r="P238" s="6">
        <v>2.7776888928132109</v>
      </c>
      <c r="Q238" s="6">
        <v>4.0904986544018254</v>
      </c>
      <c r="R238" s="6">
        <v>7.2860131448908749</v>
      </c>
      <c r="S238" s="6">
        <v>10.042839946789424</v>
      </c>
      <c r="T238" s="6">
        <v>8.3064476705356292</v>
      </c>
      <c r="U238" s="6">
        <v>6.2675400143975031</v>
      </c>
      <c r="V238" s="6">
        <v>10.001404218944392</v>
      </c>
      <c r="W238" s="6">
        <v>10.072766785445182</v>
      </c>
      <c r="Y238" s="6">
        <f t="shared" si="24"/>
        <v>145.51984513954193</v>
      </c>
      <c r="Z238">
        <f t="shared" si="25"/>
        <v>-4.6790963836101733</v>
      </c>
    </row>
    <row r="239" spans="1:26" x14ac:dyDescent="0.25">
      <c r="A239" t="s">
        <v>64</v>
      </c>
      <c r="D239" s="6">
        <v>10.183839117500179</v>
      </c>
      <c r="E239" s="6">
        <v>10.356433413284909</v>
      </c>
      <c r="F239" s="6">
        <v>9.8271115238954145</v>
      </c>
      <c r="G239" s="6">
        <v>7.6115548833178011</v>
      </c>
      <c r="H239" s="6">
        <v>7.2442999807918174</v>
      </c>
      <c r="I239" s="6">
        <v>9.3469136650811357</v>
      </c>
      <c r="J239" s="6">
        <v>7.3184624170226966</v>
      </c>
      <c r="K239" s="6">
        <v>8.4638955635075313</v>
      </c>
      <c r="L239" s="6">
        <v>9.3808163389995478</v>
      </c>
      <c r="M239" s="6">
        <v>7.9079469971703142</v>
      </c>
      <c r="N239" s="6">
        <v>5.6163515312666901</v>
      </c>
      <c r="O239" s="6">
        <v>7.3882584984042428</v>
      </c>
      <c r="P239" s="6">
        <v>6.4748259506358545</v>
      </c>
      <c r="Q239" s="6">
        <v>11.463992094902773</v>
      </c>
      <c r="R239" s="6">
        <v>11.104464758088715</v>
      </c>
      <c r="S239" s="6">
        <v>7.8134762547311158</v>
      </c>
      <c r="T239" s="6">
        <v>8.743062372214661</v>
      </c>
      <c r="U239" s="6">
        <v>7.3918262588202976</v>
      </c>
      <c r="V239" s="6">
        <v>7.6207819902223326</v>
      </c>
      <c r="W239" s="6">
        <v>8.1345851130600124</v>
      </c>
      <c r="Y239" s="6">
        <f t="shared" si="24"/>
        <v>169.39289872291803</v>
      </c>
      <c r="Z239">
        <f t="shared" si="25"/>
        <v>-6.9072030034742049</v>
      </c>
    </row>
    <row r="240" spans="1:26" x14ac:dyDescent="0.25">
      <c r="A240" t="s">
        <v>65</v>
      </c>
      <c r="D240" s="6">
        <v>10.925788208220391</v>
      </c>
      <c r="E240" s="6">
        <v>9.2336523050530435</v>
      </c>
      <c r="F240" s="6">
        <v>6.8838069394563695</v>
      </c>
      <c r="G240" s="6">
        <v>5.5564962413644308</v>
      </c>
      <c r="H240" s="6">
        <v>9.4511276206638861</v>
      </c>
      <c r="I240" s="6">
        <v>8.3507384895686858</v>
      </c>
      <c r="J240" s="6">
        <v>5.8028091324574689</v>
      </c>
      <c r="K240" s="6">
        <v>6.6447205557806592</v>
      </c>
      <c r="L240" s="6">
        <v>6.8541117146251711</v>
      </c>
      <c r="M240" s="6">
        <v>7.7819410099363253</v>
      </c>
      <c r="N240" s="6">
        <v>5.9577925059330905</v>
      </c>
      <c r="O240" s="6">
        <v>5.2011664505166681</v>
      </c>
      <c r="P240" s="6">
        <v>4.1493033094716401</v>
      </c>
      <c r="Q240" s="6">
        <v>5.0886556432626717</v>
      </c>
      <c r="R240" s="6">
        <v>1.6056357736029843</v>
      </c>
      <c r="S240" s="6">
        <v>3.5930778191687089</v>
      </c>
      <c r="T240" s="6">
        <v>4.8766865614524715</v>
      </c>
      <c r="U240" s="6">
        <v>4.2916891263185386</v>
      </c>
      <c r="V240" s="6">
        <v>5.4223764295625623</v>
      </c>
      <c r="W240" s="6">
        <v>6.0811689871459373</v>
      </c>
      <c r="Y240" s="6">
        <f t="shared" si="24"/>
        <v>123.75274482356171</v>
      </c>
      <c r="Z240">
        <f t="shared" si="25"/>
        <v>-3.2716512920427734</v>
      </c>
    </row>
    <row r="241" spans="1:27" x14ac:dyDescent="0.25">
      <c r="A241" t="s">
        <v>66</v>
      </c>
      <c r="D241" s="6">
        <v>9.8419813672786098</v>
      </c>
      <c r="E241" s="6">
        <v>8.764884635277447</v>
      </c>
      <c r="F241" s="6">
        <v>8.2434868098358862</v>
      </c>
      <c r="G241" s="6">
        <v>5.7691727026367641</v>
      </c>
      <c r="H241" s="6">
        <v>10.127841306556073</v>
      </c>
      <c r="I241" s="6">
        <v>12.938961560708377</v>
      </c>
      <c r="J241" s="6">
        <v>10.723315011745131</v>
      </c>
      <c r="K241" s="6">
        <v>11.233961061639601</v>
      </c>
      <c r="L241" s="6">
        <v>8.2021660198065014</v>
      </c>
      <c r="M241" s="6">
        <v>5.3653355841369699</v>
      </c>
      <c r="N241" s="6">
        <v>7.903848905599661</v>
      </c>
      <c r="O241" s="6">
        <v>10.605015362998481</v>
      </c>
      <c r="P241" s="6">
        <v>7.4461415520460443</v>
      </c>
      <c r="Q241" s="6">
        <v>5.5185233484661547</v>
      </c>
      <c r="R241" s="6">
        <v>6.5331604700102011</v>
      </c>
      <c r="S241" s="6">
        <v>6.9163087390904794</v>
      </c>
      <c r="T241" s="6">
        <v>6.0772222338734716</v>
      </c>
      <c r="U241" s="6">
        <v>7.0747432102961429</v>
      </c>
      <c r="V241" s="6">
        <v>5.7502032756919563</v>
      </c>
      <c r="W241" s="6">
        <v>3.6801255211007637</v>
      </c>
      <c r="Y241" s="6">
        <f t="shared" si="24"/>
        <v>158.71639867879469</v>
      </c>
      <c r="Z241">
        <f t="shared" si="25"/>
        <v>-7.3485886343856111</v>
      </c>
      <c r="AA241" s="6"/>
    </row>
    <row r="242" spans="1:27" x14ac:dyDescent="0.25">
      <c r="A242" t="s">
        <v>67</v>
      </c>
      <c r="D242" s="6">
        <v>7.9285838056877918</v>
      </c>
      <c r="E242" s="6">
        <v>9.3518722267889114</v>
      </c>
      <c r="F242" s="6">
        <v>12.317824120676956</v>
      </c>
      <c r="G242" s="6">
        <v>7.7167559092875342</v>
      </c>
      <c r="H242" s="6">
        <v>9.6421098558102418</v>
      </c>
      <c r="I242" s="6">
        <v>9.8854364710633824</v>
      </c>
      <c r="J242" s="6">
        <v>10.890573703290821</v>
      </c>
      <c r="K242" s="6">
        <v>11.741517628564905</v>
      </c>
      <c r="L242" s="6">
        <v>7.0379497323533968</v>
      </c>
      <c r="M242" s="6">
        <v>7.3588927558719348</v>
      </c>
      <c r="N242" s="6">
        <v>7.0831379531940897</v>
      </c>
      <c r="O242" s="6">
        <v>7.3315226205616195</v>
      </c>
      <c r="P242" s="6">
        <v>6.9105092211934593</v>
      </c>
      <c r="Q242" s="6">
        <v>6.5946889570444798</v>
      </c>
      <c r="R242" s="6">
        <v>6.4003432823555269</v>
      </c>
      <c r="S242" s="6">
        <v>7.4634399575652841</v>
      </c>
      <c r="T242" s="6">
        <v>6.6284120522996774</v>
      </c>
      <c r="U242" s="6">
        <v>6.9579353875398704</v>
      </c>
      <c r="V242" s="6">
        <v>7.8774389814959687</v>
      </c>
      <c r="W242" s="6">
        <v>6.1554112036457287</v>
      </c>
      <c r="Y242" s="6">
        <f t="shared" si="24"/>
        <v>163.27435582629158</v>
      </c>
      <c r="Z242">
        <f t="shared" si="25"/>
        <v>-7.4768809634114115</v>
      </c>
    </row>
    <row r="243" spans="1:27" x14ac:dyDescent="0.25">
      <c r="A243" t="s">
        <v>68</v>
      </c>
      <c r="D243" s="6">
        <v>13.24206958496859</v>
      </c>
      <c r="E243" s="6">
        <v>17.054998769215786</v>
      </c>
      <c r="F243" s="6">
        <v>19.574588305640251</v>
      </c>
      <c r="G243" s="6">
        <v>13.958381616476881</v>
      </c>
      <c r="H243" s="6">
        <v>12.76513556691261</v>
      </c>
      <c r="I243" s="6">
        <v>10.022951784601899</v>
      </c>
      <c r="J243" s="6">
        <v>8.793647999700724</v>
      </c>
      <c r="K243" s="6">
        <v>11.73729990267976</v>
      </c>
      <c r="L243" s="6">
        <v>11.55470542478446</v>
      </c>
      <c r="M243" s="6">
        <v>5.7848709244314902</v>
      </c>
      <c r="N243" s="6">
        <v>8.158773802677592</v>
      </c>
      <c r="O243" s="6">
        <v>8.1128020694988354</v>
      </c>
      <c r="P243" s="6">
        <v>6.8324800936090027</v>
      </c>
      <c r="Q243" s="6">
        <v>8.7899502665469491</v>
      </c>
      <c r="R243" s="6">
        <v>10.675007272326573</v>
      </c>
      <c r="S243" s="6">
        <v>10.628629061147112</v>
      </c>
      <c r="T243" s="6">
        <v>8.9678577295716586</v>
      </c>
      <c r="U243" s="6">
        <v>9.2844549238976786</v>
      </c>
      <c r="V243" s="6">
        <v>7.0899367342627402</v>
      </c>
      <c r="W243" s="6">
        <v>5.9516877090265448</v>
      </c>
      <c r="Y243" s="6">
        <f>SUM(D243:W243)</f>
        <v>208.98022954197714</v>
      </c>
      <c r="Z243">
        <f t="shared" si="25"/>
        <v>-4.3001586372268079</v>
      </c>
    </row>
    <row r="244" spans="1:27" x14ac:dyDescent="0.25">
      <c r="A244" t="s">
        <v>69</v>
      </c>
      <c r="D244" s="6">
        <v>9.8189136209279422</v>
      </c>
      <c r="E244" s="6">
        <v>10.954455573289717</v>
      </c>
      <c r="F244" s="6">
        <v>9.8344012390926991</v>
      </c>
      <c r="G244" s="6">
        <v>9.4927232203636667</v>
      </c>
      <c r="H244" s="6">
        <v>9.3136436024166933</v>
      </c>
      <c r="I244" s="6">
        <v>10.824485722784972</v>
      </c>
      <c r="J244" s="6">
        <v>5.7401216470348926</v>
      </c>
      <c r="K244" s="6">
        <v>7.8307843496305969</v>
      </c>
      <c r="L244" s="6">
        <v>5.8348911548019426</v>
      </c>
      <c r="M244" s="6">
        <v>7.5435759332838819</v>
      </c>
      <c r="N244" s="6">
        <v>7.6197449462245004</v>
      </c>
      <c r="O244" s="6">
        <v>7.3952211895050963</v>
      </c>
      <c r="P244" s="6">
        <v>7.2958838773325354</v>
      </c>
      <c r="Q244" s="6">
        <v>4.4873653044017887</v>
      </c>
      <c r="R244" s="6">
        <v>4.8055072408004875</v>
      </c>
      <c r="S244" s="6">
        <v>5.1240483078099661</v>
      </c>
      <c r="T244" s="6">
        <v>5.5628689118769659</v>
      </c>
      <c r="U244" s="6">
        <v>7.3116237573014109</v>
      </c>
      <c r="V244" s="6">
        <v>5.1184370571608415</v>
      </c>
      <c r="W244" s="6">
        <v>6.3614036372887242</v>
      </c>
      <c r="Y244" s="6">
        <f t="shared" si="24"/>
        <v>148.27010029332931</v>
      </c>
      <c r="Z244">
        <f t="shared" si="25"/>
        <v>-4.0117083745223114</v>
      </c>
    </row>
    <row r="245" spans="1:27" x14ac:dyDescent="0.25"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Y245" s="6"/>
    </row>
    <row r="246" spans="1:27" x14ac:dyDescent="0.25">
      <c r="A246" t="s">
        <v>70</v>
      </c>
      <c r="D246" s="6">
        <v>7.9813741326348646</v>
      </c>
      <c r="E246" s="6">
        <v>8.3623807865140432</v>
      </c>
      <c r="F246" s="6">
        <v>8.0080137629065469</v>
      </c>
      <c r="G246" s="6">
        <v>7.193475283206916</v>
      </c>
      <c r="H246" s="6">
        <v>8.0114231686202313</v>
      </c>
      <c r="I246" s="6">
        <v>9.7355189376944793</v>
      </c>
      <c r="J246" s="6">
        <v>8.2980661735113532</v>
      </c>
      <c r="K246" s="6">
        <v>8.2452634086219092</v>
      </c>
      <c r="L246" s="6">
        <v>7.5101842917887165</v>
      </c>
      <c r="M246" s="6">
        <v>6.6117944252203849</v>
      </c>
      <c r="N246" s="6">
        <v>6.4992817005985106</v>
      </c>
      <c r="O246" s="6">
        <v>7.2242881764034967</v>
      </c>
      <c r="P246" s="6">
        <v>5.9517553401659677</v>
      </c>
      <c r="Q246" s="6">
        <v>6.5733595846514685</v>
      </c>
      <c r="R246" s="6">
        <v>7.4134589755335876</v>
      </c>
      <c r="S246" s="6">
        <v>7.5969791961877595</v>
      </c>
      <c r="T246" s="6">
        <v>6.3805549563555379</v>
      </c>
      <c r="U246" s="6">
        <v>7.0921824020553688</v>
      </c>
      <c r="V246" s="6">
        <v>7.0686761250436998</v>
      </c>
      <c r="W246" s="6">
        <v>6.7106937609204005</v>
      </c>
      <c r="Y246" s="6">
        <f t="shared" si="24"/>
        <v>148.46872458863524</v>
      </c>
      <c r="Z246">
        <f>SUMPRODUCT($D$250:$W$250,D246:W246)</f>
        <v>-6.6214549041200454</v>
      </c>
    </row>
    <row r="247" spans="1:27" x14ac:dyDescent="0.25">
      <c r="A247" t="s">
        <v>313</v>
      </c>
      <c r="D247" s="6">
        <v>11.717878764175763</v>
      </c>
      <c r="E247" s="6">
        <v>11.703955813411552</v>
      </c>
      <c r="F247" s="6">
        <v>9.8632979096063735</v>
      </c>
      <c r="G247" s="6">
        <v>10.48979761270547</v>
      </c>
      <c r="H247" s="6">
        <v>11.709781231177425</v>
      </c>
      <c r="I247" s="6">
        <v>10.300680893442333</v>
      </c>
      <c r="J247" s="6">
        <v>9.0108352077146439</v>
      </c>
      <c r="K247" s="6">
        <v>6.9176290136096394</v>
      </c>
      <c r="L247" s="6">
        <v>6.7561826764056248</v>
      </c>
      <c r="M247" s="6">
        <v>7.0562205869199461</v>
      </c>
      <c r="N247" s="6">
        <v>5.5725296574526846</v>
      </c>
      <c r="O247" s="6">
        <v>8.9151903779532056</v>
      </c>
      <c r="P247" s="6">
        <v>13.7</v>
      </c>
      <c r="Q247" s="6">
        <v>17</v>
      </c>
      <c r="R247" s="6">
        <v>12.9</v>
      </c>
      <c r="S247" s="6">
        <v>7.3</v>
      </c>
      <c r="T247" s="6">
        <v>7.2</v>
      </c>
      <c r="U247" s="6">
        <v>8.1</v>
      </c>
      <c r="V247" s="6">
        <v>8.1</v>
      </c>
      <c r="W247" s="6">
        <v>8.1</v>
      </c>
      <c r="Y247" s="6">
        <f t="shared" si="24"/>
        <v>192.41397974457468</v>
      </c>
      <c r="Z247">
        <f>SUMPRODUCT($D$250:$W$250,D247:W247)</f>
        <v>-9.0280181295884478</v>
      </c>
    </row>
    <row r="248" spans="1:27" x14ac:dyDescent="0.25">
      <c r="A248" t="s">
        <v>314</v>
      </c>
      <c r="D248" s="6">
        <v>11.755417896768666</v>
      </c>
      <c r="E248" s="6">
        <v>12.197192817033025</v>
      </c>
      <c r="F248" s="6">
        <v>11.937367355758088</v>
      </c>
      <c r="G248" s="6">
        <v>8.0286301341029898</v>
      </c>
      <c r="H248" s="6">
        <v>11.317030929424218</v>
      </c>
      <c r="I248" s="6">
        <v>6.9995092866049111</v>
      </c>
      <c r="J248" s="6">
        <v>6.1636788422607705</v>
      </c>
      <c r="K248" s="6">
        <v>7.3</v>
      </c>
      <c r="L248" s="6">
        <v>7.3861080845505587</v>
      </c>
      <c r="M248" s="6">
        <v>7.627119094838501</v>
      </c>
      <c r="N248" s="6">
        <v>7.6330486780414404</v>
      </c>
      <c r="O248" s="6">
        <v>7.3583940220136084</v>
      </c>
      <c r="P248" s="6">
        <v>5.8412752251087108</v>
      </c>
      <c r="Q248" s="6">
        <v>6.2574480778677026</v>
      </c>
      <c r="R248" s="6">
        <v>7.1758513783696785</v>
      </c>
      <c r="S248" s="6">
        <v>7.9771732148090519</v>
      </c>
      <c r="T248" s="6">
        <v>6.2774152857370158</v>
      </c>
      <c r="U248" s="6">
        <v>6.6693211652322857</v>
      </c>
      <c r="V248" s="6">
        <v>7.3458306069995718</v>
      </c>
      <c r="W248" s="6">
        <v>7.2873462036060994</v>
      </c>
      <c r="Y248" s="6">
        <f t="shared" si="24"/>
        <v>160.53515829912692</v>
      </c>
      <c r="Z248">
        <f>SUMPRODUCT($D$250:$W$250,D248:W248)</f>
        <v>-4.1941862659789084</v>
      </c>
    </row>
    <row r="249" spans="1:27" x14ac:dyDescent="0.25">
      <c r="A249" t="s">
        <v>658</v>
      </c>
      <c r="D249" s="17">
        <v>16.064534650483075</v>
      </c>
      <c r="E249" s="17">
        <v>13.05039320891173</v>
      </c>
      <c r="F249" s="17">
        <v>16.644384977398165</v>
      </c>
      <c r="G249" s="17">
        <v>17.761610616401075</v>
      </c>
      <c r="H249" s="17">
        <v>13.719432333895059</v>
      </c>
      <c r="I249" s="17">
        <v>9.6999999999999993</v>
      </c>
      <c r="J249" s="17">
        <v>8</v>
      </c>
      <c r="K249" s="17">
        <v>8.9</v>
      </c>
      <c r="L249" s="6">
        <v>7.5</v>
      </c>
      <c r="M249" s="6">
        <v>6.6</v>
      </c>
      <c r="N249" s="6">
        <v>7</v>
      </c>
      <c r="O249" s="6">
        <v>7.2</v>
      </c>
      <c r="P249" s="6">
        <v>15.732963920105224</v>
      </c>
      <c r="Q249" s="6">
        <v>17.693018137806551</v>
      </c>
      <c r="R249" s="6">
        <v>15.267654714413746</v>
      </c>
      <c r="S249" s="6">
        <v>16.3</v>
      </c>
      <c r="T249" s="6">
        <v>6.7616242576549315</v>
      </c>
      <c r="U249" s="6">
        <v>6.6599708565588029</v>
      </c>
      <c r="V249" s="6">
        <v>6.7695627506415352</v>
      </c>
      <c r="W249" s="6">
        <v>7.6043079922397281</v>
      </c>
      <c r="Y249" s="6">
        <f t="shared" ref="Y249" si="26">SUM(D249:W249)</f>
        <v>224.92945841650965</v>
      </c>
      <c r="Z249">
        <f>SUMPRODUCT($D$250:$W$250,D249:W249)</f>
        <v>-6.6882788559016007</v>
      </c>
    </row>
    <row r="250" spans="1:27" x14ac:dyDescent="0.25">
      <c r="A250" s="2" t="s">
        <v>71</v>
      </c>
      <c r="D250" s="3">
        <f>CORREL($B$2:$B$28,D218:D244)</f>
        <v>0.29228882420173474</v>
      </c>
      <c r="E250" s="3">
        <f t="shared" ref="E250:W250" si="27">CORREL($B$2:$B$28,E218:E244)</f>
        <v>0.20080175464109995</v>
      </c>
      <c r="F250" s="3">
        <f t="shared" si="27"/>
        <v>0.13805525179251235</v>
      </c>
      <c r="G250" s="3">
        <f t="shared" si="27"/>
        <v>-2.9296604151851546E-2</v>
      </c>
      <c r="H250" s="3">
        <f t="shared" si="27"/>
        <v>7.6673898408086347E-3</v>
      </c>
      <c r="I250" s="3">
        <f t="shared" si="27"/>
        <v>0.10507717330149917</v>
      </c>
      <c r="J250" s="3">
        <f t="shared" si="27"/>
        <v>-0.26318413470173602</v>
      </c>
      <c r="K250" s="3">
        <f t="shared" si="27"/>
        <v>-0.10888588044017836</v>
      </c>
      <c r="L250" s="3">
        <f t="shared" si="27"/>
        <v>-0.13566463462412559</v>
      </c>
      <c r="M250" s="3">
        <f t="shared" si="27"/>
        <v>-8.2069592284720549E-2</v>
      </c>
      <c r="N250" s="3">
        <f t="shared" si="27"/>
        <v>-0.28503316500702602</v>
      </c>
      <c r="O250" s="3">
        <f t="shared" si="27"/>
        <v>-0.20862991350895699</v>
      </c>
      <c r="P250" s="3">
        <f t="shared" si="27"/>
        <v>-0.19650733565860468</v>
      </c>
      <c r="Q250" s="3">
        <f t="shared" si="27"/>
        <v>-0.22224486551329273</v>
      </c>
      <c r="R250" s="3">
        <f t="shared" si="27"/>
        <v>-3.5801122359446408E-2</v>
      </c>
      <c r="S250" s="3">
        <f t="shared" si="27"/>
        <v>5.3262217413207393E-2</v>
      </c>
      <c r="T250" s="3">
        <f t="shared" si="27"/>
        <v>-7.38059670838348E-2</v>
      </c>
      <c r="U250" s="3">
        <f t="shared" si="27"/>
        <v>2.0316282342378148E-2</v>
      </c>
      <c r="V250" s="3">
        <f t="shared" si="27"/>
        <v>-0.25889894452291717</v>
      </c>
      <c r="W250" s="3">
        <f t="shared" si="27"/>
        <v>5.7150457184213816E-3</v>
      </c>
      <c r="X250" s="3"/>
    </row>
    <row r="253" spans="1:27" x14ac:dyDescent="0.25">
      <c r="D253" t="s">
        <v>100</v>
      </c>
      <c r="E253" t="s">
        <v>101</v>
      </c>
      <c r="F253" t="s">
        <v>102</v>
      </c>
      <c r="G253" t="s">
        <v>103</v>
      </c>
      <c r="H253" t="s">
        <v>104</v>
      </c>
      <c r="I253" t="s">
        <v>105</v>
      </c>
      <c r="J253" t="s">
        <v>106</v>
      </c>
      <c r="K253" t="s">
        <v>107</v>
      </c>
      <c r="L253" t="s">
        <v>322</v>
      </c>
      <c r="M253" t="s">
        <v>364</v>
      </c>
      <c r="N253" t="s">
        <v>365</v>
      </c>
      <c r="O253" t="s">
        <v>366</v>
      </c>
      <c r="P253" t="s">
        <v>462</v>
      </c>
      <c r="Q253" t="s">
        <v>463</v>
      </c>
      <c r="R253" t="s">
        <v>464</v>
      </c>
      <c r="S253" t="s">
        <v>465</v>
      </c>
      <c r="T253" t="s">
        <v>574</v>
      </c>
      <c r="U253" t="s">
        <v>575</v>
      </c>
      <c r="V253" t="s">
        <v>576</v>
      </c>
      <c r="W253" t="s">
        <v>577</v>
      </c>
      <c r="Y253" t="s">
        <v>108</v>
      </c>
      <c r="Z253" t="s">
        <v>109</v>
      </c>
    </row>
    <row r="254" spans="1:27" x14ac:dyDescent="0.25">
      <c r="A254" t="s">
        <v>43</v>
      </c>
      <c r="D254">
        <f t="shared" ref="D254:W254" si="28">D2*D38</f>
        <v>365.74693877551027</v>
      </c>
      <c r="E254">
        <f t="shared" si="28"/>
        <v>367.9457142857143</v>
      </c>
      <c r="F254">
        <f t="shared" si="28"/>
        <v>361.7714285714286</v>
      </c>
      <c r="G254">
        <f t="shared" si="28"/>
        <v>345.77816326530615</v>
      </c>
      <c r="H254">
        <f t="shared" si="28"/>
        <v>339.44857142857148</v>
      </c>
      <c r="I254">
        <f t="shared" si="28"/>
        <v>309.84244897959178</v>
      </c>
      <c r="J254">
        <f t="shared" si="28"/>
        <v>314.28285714285715</v>
      </c>
      <c r="K254">
        <f t="shared" si="28"/>
        <v>300.85530612244906</v>
      </c>
      <c r="L254">
        <f t="shared" si="28"/>
        <v>251.6846875</v>
      </c>
      <c r="M254">
        <f t="shared" si="28"/>
        <v>229.40000000000003</v>
      </c>
      <c r="N254">
        <f t="shared" si="28"/>
        <v>278.33061224489796</v>
      </c>
      <c r="O254">
        <f t="shared" si="28"/>
        <v>269.39020408163265</v>
      </c>
      <c r="P254">
        <f t="shared" si="28"/>
        <v>280.52693877551025</v>
      </c>
      <c r="Q254">
        <f t="shared" si="28"/>
        <v>252.06367346938777</v>
      </c>
      <c r="R254">
        <f t="shared" si="28"/>
        <v>226.67346938775509</v>
      </c>
      <c r="S254">
        <f t="shared" si="28"/>
        <v>304.2636734693877</v>
      </c>
      <c r="T254">
        <f t="shared" si="28"/>
        <v>316.36489795918368</v>
      </c>
      <c r="U254">
        <f t="shared" si="28"/>
        <v>361.09469387755098</v>
      </c>
      <c r="V254">
        <f t="shared" si="28"/>
        <v>400.87489795918361</v>
      </c>
      <c r="W254">
        <f t="shared" si="28"/>
        <v>342.89183673469387</v>
      </c>
      <c r="Y254" s="6">
        <f t="shared" ref="Y254:Y284" si="29">SUM(D254:W254)</f>
        <v>6219.2310140306126</v>
      </c>
      <c r="Z254">
        <f t="shared" ref="Z254:Z280" si="30">SUMPRODUCT($D$286:$W$286,D254:W254)</f>
        <v>-1469.3582208184889</v>
      </c>
    </row>
    <row r="255" spans="1:27" x14ac:dyDescent="0.25">
      <c r="A255" t="s">
        <v>44</v>
      </c>
      <c r="D255">
        <f t="shared" ref="D255:W255" si="31">D3*D39</f>
        <v>340.06530612244899</v>
      </c>
      <c r="E255">
        <f t="shared" si="31"/>
        <v>332.93265306122447</v>
      </c>
      <c r="F255">
        <f t="shared" si="31"/>
        <v>275.19938775510201</v>
      </c>
      <c r="G255">
        <f t="shared" si="31"/>
        <v>306.68387755102043</v>
      </c>
      <c r="H255">
        <f t="shared" si="31"/>
        <v>295.15571428571434</v>
      </c>
      <c r="I255">
        <f t="shared" si="31"/>
        <v>315.16122448979593</v>
      </c>
      <c r="J255">
        <f t="shared" si="31"/>
        <v>238.37591836734694</v>
      </c>
      <c r="K255">
        <f t="shared" si="31"/>
        <v>231.98000000000002</v>
      </c>
      <c r="L255">
        <f t="shared" si="31"/>
        <v>270.76562500000006</v>
      </c>
      <c r="M255">
        <f t="shared" si="31"/>
        <v>271.08734693877551</v>
      </c>
      <c r="N255">
        <f t="shared" si="31"/>
        <v>225.33224489795919</v>
      </c>
      <c r="O255">
        <f t="shared" si="31"/>
        <v>251.69020408163266</v>
      </c>
      <c r="P255">
        <f t="shared" si="31"/>
        <v>296.98775510204086</v>
      </c>
      <c r="Q255">
        <f t="shared" si="31"/>
        <v>313.12</v>
      </c>
      <c r="R255">
        <f t="shared" si="31"/>
        <v>307.01224489795919</v>
      </c>
      <c r="S255">
        <f t="shared" si="31"/>
        <v>323.29224489795911</v>
      </c>
      <c r="T255">
        <f t="shared" si="31"/>
        <v>332.20734693877546</v>
      </c>
      <c r="U255">
        <f t="shared" si="31"/>
        <v>326.0714285714285</v>
      </c>
      <c r="V255">
        <f t="shared" si="31"/>
        <v>327.7114285714286</v>
      </c>
      <c r="W255">
        <f t="shared" si="31"/>
        <v>345.7781632653062</v>
      </c>
      <c r="Y255" s="6">
        <f t="shared" si="29"/>
        <v>5926.610114795918</v>
      </c>
      <c r="Z255">
        <f t="shared" si="30"/>
        <v>-1347.1244069303818</v>
      </c>
    </row>
    <row r="256" spans="1:27" x14ac:dyDescent="0.25">
      <c r="A256" t="s">
        <v>45</v>
      </c>
      <c r="D256">
        <f t="shared" ref="D256:W256" si="32">D4*D40</f>
        <v>392.24999999999994</v>
      </c>
      <c r="E256">
        <f t="shared" si="32"/>
        <v>357.46775510204083</v>
      </c>
      <c r="F256">
        <f t="shared" si="32"/>
        <v>329.09224489795918</v>
      </c>
      <c r="G256">
        <f t="shared" si="32"/>
        <v>336.96122448979582</v>
      </c>
      <c r="H256">
        <f t="shared" si="32"/>
        <v>305.04428571428571</v>
      </c>
      <c r="I256">
        <f t="shared" si="32"/>
        <v>291.81653061224489</v>
      </c>
      <c r="J256">
        <f t="shared" si="32"/>
        <v>176.19979591836736</v>
      </c>
      <c r="K256">
        <f t="shared" si="32"/>
        <v>288.69061224489792</v>
      </c>
      <c r="L256">
        <f t="shared" si="32"/>
        <v>280.93312500000002</v>
      </c>
      <c r="M256">
        <f t="shared" si="32"/>
        <v>229.82857142857142</v>
      </c>
      <c r="N256">
        <f t="shared" si="32"/>
        <v>262.86632653061224</v>
      </c>
      <c r="O256">
        <f t="shared" si="32"/>
        <v>291.20816326530621</v>
      </c>
      <c r="P256">
        <f t="shared" si="32"/>
        <v>278.18285714285707</v>
      </c>
      <c r="Q256">
        <f t="shared" si="32"/>
        <v>316.35102040816321</v>
      </c>
      <c r="R256">
        <f t="shared" si="32"/>
        <v>320.92346938775523</v>
      </c>
      <c r="S256">
        <f t="shared" si="32"/>
        <v>284.17693877551017</v>
      </c>
      <c r="T256">
        <f t="shared" si="32"/>
        <v>331.92775510204075</v>
      </c>
      <c r="U256">
        <f t="shared" si="32"/>
        <v>331.41469387755097</v>
      </c>
      <c r="V256">
        <f t="shared" si="32"/>
        <v>331.01428571428573</v>
      </c>
      <c r="W256">
        <f t="shared" si="32"/>
        <v>355.24408163265304</v>
      </c>
      <c r="Y256" s="6">
        <f t="shared" si="29"/>
        <v>6091.593737244898</v>
      </c>
      <c r="Z256">
        <f t="shared" si="30"/>
        <v>-1403.9552759642811</v>
      </c>
    </row>
    <row r="257" spans="1:26" x14ac:dyDescent="0.25">
      <c r="A257" t="s">
        <v>46</v>
      </c>
      <c r="D257">
        <f t="shared" ref="D257:W257" si="33">D5*D41</f>
        <v>363.77551020408163</v>
      </c>
      <c r="E257">
        <f t="shared" si="33"/>
        <v>362.0771428571428</v>
      </c>
      <c r="F257">
        <f t="shared" si="33"/>
        <v>343.6934693877551</v>
      </c>
      <c r="G257">
        <f t="shared" si="33"/>
        <v>300.34775510204082</v>
      </c>
      <c r="H257">
        <f t="shared" si="33"/>
        <v>279.39102040816323</v>
      </c>
      <c r="I257">
        <f t="shared" si="33"/>
        <v>298.32</v>
      </c>
      <c r="J257">
        <f t="shared" si="33"/>
        <v>293.7477551020408</v>
      </c>
      <c r="K257">
        <f t="shared" si="33"/>
        <v>289.01387755102041</v>
      </c>
      <c r="L257">
        <f t="shared" si="33"/>
        <v>254.21624999999997</v>
      </c>
      <c r="M257">
        <f t="shared" si="33"/>
        <v>251.54448979591839</v>
      </c>
      <c r="N257">
        <f t="shared" si="33"/>
        <v>232.59857142857152</v>
      </c>
      <c r="O257">
        <f t="shared" si="33"/>
        <v>249.9302040816327</v>
      </c>
      <c r="P257">
        <f t="shared" si="33"/>
        <v>278.24632653061224</v>
      </c>
      <c r="Q257">
        <f t="shared" si="33"/>
        <v>312.07040816326537</v>
      </c>
      <c r="R257">
        <f t="shared" si="33"/>
        <v>282.37591836734691</v>
      </c>
      <c r="S257">
        <f t="shared" si="33"/>
        <v>277.2908163265306</v>
      </c>
      <c r="T257">
        <f t="shared" si="33"/>
        <v>321.84571428571428</v>
      </c>
      <c r="U257">
        <f t="shared" si="33"/>
        <v>352.51632653061233</v>
      </c>
      <c r="V257">
        <f t="shared" si="33"/>
        <v>355.15918367346933</v>
      </c>
      <c r="W257">
        <f t="shared" si="33"/>
        <v>333.44591836734691</v>
      </c>
      <c r="Y257" s="6">
        <f t="shared" si="29"/>
        <v>6031.6066581632667</v>
      </c>
      <c r="Z257">
        <f t="shared" si="30"/>
        <v>-1397.8687660361963</v>
      </c>
    </row>
    <row r="258" spans="1:26" x14ac:dyDescent="0.25">
      <c r="A258" t="s">
        <v>47</v>
      </c>
      <c r="D258">
        <f t="shared" ref="D258:W258" si="34">D6*D42</f>
        <v>359.23163265306124</v>
      </c>
      <c r="E258">
        <f t="shared" si="34"/>
        <v>307.97040816326529</v>
      </c>
      <c r="F258">
        <f t="shared" si="34"/>
        <v>316.52571428571429</v>
      </c>
      <c r="G258">
        <f t="shared" si="34"/>
        <v>326.50163265306122</v>
      </c>
      <c r="H258">
        <f t="shared" si="34"/>
        <v>270.36489795918368</v>
      </c>
      <c r="I258">
        <f t="shared" si="34"/>
        <v>290.7861224489796</v>
      </c>
      <c r="J258">
        <f t="shared" si="34"/>
        <v>273.27142857142866</v>
      </c>
      <c r="K258">
        <f t="shared" si="34"/>
        <v>256.7714285714286</v>
      </c>
      <c r="L258">
        <f t="shared" si="34"/>
        <v>244.03093749999999</v>
      </c>
      <c r="M258">
        <f t="shared" si="34"/>
        <v>273.25244897959186</v>
      </c>
      <c r="N258">
        <f t="shared" si="34"/>
        <v>289.00428571428574</v>
      </c>
      <c r="O258">
        <f t="shared" si="34"/>
        <v>304.01224489795925</v>
      </c>
      <c r="P258">
        <f t="shared" si="34"/>
        <v>316.92122448979592</v>
      </c>
      <c r="Q258">
        <f t="shared" si="34"/>
        <v>256.15020408163269</v>
      </c>
      <c r="R258">
        <f t="shared" si="34"/>
        <v>216.56142857142854</v>
      </c>
      <c r="S258">
        <f t="shared" si="34"/>
        <v>200.86632653061227</v>
      </c>
      <c r="T258">
        <f t="shared" si="34"/>
        <v>272.10408163265305</v>
      </c>
      <c r="U258">
        <f t="shared" si="34"/>
        <v>210.57081632653058</v>
      </c>
      <c r="V258">
        <f t="shared" si="34"/>
        <v>352.8844897959184</v>
      </c>
      <c r="W258">
        <f t="shared" si="34"/>
        <v>383.43673469387761</v>
      </c>
      <c r="Y258" s="6">
        <f t="shared" si="29"/>
        <v>5721.2184885204097</v>
      </c>
      <c r="Z258">
        <f t="shared" si="30"/>
        <v>-1254.0673598853773</v>
      </c>
    </row>
    <row r="259" spans="1:26" x14ac:dyDescent="0.25">
      <c r="A259" t="s">
        <v>48</v>
      </c>
      <c r="D259">
        <f t="shared" ref="D259:W259" si="35">D7*D43</f>
        <v>351.97714285714289</v>
      </c>
      <c r="E259">
        <f t="shared" si="35"/>
        <v>332.57387755102042</v>
      </c>
      <c r="F259">
        <f t="shared" si="35"/>
        <v>322.25306122448984</v>
      </c>
      <c r="G259">
        <f t="shared" si="35"/>
        <v>289.2534693877551</v>
      </c>
      <c r="H259">
        <f t="shared" si="35"/>
        <v>290.46857142857147</v>
      </c>
      <c r="I259">
        <f t="shared" si="35"/>
        <v>289.47857142857146</v>
      </c>
      <c r="J259">
        <f t="shared" si="35"/>
        <v>281.99183673469389</v>
      </c>
      <c r="K259">
        <f t="shared" si="35"/>
        <v>271.96714285714285</v>
      </c>
      <c r="L259">
        <f t="shared" si="35"/>
        <v>235.07781249999999</v>
      </c>
      <c r="M259">
        <f t="shared" si="35"/>
        <v>170.16000000000003</v>
      </c>
      <c r="N259">
        <f t="shared" si="35"/>
        <v>220.99591836734695</v>
      </c>
      <c r="O259">
        <f t="shared" si="35"/>
        <v>228.70530612244897</v>
      </c>
      <c r="P259">
        <f t="shared" si="35"/>
        <v>305.67183673469378</v>
      </c>
      <c r="Q259">
        <f t="shared" si="35"/>
        <v>311.63755102040813</v>
      </c>
      <c r="R259">
        <f t="shared" si="35"/>
        <v>254.85816326530613</v>
      </c>
      <c r="S259">
        <f t="shared" si="35"/>
        <v>269.13061224489803</v>
      </c>
      <c r="T259">
        <f t="shared" si="35"/>
        <v>244.88428571428568</v>
      </c>
      <c r="U259">
        <f t="shared" si="35"/>
        <v>257.39571428571423</v>
      </c>
      <c r="V259">
        <f t="shared" si="35"/>
        <v>325.07020408163254</v>
      </c>
      <c r="W259">
        <f t="shared" si="35"/>
        <v>315.21469387755099</v>
      </c>
      <c r="Y259" s="6">
        <f t="shared" si="29"/>
        <v>5568.7657716836729</v>
      </c>
      <c r="Z259">
        <f t="shared" si="30"/>
        <v>-1293.5889841122382</v>
      </c>
    </row>
    <row r="260" spans="1:26" x14ac:dyDescent="0.25">
      <c r="A260" t="s">
        <v>49</v>
      </c>
      <c r="D260">
        <f t="shared" ref="D260:W260" si="36">D8*D44</f>
        <v>348.37959183673468</v>
      </c>
      <c r="E260">
        <f t="shared" si="36"/>
        <v>361.96897959183673</v>
      </c>
      <c r="F260">
        <f t="shared" si="36"/>
        <v>354.10938775510203</v>
      </c>
      <c r="G260">
        <f t="shared" si="36"/>
        <v>287.88571428571424</v>
      </c>
      <c r="H260">
        <f t="shared" si="36"/>
        <v>286.25387755102037</v>
      </c>
      <c r="I260">
        <f t="shared" si="36"/>
        <v>280.39183673469392</v>
      </c>
      <c r="J260">
        <f t="shared" si="36"/>
        <v>286.51591836734701</v>
      </c>
      <c r="K260">
        <f t="shared" si="36"/>
        <v>283.76816326530616</v>
      </c>
      <c r="L260">
        <f t="shared" si="36"/>
        <v>282.28244897959178</v>
      </c>
      <c r="M260">
        <f t="shared" si="36"/>
        <v>250.99836734693875</v>
      </c>
      <c r="N260">
        <f t="shared" si="36"/>
        <v>220.7295918367347</v>
      </c>
      <c r="O260">
        <f t="shared" si="36"/>
        <v>260.08163265306121</v>
      </c>
      <c r="P260">
        <f t="shared" si="36"/>
        <v>279.5951020408163</v>
      </c>
      <c r="Q260">
        <f t="shared" si="36"/>
        <v>153.59183673469386</v>
      </c>
      <c r="R260">
        <f t="shared" si="36"/>
        <v>254.64800000000005</v>
      </c>
      <c r="S260">
        <f t="shared" si="36"/>
        <v>266.6446530612244</v>
      </c>
      <c r="T260">
        <f t="shared" si="36"/>
        <v>282</v>
      </c>
      <c r="U260">
        <f t="shared" si="36"/>
        <v>323.58673469387759</v>
      </c>
      <c r="V260">
        <f t="shared" si="36"/>
        <v>308.98951020408163</v>
      </c>
      <c r="W260">
        <f t="shared" si="36"/>
        <v>309.2050000000001</v>
      </c>
      <c r="Y260" s="6">
        <f t="shared" si="29"/>
        <v>5681.6263469387759</v>
      </c>
      <c r="Z260">
        <f t="shared" si="30"/>
        <v>-1294.1576923745099</v>
      </c>
    </row>
    <row r="261" spans="1:26" x14ac:dyDescent="0.25">
      <c r="A261" t="s">
        <v>50</v>
      </c>
      <c r="D261">
        <f t="shared" ref="D261:W261" si="37">D9*D45</f>
        <v>338.62591836734697</v>
      </c>
      <c r="E261">
        <f t="shared" si="37"/>
        <v>334.1402040816327</v>
      </c>
      <c r="F261">
        <f t="shared" si="37"/>
        <v>316.47836734693868</v>
      </c>
      <c r="G261">
        <f t="shared" si="37"/>
        <v>263.35102040816321</v>
      </c>
      <c r="H261">
        <f t="shared" si="37"/>
        <v>286.65183673469392</v>
      </c>
      <c r="I261">
        <f t="shared" si="37"/>
        <v>257.88</v>
      </c>
      <c r="J261">
        <f t="shared" si="37"/>
        <v>276.06489795918372</v>
      </c>
      <c r="K261">
        <f t="shared" si="37"/>
        <v>283.90795918367343</v>
      </c>
      <c r="L261">
        <f t="shared" si="37"/>
        <v>271.51499999999993</v>
      </c>
      <c r="M261">
        <f t="shared" si="37"/>
        <v>174.92510204081628</v>
      </c>
      <c r="N261">
        <f t="shared" si="37"/>
        <v>200.38666666666668</v>
      </c>
      <c r="O261">
        <f t="shared" si="37"/>
        <v>222.15653061224492</v>
      </c>
      <c r="P261">
        <f t="shared" si="37"/>
        <v>250.31632653061223</v>
      </c>
      <c r="Q261">
        <f t="shared" si="37"/>
        <v>263.84173469387753</v>
      </c>
      <c r="R261">
        <f t="shared" si="37"/>
        <v>346.89632653061221</v>
      </c>
      <c r="S261">
        <f t="shared" si="37"/>
        <v>333.41551020408167</v>
      </c>
      <c r="T261">
        <f t="shared" si="37"/>
        <v>268.84653061224492</v>
      </c>
      <c r="U261">
        <f t="shared" si="37"/>
        <v>250.82959183673472</v>
      </c>
      <c r="V261">
        <f t="shared" si="37"/>
        <v>342.91428571428577</v>
      </c>
      <c r="W261">
        <f t="shared" si="37"/>
        <v>353.61632653061218</v>
      </c>
      <c r="Y261" s="6">
        <f t="shared" si="29"/>
        <v>5636.7601360544222</v>
      </c>
      <c r="Z261">
        <f t="shared" si="30"/>
        <v>-1324.4830381012694</v>
      </c>
    </row>
    <row r="262" spans="1:26" x14ac:dyDescent="0.25">
      <c r="A262" t="s">
        <v>51</v>
      </c>
      <c r="D262">
        <f t="shared" ref="D262:W262" si="38">D10*D46</f>
        <v>343.59081632653061</v>
      </c>
      <c r="E262">
        <f t="shared" si="38"/>
        <v>337.75469387755101</v>
      </c>
      <c r="F262">
        <f t="shared" si="38"/>
        <v>197.6140816326531</v>
      </c>
      <c r="G262">
        <f t="shared" si="38"/>
        <v>296.99081632653065</v>
      </c>
      <c r="H262">
        <f t="shared" si="38"/>
        <v>291.66489795918363</v>
      </c>
      <c r="I262">
        <f t="shared" si="38"/>
        <v>297.2918367346939</v>
      </c>
      <c r="J262">
        <f t="shared" si="38"/>
        <v>286.66653061224491</v>
      </c>
      <c r="K262">
        <f t="shared" si="38"/>
        <v>266.79183673469385</v>
      </c>
      <c r="L262">
        <f t="shared" si="38"/>
        <v>246.63312499999995</v>
      </c>
      <c r="M262">
        <f t="shared" si="38"/>
        <v>214.5526530612245</v>
      </c>
      <c r="N262">
        <f t="shared" si="38"/>
        <v>167.24979591836731</v>
      </c>
      <c r="O262">
        <f t="shared" si="38"/>
        <v>210.36857142857141</v>
      </c>
      <c r="P262">
        <f t="shared" si="38"/>
        <v>266.95163265306121</v>
      </c>
      <c r="Q262">
        <f t="shared" si="38"/>
        <v>256.96408163265306</v>
      </c>
      <c r="R262">
        <f t="shared" si="38"/>
        <v>265.34040816326529</v>
      </c>
      <c r="S262">
        <f t="shared" si="38"/>
        <v>275.72285714285715</v>
      </c>
      <c r="T262">
        <f t="shared" si="38"/>
        <v>288.3214285714285</v>
      </c>
      <c r="U262">
        <f t="shared" si="38"/>
        <v>328.96285714285716</v>
      </c>
      <c r="V262">
        <f t="shared" si="38"/>
        <v>322.54040816326528</v>
      </c>
      <c r="W262">
        <f t="shared" si="38"/>
        <v>353.94285714285718</v>
      </c>
      <c r="Y262" s="6">
        <f t="shared" si="29"/>
        <v>5515.91618622449</v>
      </c>
      <c r="Z262">
        <f t="shared" si="30"/>
        <v>-1286.468862241953</v>
      </c>
    </row>
    <row r="263" spans="1:26" x14ac:dyDescent="0.25">
      <c r="A263" t="s">
        <v>52</v>
      </c>
      <c r="D263">
        <f t="shared" ref="D263:W263" si="39">D11*D47</f>
        <v>279.88244897959186</v>
      </c>
      <c r="E263">
        <f t="shared" si="39"/>
        <v>273.97408163265311</v>
      </c>
      <c r="F263">
        <f t="shared" si="39"/>
        <v>278.10489795918375</v>
      </c>
      <c r="G263">
        <f t="shared" si="39"/>
        <v>275.75204081632654</v>
      </c>
      <c r="H263">
        <f t="shared" si="39"/>
        <v>255.40285714285713</v>
      </c>
      <c r="I263">
        <f t="shared" si="39"/>
        <v>265.08877551020413</v>
      </c>
      <c r="J263">
        <f t="shared" si="39"/>
        <v>232.81632653061223</v>
      </c>
      <c r="K263">
        <f t="shared" si="39"/>
        <v>233.41081632653055</v>
      </c>
      <c r="L263">
        <f t="shared" si="39"/>
        <v>243.62328124999999</v>
      </c>
      <c r="M263">
        <f t="shared" si="39"/>
        <v>224.75020408163263</v>
      </c>
      <c r="N263">
        <f t="shared" si="39"/>
        <v>127.27836734693879</v>
      </c>
      <c r="O263">
        <f t="shared" si="39"/>
        <v>180.43163265306123</v>
      </c>
      <c r="P263">
        <f t="shared" si="39"/>
        <v>248.31000000000003</v>
      </c>
      <c r="Q263">
        <f t="shared" si="39"/>
        <v>266.53897959183678</v>
      </c>
      <c r="R263">
        <f t="shared" si="39"/>
        <v>287.6357142857143</v>
      </c>
      <c r="S263">
        <f t="shared" si="39"/>
        <v>236.56734693877547</v>
      </c>
      <c r="T263">
        <f t="shared" si="39"/>
        <v>206.31020408163263</v>
      </c>
      <c r="U263">
        <f t="shared" si="39"/>
        <v>189.01959183673472</v>
      </c>
      <c r="V263">
        <f t="shared" si="39"/>
        <v>233.40204081632658</v>
      </c>
      <c r="W263">
        <f t="shared" si="39"/>
        <v>264.41020408163268</v>
      </c>
      <c r="Y263" s="6">
        <f t="shared" si="29"/>
        <v>4802.7098118622453</v>
      </c>
      <c r="Z263">
        <f t="shared" si="30"/>
        <v>-1052.5619319990333</v>
      </c>
    </row>
    <row r="264" spans="1:26" x14ac:dyDescent="0.25">
      <c r="A264" t="s">
        <v>53</v>
      </c>
      <c r="D264">
        <f t="shared" ref="D264:W264" si="40">D12*D48</f>
        <v>287.96326530612248</v>
      </c>
      <c r="E264">
        <f t="shared" si="40"/>
        <v>308.18081632653059</v>
      </c>
      <c r="F264">
        <f t="shared" si="40"/>
        <v>302.31183673469383</v>
      </c>
      <c r="G264">
        <f t="shared" si="40"/>
        <v>283.14714285714285</v>
      </c>
      <c r="H264">
        <f t="shared" si="40"/>
        <v>257.18530612244899</v>
      </c>
      <c r="I264">
        <f t="shared" si="40"/>
        <v>260.01020408163265</v>
      </c>
      <c r="J264">
        <f t="shared" si="40"/>
        <v>229.28265306122447</v>
      </c>
      <c r="K264">
        <f t="shared" si="40"/>
        <v>250.64285714285714</v>
      </c>
      <c r="L264">
        <f t="shared" si="40"/>
        <v>211.52999999999997</v>
      </c>
      <c r="M264">
        <f t="shared" si="40"/>
        <v>209.45897959183674</v>
      </c>
      <c r="N264">
        <f t="shared" si="40"/>
        <v>245.55367346938777</v>
      </c>
      <c r="O264">
        <f t="shared" si="40"/>
        <v>206.76020408163265</v>
      </c>
      <c r="P264">
        <f t="shared" si="40"/>
        <v>254.05142857142852</v>
      </c>
      <c r="Q264">
        <f t="shared" si="40"/>
        <v>257.87265306122447</v>
      </c>
      <c r="R264">
        <f t="shared" si="40"/>
        <v>280.46142857142866</v>
      </c>
      <c r="S264">
        <f t="shared" si="40"/>
        <v>272.4265306122449</v>
      </c>
      <c r="T264">
        <f t="shared" si="40"/>
        <v>307.41326530612241</v>
      </c>
      <c r="U264">
        <f t="shared" si="40"/>
        <v>299.83836734693875</v>
      </c>
      <c r="V264">
        <f t="shared" si="40"/>
        <v>328.25346938775516</v>
      </c>
      <c r="W264">
        <f t="shared" si="40"/>
        <v>286.17795918367352</v>
      </c>
      <c r="Y264" s="6">
        <f t="shared" si="29"/>
        <v>5338.5220408163268</v>
      </c>
      <c r="Z264">
        <f t="shared" si="30"/>
        <v>-1252.4883553621892</v>
      </c>
    </row>
    <row r="265" spans="1:26" x14ac:dyDescent="0.25">
      <c r="A265" t="s">
        <v>54</v>
      </c>
      <c r="D265">
        <f t="shared" ref="D265:W265" si="41">D13*D49</f>
        <v>316.32244897959185</v>
      </c>
      <c r="E265">
        <f t="shared" si="41"/>
        <v>308.26285714285706</v>
      </c>
      <c r="F265">
        <f t="shared" si="41"/>
        <v>283.41836734693874</v>
      </c>
      <c r="G265">
        <f t="shared" si="41"/>
        <v>270.09795918367342</v>
      </c>
      <c r="H265">
        <f t="shared" si="41"/>
        <v>279.85591836734693</v>
      </c>
      <c r="I265">
        <f t="shared" si="41"/>
        <v>242.69142857142859</v>
      </c>
      <c r="J265">
        <f t="shared" si="41"/>
        <v>257.03591836734699</v>
      </c>
      <c r="K265">
        <f t="shared" si="41"/>
        <v>259.01938775510206</v>
      </c>
      <c r="L265">
        <f t="shared" si="41"/>
        <v>222.25124999999997</v>
      </c>
      <c r="M265">
        <f t="shared" si="41"/>
        <v>252.71938775510205</v>
      </c>
      <c r="N265">
        <f t="shared" si="41"/>
        <v>185.52061224489799</v>
      </c>
      <c r="O265">
        <f t="shared" si="41"/>
        <v>223.21265306122456</v>
      </c>
      <c r="P265">
        <f t="shared" si="41"/>
        <v>234.1069387755102</v>
      </c>
      <c r="Q265">
        <f t="shared" si="41"/>
        <v>227.54775510204084</v>
      </c>
      <c r="R265">
        <f t="shared" si="41"/>
        <v>240.04122448979589</v>
      </c>
      <c r="S265">
        <f t="shared" si="41"/>
        <v>241.09714285714287</v>
      </c>
      <c r="T265">
        <f t="shared" si="41"/>
        <v>310.62244897959181</v>
      </c>
      <c r="U265">
        <f t="shared" si="41"/>
        <v>316.80734693877542</v>
      </c>
      <c r="V265">
        <f t="shared" si="41"/>
        <v>262.69591836734696</v>
      </c>
      <c r="W265">
        <f t="shared" si="41"/>
        <v>241.49714285714285</v>
      </c>
      <c r="Y265" s="6">
        <f t="shared" si="29"/>
        <v>5174.8241071428565</v>
      </c>
      <c r="Z265">
        <f t="shared" si="30"/>
        <v>-1186.8910885593496</v>
      </c>
    </row>
    <row r="266" spans="1:26" x14ac:dyDescent="0.25">
      <c r="A266" t="s">
        <v>55</v>
      </c>
      <c r="D266">
        <f t="shared" ref="D266:W266" si="42">D14*D50</f>
        <v>262.61265306122453</v>
      </c>
      <c r="E266">
        <f t="shared" si="42"/>
        <v>285.47367346938779</v>
      </c>
      <c r="F266">
        <f t="shared" si="42"/>
        <v>257.05938775510202</v>
      </c>
      <c r="G266">
        <f t="shared" si="42"/>
        <v>220.3377551020408</v>
      </c>
      <c r="H266">
        <f t="shared" si="42"/>
        <v>201.1742857142857</v>
      </c>
      <c r="I266">
        <f t="shared" si="42"/>
        <v>169.49346938775514</v>
      </c>
      <c r="J266">
        <f t="shared" si="42"/>
        <v>205.14122448979592</v>
      </c>
      <c r="K266">
        <f t="shared" si="42"/>
        <v>203.43673469387755</v>
      </c>
      <c r="L266">
        <f t="shared" si="42"/>
        <v>203.22187500000001</v>
      </c>
      <c r="M266">
        <f t="shared" si="42"/>
        <v>225.60000000000002</v>
      </c>
      <c r="N266">
        <f t="shared" si="42"/>
        <v>258.37714285714281</v>
      </c>
      <c r="O266">
        <f t="shared" si="42"/>
        <v>230.88857142857142</v>
      </c>
      <c r="P266">
        <f t="shared" si="42"/>
        <v>231.90081632653062</v>
      </c>
      <c r="Q266">
        <f t="shared" si="42"/>
        <v>235.67755102040815</v>
      </c>
      <c r="R266">
        <f t="shared" si="42"/>
        <v>290.78571428571428</v>
      </c>
      <c r="S266">
        <f t="shared" si="42"/>
        <v>257.66448979591837</v>
      </c>
      <c r="T266">
        <f t="shared" si="42"/>
        <v>250.51265306122454</v>
      </c>
      <c r="U266">
        <f t="shared" si="42"/>
        <v>280.0995918367347</v>
      </c>
      <c r="V266">
        <f t="shared" si="42"/>
        <v>286.52857142857147</v>
      </c>
      <c r="W266">
        <f t="shared" si="42"/>
        <v>280.2104081632653</v>
      </c>
      <c r="Y266" s="6">
        <f t="shared" si="29"/>
        <v>4836.1965688775517</v>
      </c>
      <c r="Z266">
        <f t="shared" si="30"/>
        <v>-1116.6646109718608</v>
      </c>
    </row>
    <row r="267" spans="1:26" x14ac:dyDescent="0.25">
      <c r="A267" t="s">
        <v>56</v>
      </c>
      <c r="D267">
        <f t="shared" ref="D267:W267" si="43">D15*D51</f>
        <v>285.60979591836735</v>
      </c>
      <c r="E267">
        <f t="shared" si="43"/>
        <v>282.27244897959184</v>
      </c>
      <c r="F267">
        <f t="shared" si="43"/>
        <v>238.81224489795918</v>
      </c>
      <c r="G267">
        <f t="shared" si="43"/>
        <v>260.83102040816323</v>
      </c>
      <c r="H267">
        <f t="shared" si="43"/>
        <v>243.53999999999996</v>
      </c>
      <c r="I267">
        <f t="shared" si="43"/>
        <v>297.84795918367342</v>
      </c>
      <c r="J267">
        <f t="shared" si="43"/>
        <v>262.91428571428571</v>
      </c>
      <c r="K267">
        <f t="shared" si="43"/>
        <v>245.64999999999998</v>
      </c>
      <c r="L267">
        <f t="shared" si="43"/>
        <v>252.51750000000001</v>
      </c>
      <c r="M267">
        <f t="shared" si="43"/>
        <v>246.58938775510197</v>
      </c>
      <c r="N267">
        <f t="shared" si="43"/>
        <v>221.45795918367347</v>
      </c>
      <c r="O267">
        <f t="shared" si="43"/>
        <v>259.00408163265303</v>
      </c>
      <c r="P267">
        <f t="shared" si="43"/>
        <v>239.48469387755102</v>
      </c>
      <c r="Q267">
        <f t="shared" si="43"/>
        <v>238.16816326530611</v>
      </c>
      <c r="R267">
        <f t="shared" si="43"/>
        <v>292.95122448979589</v>
      </c>
      <c r="S267">
        <f t="shared" si="43"/>
        <v>322.50653061224494</v>
      </c>
      <c r="T267">
        <f t="shared" si="43"/>
        <v>320.90326530612248</v>
      </c>
      <c r="U267">
        <f t="shared" si="43"/>
        <v>369.4434693877551</v>
      </c>
      <c r="V267">
        <f t="shared" si="43"/>
        <v>248.11285714285714</v>
      </c>
      <c r="W267">
        <f t="shared" si="43"/>
        <v>268.12102040816325</v>
      </c>
      <c r="Y267" s="6">
        <f t="shared" si="29"/>
        <v>5396.7379081632653</v>
      </c>
      <c r="Z267">
        <f t="shared" si="30"/>
        <v>-1237.2520206171903</v>
      </c>
    </row>
    <row r="268" spans="1:26" x14ac:dyDescent="0.25">
      <c r="A268" t="s">
        <v>57</v>
      </c>
      <c r="D268">
        <f t="shared" ref="D268:W268" si="44">D16*D52</f>
        <v>319.60612244897959</v>
      </c>
      <c r="E268">
        <f t="shared" si="44"/>
        <v>312.34204081632652</v>
      </c>
      <c r="F268">
        <f t="shared" si="44"/>
        <v>311.53877551020406</v>
      </c>
      <c r="G268">
        <f t="shared" si="44"/>
        <v>270.57061224489797</v>
      </c>
      <c r="H268">
        <f t="shared" si="44"/>
        <v>289.54285714285714</v>
      </c>
      <c r="I268">
        <f t="shared" si="44"/>
        <v>269.21408163265301</v>
      </c>
      <c r="J268">
        <f t="shared" si="44"/>
        <v>380.08979591836743</v>
      </c>
      <c r="K268">
        <f t="shared" si="44"/>
        <v>251.11734693877551</v>
      </c>
      <c r="L268">
        <f t="shared" si="44"/>
        <v>241.3125</v>
      </c>
      <c r="M268">
        <f t="shared" si="44"/>
        <v>261.28653061224497</v>
      </c>
      <c r="N268">
        <f t="shared" si="44"/>
        <v>237.9265306122449</v>
      </c>
      <c r="O268">
        <f t="shared" si="44"/>
        <v>243.39428571428567</v>
      </c>
      <c r="P268">
        <f t="shared" si="44"/>
        <v>231.27102040816322</v>
      </c>
      <c r="Q268">
        <f t="shared" si="44"/>
        <v>237.15510204081639</v>
      </c>
      <c r="R268">
        <f t="shared" si="44"/>
        <v>225.43632653061223</v>
      </c>
      <c r="S268">
        <f t="shared" si="44"/>
        <v>251.93999999999997</v>
      </c>
      <c r="T268">
        <f t="shared" si="44"/>
        <v>259.49285714285713</v>
      </c>
      <c r="U268">
        <f t="shared" si="44"/>
        <v>301.90530612244896</v>
      </c>
      <c r="V268">
        <f t="shared" si="44"/>
        <v>262.92000000000007</v>
      </c>
      <c r="W268">
        <f t="shared" si="44"/>
        <v>290.08163265306126</v>
      </c>
      <c r="Y268" s="6">
        <f t="shared" si="29"/>
        <v>5448.1437244897952</v>
      </c>
      <c r="Z268">
        <f t="shared" si="30"/>
        <v>-1233.5076391091777</v>
      </c>
    </row>
    <row r="269" spans="1:26" x14ac:dyDescent="0.25">
      <c r="A269" t="s">
        <v>58</v>
      </c>
      <c r="D269">
        <f t="shared" ref="D269:W269" si="45">D17*D53</f>
        <v>340.08</v>
      </c>
      <c r="E269">
        <f t="shared" si="45"/>
        <v>315.94265306122452</v>
      </c>
      <c r="F269">
        <f t="shared" si="45"/>
        <v>315.93836734693872</v>
      </c>
      <c r="G269">
        <f t="shared" si="45"/>
        <v>294.82142857142861</v>
      </c>
      <c r="H269">
        <f t="shared" si="45"/>
        <v>267.865306122449</v>
      </c>
      <c r="I269">
        <f t="shared" si="45"/>
        <v>267.15265306122444</v>
      </c>
      <c r="J269">
        <f t="shared" si="45"/>
        <v>271.78734693877544</v>
      </c>
      <c r="K269">
        <f t="shared" si="45"/>
        <v>250.50530612244899</v>
      </c>
      <c r="L269">
        <f t="shared" si="45"/>
        <v>261.14078124999997</v>
      </c>
      <c r="M269">
        <f t="shared" si="45"/>
        <v>213.34591836734694</v>
      </c>
      <c r="N269">
        <f t="shared" si="45"/>
        <v>227.43918367346944</v>
      </c>
      <c r="O269">
        <f t="shared" si="45"/>
        <v>255.11061224489794</v>
      </c>
      <c r="P269">
        <f t="shared" si="45"/>
        <v>240.55836734693881</v>
      </c>
      <c r="Q269">
        <f t="shared" si="45"/>
        <v>250.51836734693882</v>
      </c>
      <c r="R269">
        <f t="shared" si="45"/>
        <v>279.80408163265304</v>
      </c>
      <c r="S269">
        <f t="shared" si="45"/>
        <v>278.34204081632657</v>
      </c>
      <c r="T269">
        <f t="shared" si="45"/>
        <v>315.11142857142863</v>
      </c>
      <c r="U269">
        <f t="shared" si="45"/>
        <v>303.14000000000004</v>
      </c>
      <c r="V269">
        <f t="shared" si="45"/>
        <v>344.64979591836737</v>
      </c>
      <c r="W269">
        <f t="shared" si="45"/>
        <v>361.2295918367347</v>
      </c>
      <c r="Y269" s="6">
        <f t="shared" si="29"/>
        <v>5654.4832302295918</v>
      </c>
      <c r="Z269">
        <f t="shared" si="30"/>
        <v>-1307.6286638726785</v>
      </c>
    </row>
    <row r="270" spans="1:26" x14ac:dyDescent="0.25">
      <c r="A270" t="s">
        <v>59</v>
      </c>
      <c r="D270">
        <f t="shared" ref="D270:W270" si="46">D18*D54</f>
        <v>348.06857142857143</v>
      </c>
      <c r="E270">
        <f t="shared" si="46"/>
        <v>305.22571428571422</v>
      </c>
      <c r="F270">
        <f t="shared" si="46"/>
        <v>309.98367346938772</v>
      </c>
      <c r="G270">
        <f t="shared" si="46"/>
        <v>296.8236734693877</v>
      </c>
      <c r="H270">
        <f t="shared" si="46"/>
        <v>265.89142857142855</v>
      </c>
      <c r="I270">
        <f t="shared" si="46"/>
        <v>270.25959183673473</v>
      </c>
      <c r="J270">
        <f t="shared" si="46"/>
        <v>243.27836734693875</v>
      </c>
      <c r="K270">
        <f t="shared" si="46"/>
        <v>247.6702040816327</v>
      </c>
      <c r="L270">
        <f t="shared" si="46"/>
        <v>189.75061728395059</v>
      </c>
      <c r="M270">
        <f t="shared" si="46"/>
        <v>233.87061224489793</v>
      </c>
      <c r="N270">
        <f t="shared" si="46"/>
        <v>246.24000000000004</v>
      </c>
      <c r="O270">
        <f t="shared" si="46"/>
        <v>186.77551020408163</v>
      </c>
      <c r="P270">
        <f t="shared" si="46"/>
        <v>208.55183673469386</v>
      </c>
      <c r="Q270">
        <f t="shared" si="46"/>
        <v>233.70408163265307</v>
      </c>
      <c r="R270">
        <f t="shared" si="46"/>
        <v>182.51285714285711</v>
      </c>
      <c r="S270">
        <f t="shared" si="46"/>
        <v>277.26428571428568</v>
      </c>
      <c r="T270">
        <f t="shared" si="46"/>
        <v>304.22346938775507</v>
      </c>
      <c r="U270">
        <f t="shared" si="46"/>
        <v>316.63571428571436</v>
      </c>
      <c r="V270">
        <f t="shared" si="46"/>
        <v>276.27061224489796</v>
      </c>
      <c r="W270">
        <f t="shared" si="46"/>
        <v>250.16551020408161</v>
      </c>
      <c r="Y270" s="6">
        <f t="shared" si="29"/>
        <v>5193.1663315696651</v>
      </c>
      <c r="Z270">
        <f t="shared" si="30"/>
        <v>-1229.5695503664786</v>
      </c>
    </row>
    <row r="271" spans="1:26" x14ac:dyDescent="0.25">
      <c r="A271" t="s">
        <v>60</v>
      </c>
      <c r="D271">
        <f t="shared" ref="D271:W271" si="47">D19*D55</f>
        <v>326.08836734693875</v>
      </c>
      <c r="E271">
        <f t="shared" si="47"/>
        <v>288.27591836734695</v>
      </c>
      <c r="F271">
        <f t="shared" si="47"/>
        <v>264.59571428571434</v>
      </c>
      <c r="G271">
        <f t="shared" si="47"/>
        <v>229.74285714285719</v>
      </c>
      <c r="H271">
        <f t="shared" si="47"/>
        <v>261.4751020408163</v>
      </c>
      <c r="I271">
        <f t="shared" si="47"/>
        <v>265.78918367346938</v>
      </c>
      <c r="J271">
        <f t="shared" si="47"/>
        <v>276.76469387755105</v>
      </c>
      <c r="K271">
        <f t="shared" si="47"/>
        <v>272.23510204081634</v>
      </c>
      <c r="L271">
        <f t="shared" si="47"/>
        <v>204.91625000000005</v>
      </c>
      <c r="M271">
        <f t="shared" si="47"/>
        <v>211.10204081632654</v>
      </c>
      <c r="N271">
        <f t="shared" si="47"/>
        <v>245.59999999999997</v>
      </c>
      <c r="O271">
        <f t="shared" si="47"/>
        <v>261.62224489795921</v>
      </c>
      <c r="P271">
        <f t="shared" si="47"/>
        <v>251.96428571428572</v>
      </c>
      <c r="Q271">
        <f t="shared" si="47"/>
        <v>204.61020408163267</v>
      </c>
      <c r="R271">
        <f t="shared" si="47"/>
        <v>263.92326530612246</v>
      </c>
      <c r="S271">
        <f t="shared" si="47"/>
        <v>229.39999999999998</v>
      </c>
      <c r="T271">
        <f t="shared" si="47"/>
        <v>240.2081632653061</v>
      </c>
      <c r="U271">
        <f t="shared" si="47"/>
        <v>292.82897959183691</v>
      </c>
      <c r="V271">
        <f t="shared" si="47"/>
        <v>323.10918367346932</v>
      </c>
      <c r="W271">
        <f t="shared" si="47"/>
        <v>312.83469387755099</v>
      </c>
      <c r="Y271" s="6">
        <f t="shared" si="29"/>
        <v>5227.0862500000012</v>
      </c>
      <c r="Z271">
        <f t="shared" si="30"/>
        <v>-1217.1769874820161</v>
      </c>
    </row>
    <row r="272" spans="1:26" x14ac:dyDescent="0.25">
      <c r="A272" t="s">
        <v>61</v>
      </c>
      <c r="D272">
        <f t="shared" ref="D272:W272" si="48">D20*D56</f>
        <v>347.3697959183674</v>
      </c>
      <c r="E272">
        <f t="shared" si="48"/>
        <v>325.42714285714283</v>
      </c>
      <c r="F272">
        <f t="shared" si="48"/>
        <v>305.37469387755107</v>
      </c>
      <c r="G272">
        <f t="shared" si="48"/>
        <v>250.68999999999997</v>
      </c>
      <c r="H272">
        <f t="shared" si="48"/>
        <v>283.36816326530618</v>
      </c>
      <c r="I272">
        <f t="shared" si="48"/>
        <v>289.2116326530612</v>
      </c>
      <c r="J272">
        <f t="shared" si="48"/>
        <v>244.65306122448979</v>
      </c>
      <c r="K272">
        <f t="shared" si="48"/>
        <v>228.90367346938774</v>
      </c>
      <c r="L272">
        <f t="shared" si="48"/>
        <v>177.24049382716046</v>
      </c>
      <c r="M272">
        <f t="shared" si="48"/>
        <v>211.94571428571427</v>
      </c>
      <c r="N272">
        <f t="shared" si="48"/>
        <v>227.0269387755101</v>
      </c>
      <c r="O272">
        <f t="shared" si="48"/>
        <v>221.84081632653064</v>
      </c>
      <c r="P272">
        <f t="shared" si="48"/>
        <v>237.46530612244896</v>
      </c>
      <c r="Q272">
        <f t="shared" si="48"/>
        <v>250.32408163265302</v>
      </c>
      <c r="R272">
        <f t="shared" si="48"/>
        <v>278.47346938775513</v>
      </c>
      <c r="S272">
        <f t="shared" si="48"/>
        <v>306.82285714285717</v>
      </c>
      <c r="T272">
        <f t="shared" si="48"/>
        <v>320.76489795918366</v>
      </c>
      <c r="U272">
        <f t="shared" si="48"/>
        <v>344.65387755102034</v>
      </c>
      <c r="V272">
        <f t="shared" si="48"/>
        <v>331.86612244897964</v>
      </c>
      <c r="W272">
        <f t="shared" si="48"/>
        <v>375.6571428571429</v>
      </c>
      <c r="Y272" s="6">
        <f t="shared" si="29"/>
        <v>5559.0798815822636</v>
      </c>
      <c r="Z272">
        <f t="shared" si="30"/>
        <v>-1333.9452942400178</v>
      </c>
    </row>
    <row r="273" spans="1:26" x14ac:dyDescent="0.25">
      <c r="A273" t="s">
        <v>62</v>
      </c>
      <c r="D273">
        <f t="shared" ref="D273:W273" si="49">D21*D57</f>
        <v>285.48244897959177</v>
      </c>
      <c r="E273">
        <f t="shared" si="49"/>
        <v>228.28571428571425</v>
      </c>
      <c r="F273">
        <f t="shared" si="49"/>
        <v>309.42285714285714</v>
      </c>
      <c r="G273">
        <f t="shared" si="49"/>
        <v>302.38897959183663</v>
      </c>
      <c r="H273">
        <f t="shared" si="49"/>
        <v>294.34775510204071</v>
      </c>
      <c r="I273">
        <f t="shared" si="49"/>
        <v>240.24979591836731</v>
      </c>
      <c r="J273">
        <f t="shared" si="49"/>
        <v>235.62244897959184</v>
      </c>
      <c r="K273">
        <f t="shared" si="49"/>
        <v>270.42448979591836</v>
      </c>
      <c r="L273">
        <f t="shared" si="49"/>
        <v>203.18124999999998</v>
      </c>
      <c r="M273">
        <f t="shared" si="49"/>
        <v>211.91183673469388</v>
      </c>
      <c r="N273">
        <f t="shared" si="49"/>
        <v>247.03346938775508</v>
      </c>
      <c r="O273">
        <f t="shared" si="49"/>
        <v>218.4489795918368</v>
      </c>
      <c r="P273">
        <f t="shared" si="49"/>
        <v>140.54571428571427</v>
      </c>
      <c r="Q273">
        <f t="shared" si="49"/>
        <v>232.4302040816327</v>
      </c>
      <c r="R273">
        <f t="shared" si="49"/>
        <v>260.31306122448979</v>
      </c>
      <c r="S273">
        <f t="shared" si="49"/>
        <v>268.17061224489788</v>
      </c>
      <c r="T273">
        <f t="shared" si="49"/>
        <v>251.06938775510199</v>
      </c>
      <c r="U273">
        <f t="shared" si="49"/>
        <v>311.73469387755102</v>
      </c>
      <c r="V273">
        <f t="shared" si="49"/>
        <v>258.97142857142859</v>
      </c>
      <c r="W273">
        <f t="shared" si="49"/>
        <v>334.51265306122451</v>
      </c>
      <c r="Y273" s="6">
        <f t="shared" si="29"/>
        <v>5104.5477806122444</v>
      </c>
      <c r="Z273">
        <f t="shared" si="30"/>
        <v>-1197.175395986533</v>
      </c>
    </row>
    <row r="274" spans="1:26" x14ac:dyDescent="0.25">
      <c r="A274" t="s">
        <v>63</v>
      </c>
      <c r="D274">
        <f t="shared" ref="D274:W274" si="50">D22*D58</f>
        <v>326.49795918367346</v>
      </c>
      <c r="E274">
        <f t="shared" si="50"/>
        <v>299.32163265306127</v>
      </c>
      <c r="F274">
        <f t="shared" si="50"/>
        <v>311.44285714285706</v>
      </c>
      <c r="G274">
        <f t="shared" si="50"/>
        <v>310.17142857142858</v>
      </c>
      <c r="H274">
        <f t="shared" si="50"/>
        <v>268.27428571428572</v>
      </c>
      <c r="I274">
        <f t="shared" si="50"/>
        <v>254.75836734693883</v>
      </c>
      <c r="J274">
        <f t="shared" si="50"/>
        <v>269.0612244897959</v>
      </c>
      <c r="K274">
        <f t="shared" si="50"/>
        <v>231.9542857142857</v>
      </c>
      <c r="L274">
        <f t="shared" si="50"/>
        <v>227.34781250000003</v>
      </c>
      <c r="M274">
        <f t="shared" si="50"/>
        <v>210.83795918367343</v>
      </c>
      <c r="N274">
        <f t="shared" si="50"/>
        <v>257.54367346938773</v>
      </c>
      <c r="O274">
        <f t="shared" si="50"/>
        <v>244.97714285714287</v>
      </c>
      <c r="P274">
        <f t="shared" si="50"/>
        <v>241.68</v>
      </c>
      <c r="Q274">
        <f t="shared" si="50"/>
        <v>281.75714285714287</v>
      </c>
      <c r="R274">
        <f t="shared" si="50"/>
        <v>296.69142857142862</v>
      </c>
      <c r="S274">
        <f t="shared" si="50"/>
        <v>297.29142857142864</v>
      </c>
      <c r="T274">
        <f t="shared" si="50"/>
        <v>338.51265306122446</v>
      </c>
      <c r="U274">
        <f t="shared" si="50"/>
        <v>335.95591836734684</v>
      </c>
      <c r="V274">
        <f t="shared" si="50"/>
        <v>255.49714285714282</v>
      </c>
      <c r="W274">
        <f t="shared" si="50"/>
        <v>277.46938775510205</v>
      </c>
      <c r="Y274" s="6">
        <f t="shared" si="29"/>
        <v>5537.0437308673463</v>
      </c>
      <c r="Z274">
        <f t="shared" si="30"/>
        <v>-1285.9909785420455</v>
      </c>
    </row>
    <row r="275" spans="1:26" x14ac:dyDescent="0.25">
      <c r="A275" t="s">
        <v>64</v>
      </c>
      <c r="D275">
        <f t="shared" ref="D275:W275" si="51">D23*D59</f>
        <v>310.37959183673473</v>
      </c>
      <c r="E275">
        <f t="shared" si="51"/>
        <v>276.23346938775518</v>
      </c>
      <c r="F275">
        <f t="shared" si="51"/>
        <v>270.4591836734694</v>
      </c>
      <c r="G275">
        <f t="shared" si="51"/>
        <v>257.69387755102036</v>
      </c>
      <c r="H275">
        <f t="shared" si="51"/>
        <v>255.72122448979584</v>
      </c>
      <c r="I275">
        <f t="shared" si="51"/>
        <v>194.1</v>
      </c>
      <c r="J275">
        <f t="shared" si="51"/>
        <v>241.1357142857143</v>
      </c>
      <c r="K275">
        <f t="shared" si="51"/>
        <v>261.06122448979596</v>
      </c>
      <c r="L275">
        <f t="shared" si="51"/>
        <v>222.90204081632658</v>
      </c>
      <c r="M275">
        <f t="shared" si="51"/>
        <v>187.97142857142859</v>
      </c>
      <c r="N275">
        <f t="shared" si="51"/>
        <v>215.7224489795918</v>
      </c>
      <c r="O275">
        <f t="shared" si="51"/>
        <v>235.03673469387761</v>
      </c>
      <c r="P275">
        <f t="shared" si="51"/>
        <v>223.26685714285713</v>
      </c>
      <c r="Q275">
        <f t="shared" si="51"/>
        <v>283.01020408163265</v>
      </c>
      <c r="R275">
        <f t="shared" si="51"/>
        <v>221.08571428571423</v>
      </c>
      <c r="S275">
        <f t="shared" si="51"/>
        <v>262.13877551020408</v>
      </c>
      <c r="T275">
        <f t="shared" si="51"/>
        <v>301.78285714285721</v>
      </c>
      <c r="U275">
        <f t="shared" si="51"/>
        <v>291.49285714285708</v>
      </c>
      <c r="V275">
        <f t="shared" si="51"/>
        <v>285.11142857142852</v>
      </c>
      <c r="W275">
        <f t="shared" si="51"/>
        <v>307.49387755102055</v>
      </c>
      <c r="Y275" s="6">
        <f t="shared" si="29"/>
        <v>5103.7995102040823</v>
      </c>
      <c r="Z275">
        <f t="shared" si="30"/>
        <v>-1192.326619809324</v>
      </c>
    </row>
    <row r="276" spans="1:26" x14ac:dyDescent="0.25">
      <c r="A276" t="s">
        <v>65</v>
      </c>
      <c r="D276">
        <f t="shared" ref="D276:W276" si="52">D24*D60</f>
        <v>312.50938775510207</v>
      </c>
      <c r="E276">
        <f t="shared" si="52"/>
        <v>328.01030612244892</v>
      </c>
      <c r="F276">
        <f t="shared" si="52"/>
        <v>303.57142857142856</v>
      </c>
      <c r="G276">
        <f t="shared" si="52"/>
        <v>297.61714285714288</v>
      </c>
      <c r="H276">
        <f t="shared" si="52"/>
        <v>274.23469387755102</v>
      </c>
      <c r="I276">
        <f t="shared" si="52"/>
        <v>198.15714285714287</v>
      </c>
      <c r="J276">
        <f t="shared" si="52"/>
        <v>199.48448979591836</v>
      </c>
      <c r="K276">
        <f t="shared" si="52"/>
        <v>247.82571428571433</v>
      </c>
      <c r="L276">
        <f t="shared" si="52"/>
        <v>190.21406250000004</v>
      </c>
      <c r="M276">
        <f t="shared" si="52"/>
        <v>196.71183673469386</v>
      </c>
      <c r="N276">
        <f t="shared" si="52"/>
        <v>191.54367346938776</v>
      </c>
      <c r="O276">
        <f t="shared" si="52"/>
        <v>209.19673469387754</v>
      </c>
      <c r="P276">
        <f t="shared" si="52"/>
        <v>206.32408163265302</v>
      </c>
      <c r="Q276">
        <f t="shared" si="52"/>
        <v>184.30612244897961</v>
      </c>
      <c r="R276">
        <f t="shared" si="52"/>
        <v>187.35346938775507</v>
      </c>
      <c r="S276">
        <f t="shared" si="52"/>
        <v>303.43959183673462</v>
      </c>
      <c r="T276">
        <f t="shared" si="52"/>
        <v>303.18571428571431</v>
      </c>
      <c r="U276">
        <f t="shared" si="52"/>
        <v>342.62937500000004</v>
      </c>
      <c r="V276">
        <f t="shared" si="52"/>
        <v>291.64040816326531</v>
      </c>
      <c r="W276">
        <f t="shared" si="52"/>
        <v>265.26122448979589</v>
      </c>
      <c r="Y276" s="6">
        <f t="shared" si="29"/>
        <v>5033.2166007653059</v>
      </c>
      <c r="Z276">
        <f t="shared" si="30"/>
        <v>-1215.4117182666496</v>
      </c>
    </row>
    <row r="277" spans="1:26" x14ac:dyDescent="0.25">
      <c r="A277" t="s">
        <v>66</v>
      </c>
      <c r="D277">
        <f t="shared" ref="D277:W277" si="53">D25*D61</f>
        <v>349.8448979591837</v>
      </c>
      <c r="E277">
        <f t="shared" si="53"/>
        <v>334.99734693877548</v>
      </c>
      <c r="F277">
        <f t="shared" si="53"/>
        <v>259.2</v>
      </c>
      <c r="G277">
        <f t="shared" si="53"/>
        <v>233.32</v>
      </c>
      <c r="H277">
        <f t="shared" si="53"/>
        <v>219.13183673469393</v>
      </c>
      <c r="I277">
        <f t="shared" si="53"/>
        <v>244.59428571428566</v>
      </c>
      <c r="J277">
        <f t="shared" si="53"/>
        <v>219.03918367346935</v>
      </c>
      <c r="K277">
        <f t="shared" si="53"/>
        <v>262.72999999999996</v>
      </c>
      <c r="L277">
        <f t="shared" si="53"/>
        <v>4.487031250000002</v>
      </c>
      <c r="M277">
        <f t="shared" si="53"/>
        <v>240.81918367346935</v>
      </c>
      <c r="N277">
        <f t="shared" si="53"/>
        <v>218.82122448979592</v>
      </c>
      <c r="O277">
        <f t="shared" si="53"/>
        <v>110.68734693877552</v>
      </c>
      <c r="P277">
        <f t="shared" si="53"/>
        <v>181.61591836734698</v>
      </c>
      <c r="Q277">
        <f t="shared" si="53"/>
        <v>297.11673469387756</v>
      </c>
      <c r="R277">
        <f t="shared" si="53"/>
        <v>274.2726530612245</v>
      </c>
      <c r="S277">
        <f t="shared" si="53"/>
        <v>288.81142857142856</v>
      </c>
      <c r="T277">
        <f t="shared" si="53"/>
        <v>303.06122448979585</v>
      </c>
      <c r="U277">
        <f t="shared" si="53"/>
        <v>359.20285714285711</v>
      </c>
      <c r="V277">
        <f t="shared" si="53"/>
        <v>329.77387755102041</v>
      </c>
      <c r="W277">
        <f t="shared" si="53"/>
        <v>341.69224489795914</v>
      </c>
      <c r="Y277" s="6">
        <f t="shared" si="29"/>
        <v>5073.2192761479591</v>
      </c>
      <c r="Z277">
        <f t="shared" si="30"/>
        <v>-1297.036305042363</v>
      </c>
    </row>
    <row r="278" spans="1:26" x14ac:dyDescent="0.25">
      <c r="A278" t="s">
        <v>67</v>
      </c>
      <c r="D278">
        <f t="shared" ref="D278:W278" si="54">D26*D62</f>
        <v>355.38918367346935</v>
      </c>
      <c r="E278">
        <f t="shared" si="54"/>
        <v>286.32653061224488</v>
      </c>
      <c r="F278">
        <f t="shared" si="54"/>
        <v>147.98367346938778</v>
      </c>
      <c r="G278">
        <f t="shared" si="54"/>
        <v>273.87591836734691</v>
      </c>
      <c r="H278">
        <f t="shared" si="54"/>
        <v>271.26224489795914</v>
      </c>
      <c r="I278">
        <f t="shared" si="54"/>
        <v>217.4157142857143</v>
      </c>
      <c r="J278">
        <f t="shared" si="54"/>
        <v>148.78734693877553</v>
      </c>
      <c r="K278">
        <f t="shared" si="54"/>
        <v>176.43428571428572</v>
      </c>
      <c r="L278">
        <f t="shared" si="54"/>
        <v>241.48265625000005</v>
      </c>
      <c r="M278">
        <f t="shared" si="54"/>
        <v>213.75512854492439</v>
      </c>
      <c r="N278">
        <f t="shared" si="54"/>
        <v>230.7531354359925</v>
      </c>
      <c r="O278">
        <f t="shared" si="54"/>
        <v>224.65940895838858</v>
      </c>
      <c r="P278">
        <f t="shared" si="54"/>
        <v>218.99607792207792</v>
      </c>
      <c r="Q278">
        <f t="shared" si="54"/>
        <v>246.91422740524783</v>
      </c>
      <c r="R278">
        <f t="shared" si="54"/>
        <v>250.52409223429623</v>
      </c>
      <c r="S278">
        <f t="shared" si="54"/>
        <v>281.26702358865623</v>
      </c>
      <c r="T278">
        <f t="shared" si="54"/>
        <v>294.18507288629741</v>
      </c>
      <c r="U278">
        <f t="shared" si="54"/>
        <v>322.95932066657832</v>
      </c>
      <c r="V278">
        <f t="shared" si="54"/>
        <v>293.26387755102053</v>
      </c>
      <c r="W278">
        <f t="shared" si="54"/>
        <v>371.25020408163272</v>
      </c>
      <c r="Y278" s="6">
        <f t="shared" si="29"/>
        <v>5067.4851234842963</v>
      </c>
      <c r="Z278">
        <f t="shared" si="30"/>
        <v>-1187.1578748556904</v>
      </c>
    </row>
    <row r="279" spans="1:26" x14ac:dyDescent="0.25">
      <c r="A279" t="s">
        <v>68</v>
      </c>
      <c r="D279">
        <f t="shared" ref="D279:W279" si="55">D27*D63</f>
        <v>285.60979591836735</v>
      </c>
      <c r="E279">
        <f t="shared" si="55"/>
        <v>282.27244897959184</v>
      </c>
      <c r="F279">
        <f t="shared" si="55"/>
        <v>238.81224489795918</v>
      </c>
      <c r="G279">
        <f t="shared" si="55"/>
        <v>260.83102040816323</v>
      </c>
      <c r="H279">
        <f t="shared" si="55"/>
        <v>243.53999999999996</v>
      </c>
      <c r="I279">
        <f t="shared" si="55"/>
        <v>297.84795918367342</v>
      </c>
      <c r="J279">
        <f t="shared" si="55"/>
        <v>262.91428571428571</v>
      </c>
      <c r="K279">
        <f t="shared" si="55"/>
        <v>245.64999999999998</v>
      </c>
      <c r="L279">
        <f t="shared" si="55"/>
        <v>252.51750000000001</v>
      </c>
      <c r="M279">
        <f t="shared" si="55"/>
        <v>246.58938775510197</v>
      </c>
      <c r="N279">
        <f t="shared" si="55"/>
        <v>221.45795918367347</v>
      </c>
      <c r="O279">
        <f t="shared" si="55"/>
        <v>259.00408163265303</v>
      </c>
      <c r="P279">
        <f t="shared" si="55"/>
        <v>255.10040816326526</v>
      </c>
      <c r="Q279">
        <f t="shared" si="55"/>
        <v>258.72979591836742</v>
      </c>
      <c r="R279">
        <f t="shared" si="55"/>
        <v>278.49673469387761</v>
      </c>
      <c r="S279">
        <f t="shared" si="55"/>
        <v>241.04571428571427</v>
      </c>
      <c r="T279">
        <f t="shared" si="55"/>
        <v>285.28428571428572</v>
      </c>
      <c r="U279">
        <f t="shared" si="55"/>
        <v>297.47591836734688</v>
      </c>
      <c r="V279">
        <f t="shared" si="55"/>
        <v>315.03673469387758</v>
      </c>
      <c r="W279">
        <f t="shared" si="55"/>
        <v>381.27265306122445</v>
      </c>
      <c r="Y279" s="6">
        <f t="shared" si="29"/>
        <v>5409.4889285714289</v>
      </c>
      <c r="Z279">
        <f t="shared" si="30"/>
        <v>-1213.8659621080683</v>
      </c>
    </row>
    <row r="280" spans="1:26" x14ac:dyDescent="0.25">
      <c r="A280" t="s">
        <v>69</v>
      </c>
      <c r="D280">
        <f t="shared" ref="D280:W280" si="56">D28*D64</f>
        <v>186.38693877551017</v>
      </c>
      <c r="E280">
        <f t="shared" si="56"/>
        <v>153.0073469387755</v>
      </c>
      <c r="F280">
        <f t="shared" si="56"/>
        <v>143.22979591836733</v>
      </c>
      <c r="G280">
        <f t="shared" si="56"/>
        <v>135.18000000000004</v>
      </c>
      <c r="H280">
        <f t="shared" si="56"/>
        <v>108.92142857142859</v>
      </c>
      <c r="I280">
        <f t="shared" si="56"/>
        <v>90.693877551020421</v>
      </c>
      <c r="J280">
        <f t="shared" si="56"/>
        <v>57.648775510204089</v>
      </c>
      <c r="K280">
        <f t="shared" si="56"/>
        <v>35.168979591836731</v>
      </c>
      <c r="L280">
        <f t="shared" si="56"/>
        <v>200.06944444444446</v>
      </c>
      <c r="M280">
        <f t="shared" si="56"/>
        <v>225.5097959183673</v>
      </c>
      <c r="N280">
        <f t="shared" si="56"/>
        <v>217.92000000000004</v>
      </c>
      <c r="O280">
        <f t="shared" si="56"/>
        <v>193.03673469387758</v>
      </c>
      <c r="P280">
        <f t="shared" si="56"/>
        <v>218.84790075760444</v>
      </c>
      <c r="Q280">
        <f t="shared" si="56"/>
        <v>251.2546799714996</v>
      </c>
      <c r="R280">
        <f t="shared" si="56"/>
        <v>233.86040816326528</v>
      </c>
      <c r="S280">
        <f t="shared" si="56"/>
        <v>259.30571428571432</v>
      </c>
      <c r="T280">
        <f t="shared" si="56"/>
        <v>293.85306122448975</v>
      </c>
      <c r="U280">
        <f t="shared" si="56"/>
        <v>313.72448979591837</v>
      </c>
      <c r="V280">
        <f t="shared" si="56"/>
        <v>277.79551020408172</v>
      </c>
      <c r="W280">
        <f t="shared" si="56"/>
        <v>314.68530612244905</v>
      </c>
      <c r="Y280" s="6">
        <f t="shared" si="29"/>
        <v>3910.1001884388552</v>
      </c>
      <c r="Z280">
        <f t="shared" si="30"/>
        <v>-883.25610684596916</v>
      </c>
    </row>
    <row r="281" spans="1:26" x14ac:dyDescent="0.25">
      <c r="Y281" s="6"/>
    </row>
    <row r="282" spans="1:26" x14ac:dyDescent="0.25">
      <c r="A282" t="s">
        <v>70</v>
      </c>
      <c r="D282">
        <f t="shared" ref="D282:W282" si="57">D30*D66</f>
        <v>323.91183673469391</v>
      </c>
      <c r="E282">
        <f t="shared" si="57"/>
        <v>272.58367346938775</v>
      </c>
      <c r="F282">
        <f t="shared" si="57"/>
        <v>310.19428571428568</v>
      </c>
      <c r="G282">
        <f t="shared" si="57"/>
        <v>289.12</v>
      </c>
      <c r="H282">
        <f t="shared" si="57"/>
        <v>271.8857142857143</v>
      </c>
      <c r="I282">
        <f t="shared" si="57"/>
        <v>239.47551020408159</v>
      </c>
      <c r="J282">
        <f t="shared" si="57"/>
        <v>242.99591836734695</v>
      </c>
      <c r="K282">
        <f t="shared" si="57"/>
        <v>233.90816326530611</v>
      </c>
      <c r="L282">
        <f t="shared" si="57"/>
        <v>230.12249999999995</v>
      </c>
      <c r="M282">
        <f t="shared" si="57"/>
        <v>213.8642989663397</v>
      </c>
      <c r="N282">
        <f t="shared" si="57"/>
        <v>204.21458894537724</v>
      </c>
      <c r="O282">
        <f t="shared" si="57"/>
        <v>213.70393202212577</v>
      </c>
      <c r="P282">
        <f t="shared" si="57"/>
        <v>239.01561206935133</v>
      </c>
      <c r="Q282">
        <f t="shared" si="57"/>
        <v>282.02266968652873</v>
      </c>
      <c r="R282">
        <f t="shared" si="57"/>
        <v>251.0980770441293</v>
      </c>
      <c r="S282">
        <f t="shared" si="57"/>
        <v>275.25580903790086</v>
      </c>
      <c r="T282">
        <f t="shared" si="57"/>
        <v>234.61742297243558</v>
      </c>
      <c r="U282">
        <f t="shared" si="57"/>
        <v>355.38195780462928</v>
      </c>
      <c r="V282">
        <f t="shared" si="57"/>
        <v>255.32444196428557</v>
      </c>
      <c r="W282">
        <f t="shared" si="57"/>
        <v>358.94564732142862</v>
      </c>
      <c r="Y282" s="6">
        <f t="shared" si="29"/>
        <v>5297.6420598753484</v>
      </c>
      <c r="Z282">
        <f>SUMPRODUCT($D$286:$W$286,D282:W282)</f>
        <v>-1221.9481907791308</v>
      </c>
    </row>
    <row r="283" spans="1:26" x14ac:dyDescent="0.25">
      <c r="A283" t="s">
        <v>313</v>
      </c>
      <c r="D283">
        <f t="shared" ref="D283:W283" si="58">D31*D67</f>
        <v>326.04612244897959</v>
      </c>
      <c r="E283">
        <f t="shared" si="58"/>
        <v>254.95306122448974</v>
      </c>
      <c r="F283">
        <f t="shared" si="58"/>
        <v>280.12367346938782</v>
      </c>
      <c r="G283">
        <f t="shared" si="58"/>
        <v>302.02489795918376</v>
      </c>
      <c r="H283">
        <f t="shared" si="58"/>
        <v>294.53265306122449</v>
      </c>
      <c r="I283">
        <f t="shared" si="58"/>
        <v>281.73142857142858</v>
      </c>
      <c r="J283">
        <f t="shared" si="58"/>
        <v>242.95428571428576</v>
      </c>
      <c r="K283">
        <f t="shared" si="58"/>
        <v>84.724897959183679</v>
      </c>
      <c r="L283">
        <f t="shared" si="58"/>
        <v>247.01203125000001</v>
      </c>
      <c r="M283">
        <f t="shared" si="58"/>
        <v>234.63836734693871</v>
      </c>
      <c r="N283">
        <f t="shared" si="58"/>
        <v>223.56040816326532</v>
      </c>
      <c r="O283">
        <f t="shared" si="58"/>
        <v>243.62571428571428</v>
      </c>
      <c r="P283">
        <f t="shared" si="58"/>
        <v>231.44000000000003</v>
      </c>
      <c r="Q283">
        <f t="shared" si="58"/>
        <v>231</v>
      </c>
      <c r="R283">
        <f t="shared" si="58"/>
        <v>250.23999999999998</v>
      </c>
      <c r="S283">
        <f t="shared" si="58"/>
        <v>143.82000000000002</v>
      </c>
      <c r="T283">
        <f t="shared" si="58"/>
        <v>249.15</v>
      </c>
      <c r="U283">
        <f t="shared" si="58"/>
        <v>304.30800000000005</v>
      </c>
      <c r="V283">
        <f t="shared" si="58"/>
        <v>247.12100000000004</v>
      </c>
      <c r="W283">
        <f t="shared" si="58"/>
        <v>303.93</v>
      </c>
      <c r="Y283" s="6">
        <f t="shared" si="29"/>
        <v>4976.9365414540816</v>
      </c>
      <c r="Z283">
        <f>SUMPRODUCT($D$286:$W$286,D283:W283)</f>
        <v>-1086.6007876535559</v>
      </c>
    </row>
    <row r="284" spans="1:26" x14ac:dyDescent="0.25">
      <c r="A284" t="s">
        <v>314</v>
      </c>
      <c r="D284">
        <f t="shared" ref="D284:W284" si="59">D32*D68</f>
        <v>148.45408163265304</v>
      </c>
      <c r="E284">
        <f t="shared" si="59"/>
        <v>313.69</v>
      </c>
      <c r="F284">
        <f t="shared" si="59"/>
        <v>241.26816326530613</v>
      </c>
      <c r="G284">
        <f t="shared" si="59"/>
        <v>303.89285714285711</v>
      </c>
      <c r="H284">
        <f t="shared" si="59"/>
        <v>296.74489795918373</v>
      </c>
      <c r="I284">
        <f t="shared" si="59"/>
        <v>264.05510204081634</v>
      </c>
      <c r="J284">
        <f t="shared" si="59"/>
        <v>214.20285714285714</v>
      </c>
      <c r="K284">
        <f t="shared" si="59"/>
        <v>227.61</v>
      </c>
      <c r="L284">
        <f t="shared" si="59"/>
        <v>233.20000000000002</v>
      </c>
      <c r="M284">
        <f t="shared" si="59"/>
        <v>216.47999999999996</v>
      </c>
      <c r="N284">
        <f t="shared" si="59"/>
        <v>208.11999999999998</v>
      </c>
      <c r="O284">
        <f t="shared" si="59"/>
        <v>227.95999999999998</v>
      </c>
      <c r="P284">
        <f t="shared" si="59"/>
        <v>225.67793176491369</v>
      </c>
      <c r="Q284">
        <f t="shared" si="59"/>
        <v>244.74831416982383</v>
      </c>
      <c r="R284">
        <f t="shared" si="59"/>
        <v>255.55676587518127</v>
      </c>
      <c r="S284">
        <f t="shared" si="59"/>
        <v>277.75779979524287</v>
      </c>
      <c r="T284">
        <f t="shared" si="59"/>
        <v>294.01646615789167</v>
      </c>
      <c r="U284">
        <f t="shared" si="59"/>
        <v>318.64543807133236</v>
      </c>
      <c r="V284">
        <f t="shared" si="59"/>
        <v>290.05801320528212</v>
      </c>
      <c r="W284">
        <f t="shared" si="59"/>
        <v>304.80676470588236</v>
      </c>
      <c r="Y284" s="6">
        <f t="shared" si="29"/>
        <v>5106.9454529292234</v>
      </c>
      <c r="Z284">
        <f>SUMPRODUCT($D$286:$W$286,D284:W284)</f>
        <v>-1171.2257735873955</v>
      </c>
    </row>
    <row r="285" spans="1:26" x14ac:dyDescent="0.25">
      <c r="A285" t="s">
        <v>658</v>
      </c>
      <c r="D285">
        <f t="shared" ref="D285:W285" si="60">D33*D69</f>
        <v>322.13959183673472</v>
      </c>
      <c r="E285">
        <f t="shared" si="60"/>
        <v>312.90448979591838</v>
      </c>
      <c r="F285">
        <f t="shared" si="60"/>
        <v>316.31265306122452</v>
      </c>
      <c r="G285">
        <f t="shared" si="60"/>
        <v>286.91795918367347</v>
      </c>
      <c r="H285">
        <f t="shared" si="60"/>
        <v>199.45714285714286</v>
      </c>
      <c r="I285">
        <f t="shared" si="60"/>
        <v>204.35</v>
      </c>
      <c r="J285">
        <f t="shared" si="60"/>
        <v>229.12897959183672</v>
      </c>
      <c r="K285">
        <f t="shared" si="60"/>
        <v>209.27163265306118</v>
      </c>
      <c r="L285">
        <f t="shared" si="60"/>
        <v>184.45757086167799</v>
      </c>
      <c r="M285">
        <f t="shared" si="60"/>
        <v>221.81689504373179</v>
      </c>
      <c r="N285">
        <f t="shared" si="60"/>
        <v>224.10000000000002</v>
      </c>
      <c r="O285">
        <f t="shared" si="60"/>
        <v>217.25</v>
      </c>
      <c r="P285">
        <f t="shared" si="60"/>
        <v>222.36279416909619</v>
      </c>
      <c r="Q285">
        <f t="shared" si="60"/>
        <v>250.27088046647233</v>
      </c>
      <c r="R285">
        <f t="shared" si="60"/>
        <v>251.01749271137015</v>
      </c>
      <c r="S285">
        <f t="shared" si="60"/>
        <v>280.51008746355677</v>
      </c>
      <c r="T285">
        <f t="shared" si="60"/>
        <v>292.38327180982282</v>
      </c>
      <c r="U285">
        <f t="shared" si="60"/>
        <v>321.39592271249154</v>
      </c>
      <c r="V285">
        <f t="shared" si="60"/>
        <v>289.88106750392473</v>
      </c>
      <c r="W285">
        <f t="shared" si="60"/>
        <v>308.82674411302975</v>
      </c>
      <c r="Y285" s="6">
        <f t="shared" ref="Y285" si="61">SUM(D285:W285)</f>
        <v>5144.7551758347663</v>
      </c>
      <c r="Z285">
        <f>SUMPRODUCT($D$286:$W$286,D285:W285)</f>
        <v>-1206.9199271142047</v>
      </c>
    </row>
    <row r="286" spans="1:26" x14ac:dyDescent="0.25">
      <c r="A286" s="2" t="s">
        <v>71</v>
      </c>
      <c r="D286" s="3">
        <f>CORREL($B$2:$B$28,D254:D280)</f>
        <v>-0.34524729842220231</v>
      </c>
      <c r="E286" s="3">
        <f t="shared" ref="E286:W286" si="62">CORREL($B$2:$B$28,E254:E280)</f>
        <v>-0.36106060469199425</v>
      </c>
      <c r="F286" s="3">
        <f t="shared" si="62"/>
        <v>-0.18265620466862684</v>
      </c>
      <c r="G286" s="3">
        <f t="shared" si="62"/>
        <v>-0.13253117737079728</v>
      </c>
      <c r="H286" s="3">
        <f t="shared" si="62"/>
        <v>-0.32322232744299567</v>
      </c>
      <c r="I286" s="3">
        <f t="shared" si="62"/>
        <v>-0.18482997575336996</v>
      </c>
      <c r="J286" s="3">
        <f t="shared" si="62"/>
        <v>-0.20592521077422499</v>
      </c>
      <c r="K286" s="3">
        <f t="shared" si="62"/>
        <v>-0.32585661495517587</v>
      </c>
      <c r="L286" s="3">
        <f t="shared" si="62"/>
        <v>7.3988848005918081E-2</v>
      </c>
      <c r="M286" s="3">
        <f t="shared" si="62"/>
        <v>0.13245710311270739</v>
      </c>
      <c r="N286" s="3">
        <f t="shared" si="62"/>
        <v>-0.32885478311827776</v>
      </c>
      <c r="O286" s="3">
        <f t="shared" si="62"/>
        <v>-6.1057564375518021E-2</v>
      </c>
      <c r="P286" s="3">
        <f t="shared" si="62"/>
        <v>-3.9587405737080951E-2</v>
      </c>
      <c r="Q286" s="3">
        <f t="shared" si="62"/>
        <v>-0.19786909838122513</v>
      </c>
      <c r="R286" s="3">
        <f t="shared" si="62"/>
        <v>-0.23101322008669087</v>
      </c>
      <c r="S286" s="3">
        <f t="shared" si="62"/>
        <v>-0.41749219529783343</v>
      </c>
      <c r="T286" s="3">
        <f t="shared" si="62"/>
        <v>-0.25721488178706736</v>
      </c>
      <c r="U286" s="3">
        <f t="shared" si="62"/>
        <v>-0.42441923265729303</v>
      </c>
      <c r="V286" s="3">
        <f t="shared" si="62"/>
        <v>-0.43510411289601514</v>
      </c>
      <c r="W286" s="3">
        <f t="shared" si="62"/>
        <v>-0.17554291526266347</v>
      </c>
      <c r="X286" s="3"/>
    </row>
    <row r="289" spans="1:26" x14ac:dyDescent="0.25">
      <c r="D289" t="s">
        <v>110</v>
      </c>
      <c r="E289" t="s">
        <v>111</v>
      </c>
      <c r="F289" t="s">
        <v>112</v>
      </c>
      <c r="G289" t="s">
        <v>113</v>
      </c>
      <c r="H289" t="s">
        <v>114</v>
      </c>
      <c r="I289" t="s">
        <v>115</v>
      </c>
      <c r="J289" t="s">
        <v>116</v>
      </c>
      <c r="K289" t="s">
        <v>117</v>
      </c>
      <c r="L289" t="s">
        <v>323</v>
      </c>
      <c r="M289" t="s">
        <v>367</v>
      </c>
      <c r="N289" t="s">
        <v>368</v>
      </c>
      <c r="O289" t="s">
        <v>369</v>
      </c>
      <c r="P289" t="s">
        <v>466</v>
      </c>
      <c r="Q289" t="s">
        <v>467</v>
      </c>
      <c r="R289" t="s">
        <v>468</v>
      </c>
      <c r="S289" t="s">
        <v>469</v>
      </c>
      <c r="T289" t="s">
        <v>578</v>
      </c>
      <c r="U289" t="s">
        <v>579</v>
      </c>
      <c r="V289" t="s">
        <v>580</v>
      </c>
      <c r="W289" t="s">
        <v>581</v>
      </c>
      <c r="Y289" t="s">
        <v>118</v>
      </c>
      <c r="Z289" t="s">
        <v>119</v>
      </c>
    </row>
    <row r="290" spans="1:26" x14ac:dyDescent="0.25">
      <c r="A290" t="s">
        <v>43</v>
      </c>
      <c r="D290">
        <f t="shared" ref="D290:W290" si="63">D2*D74</f>
        <v>199.92163265306124</v>
      </c>
      <c r="E290">
        <f t="shared" si="63"/>
        <v>175.76448979591839</v>
      </c>
      <c r="F290">
        <f t="shared" si="63"/>
        <v>159.56571428571428</v>
      </c>
      <c r="G290">
        <f t="shared" si="63"/>
        <v>149.74530612244899</v>
      </c>
      <c r="H290">
        <f t="shared" si="63"/>
        <v>134.7177551020408</v>
      </c>
      <c r="I290">
        <f t="shared" si="63"/>
        <v>133.52326530612248</v>
      </c>
      <c r="J290">
        <f t="shared" si="63"/>
        <v>128.8857142857143</v>
      </c>
      <c r="K290">
        <f t="shared" si="63"/>
        <v>118.79265306122453</v>
      </c>
      <c r="L290">
        <f t="shared" si="63"/>
        <v>103.44906250000001</v>
      </c>
      <c r="M290">
        <f t="shared" si="63"/>
        <v>67.187755102040825</v>
      </c>
      <c r="N290">
        <f t="shared" si="63"/>
        <v>106.88469387755102</v>
      </c>
      <c r="O290">
        <f t="shared" si="63"/>
        <v>106.28816326530614</v>
      </c>
      <c r="P290">
        <f t="shared" si="63"/>
        <v>116.5620408163265</v>
      </c>
      <c r="Q290">
        <f t="shared" si="63"/>
        <v>104.48571428571431</v>
      </c>
      <c r="R290">
        <f t="shared" si="63"/>
        <v>112.2122448979592</v>
      </c>
      <c r="S290">
        <f t="shared" si="63"/>
        <v>128.99448979591835</v>
      </c>
      <c r="T290">
        <f t="shared" si="63"/>
        <v>140.6742857142857</v>
      </c>
      <c r="U290">
        <f t="shared" si="63"/>
        <v>160.79755102040815</v>
      </c>
      <c r="V290">
        <f t="shared" si="63"/>
        <v>182.04510204081632</v>
      </c>
      <c r="W290">
        <f t="shared" si="63"/>
        <v>160.54224489795919</v>
      </c>
      <c r="Y290" s="6">
        <f t="shared" ref="Y290:Y320" si="64">SUM(D290:W290)</f>
        <v>2691.0398788265311</v>
      </c>
      <c r="Z290">
        <f t="shared" ref="Z290:Z316" si="65">SUMPRODUCT($D$322:$W$322,D290:W290)</f>
        <v>-928.18880790113167</v>
      </c>
    </row>
    <row r="291" spans="1:26" x14ac:dyDescent="0.25">
      <c r="A291" t="s">
        <v>44</v>
      </c>
      <c r="D291">
        <f t="shared" ref="D291:W291" si="66">D3*D75</f>
        <v>163.08163265306121</v>
      </c>
      <c r="E291">
        <f t="shared" si="66"/>
        <v>157.40204081632655</v>
      </c>
      <c r="F291">
        <f t="shared" si="66"/>
        <v>137.66204081632654</v>
      </c>
      <c r="G291">
        <f t="shared" si="66"/>
        <v>118.01816326530613</v>
      </c>
      <c r="H291">
        <f t="shared" si="66"/>
        <v>143.41775510204081</v>
      </c>
      <c r="I291">
        <f t="shared" si="66"/>
        <v>108.78877551020409</v>
      </c>
      <c r="J291">
        <f t="shared" si="66"/>
        <v>63.2734693877551</v>
      </c>
      <c r="K291">
        <f t="shared" si="66"/>
        <v>87.78</v>
      </c>
      <c r="L291">
        <f t="shared" si="66"/>
        <v>79.214687500000011</v>
      </c>
      <c r="M291">
        <f t="shared" si="66"/>
        <v>92.688979591836727</v>
      </c>
      <c r="N291">
        <f t="shared" si="66"/>
        <v>104.22857142857143</v>
      </c>
      <c r="O291">
        <f t="shared" si="66"/>
        <v>111.93918367346942</v>
      </c>
      <c r="P291">
        <f t="shared" si="66"/>
        <v>73.434285714285721</v>
      </c>
      <c r="Q291">
        <f t="shared" si="66"/>
        <v>99.027142857142849</v>
      </c>
      <c r="R291">
        <f t="shared" si="66"/>
        <v>95.576530612244895</v>
      </c>
      <c r="S291">
        <f t="shared" si="66"/>
        <v>102.38081632653061</v>
      </c>
      <c r="T291">
        <f t="shared" si="66"/>
        <v>138.22408163265305</v>
      </c>
      <c r="U291">
        <f t="shared" si="66"/>
        <v>126.18571428571428</v>
      </c>
      <c r="V291">
        <f t="shared" si="66"/>
        <v>157.49632653061227</v>
      </c>
      <c r="W291">
        <f t="shared" si="66"/>
        <v>177.60489795918372</v>
      </c>
      <c r="Y291" s="6">
        <f t="shared" si="64"/>
        <v>2337.4250956632654</v>
      </c>
      <c r="Z291">
        <f t="shared" si="65"/>
        <v>-799.48979910658284</v>
      </c>
    </row>
    <row r="292" spans="1:26" x14ac:dyDescent="0.25">
      <c r="A292" t="s">
        <v>45</v>
      </c>
      <c r="D292">
        <f t="shared" ref="D292:W292" si="67">D4*D76</f>
        <v>178.64999999999984</v>
      </c>
      <c r="E292">
        <f t="shared" si="67"/>
        <v>145.79020408163265</v>
      </c>
      <c r="F292">
        <f t="shared" si="67"/>
        <v>56.575510204081631</v>
      </c>
      <c r="G292">
        <f t="shared" si="67"/>
        <v>127.61938775510203</v>
      </c>
      <c r="H292">
        <f t="shared" si="67"/>
        <v>145.52571428571426</v>
      </c>
      <c r="I292">
        <f t="shared" si="67"/>
        <v>124.47734693877551</v>
      </c>
      <c r="J292">
        <f t="shared" si="67"/>
        <v>88.615102040816339</v>
      </c>
      <c r="K292">
        <f t="shared" si="67"/>
        <v>118.04816326530609</v>
      </c>
      <c r="L292">
        <f t="shared" si="67"/>
        <v>113.36109375000002</v>
      </c>
      <c r="M292">
        <f t="shared" si="67"/>
        <v>100.57142857142857</v>
      </c>
      <c r="N292">
        <f t="shared" si="67"/>
        <v>116.30816326530612</v>
      </c>
      <c r="O292">
        <f t="shared" si="67"/>
        <v>121.14489795918369</v>
      </c>
      <c r="P292">
        <f t="shared" si="67"/>
        <v>88.158571428571406</v>
      </c>
      <c r="Q292">
        <f t="shared" si="67"/>
        <v>133.6612244897959</v>
      </c>
      <c r="R292">
        <f t="shared" si="67"/>
        <v>134.2714285714286</v>
      </c>
      <c r="S292">
        <f t="shared" si="67"/>
        <v>136.77612244897958</v>
      </c>
      <c r="T292">
        <f t="shared" si="67"/>
        <v>151.06040816326529</v>
      </c>
      <c r="U292">
        <f t="shared" si="67"/>
        <v>156.6204081632653</v>
      </c>
      <c r="V292">
        <f t="shared" si="67"/>
        <v>164.36571428571432</v>
      </c>
      <c r="W292">
        <f t="shared" si="67"/>
        <v>189.90857142857149</v>
      </c>
      <c r="Y292" s="6">
        <f t="shared" si="64"/>
        <v>2591.509461096939</v>
      </c>
      <c r="Z292">
        <f t="shared" si="65"/>
        <v>-908.31844810318557</v>
      </c>
    </row>
    <row r="293" spans="1:26" x14ac:dyDescent="0.25">
      <c r="A293" t="s">
        <v>46</v>
      </c>
      <c r="D293">
        <f t="shared" ref="D293:W293" si="68">D5*D77</f>
        <v>156.56897959183672</v>
      </c>
      <c r="E293">
        <f t="shared" si="68"/>
        <v>142.2812244897959</v>
      </c>
      <c r="F293">
        <f t="shared" si="68"/>
        <v>126.50326530612244</v>
      </c>
      <c r="G293">
        <f t="shared" si="68"/>
        <v>109.02857142857142</v>
      </c>
      <c r="H293">
        <f t="shared" si="68"/>
        <v>96.868163265306137</v>
      </c>
      <c r="I293">
        <f t="shared" si="68"/>
        <v>100.17795918367345</v>
      </c>
      <c r="J293">
        <f t="shared" si="68"/>
        <v>113.46367346938776</v>
      </c>
      <c r="K293">
        <f t="shared" si="68"/>
        <v>118.12224489795921</v>
      </c>
      <c r="L293">
        <f t="shared" si="68"/>
        <v>101.37531249999999</v>
      </c>
      <c r="M293">
        <f t="shared" si="68"/>
        <v>88.1314285714286</v>
      </c>
      <c r="N293">
        <f t="shared" si="68"/>
        <v>53.978571428571435</v>
      </c>
      <c r="O293">
        <f t="shared" si="68"/>
        <v>76.891020408163286</v>
      </c>
      <c r="P293">
        <f t="shared" si="68"/>
        <v>76.977142857142866</v>
      </c>
      <c r="Q293">
        <f t="shared" si="68"/>
        <v>93.252244897959201</v>
      </c>
      <c r="R293">
        <f t="shared" si="68"/>
        <v>98.191836734693879</v>
      </c>
      <c r="S293">
        <f t="shared" si="68"/>
        <v>110.63265306122449</v>
      </c>
      <c r="T293">
        <f t="shared" si="68"/>
        <v>106.11469387755102</v>
      </c>
      <c r="U293">
        <f t="shared" si="68"/>
        <v>113.96204081632654</v>
      </c>
      <c r="V293">
        <f t="shared" si="68"/>
        <v>139.42551020408166</v>
      </c>
      <c r="W293">
        <f t="shared" si="68"/>
        <v>159.8075510204082</v>
      </c>
      <c r="Y293" s="6">
        <f t="shared" si="64"/>
        <v>2181.7540880102042</v>
      </c>
      <c r="Z293">
        <f t="shared" si="65"/>
        <v>-732.46815525101863</v>
      </c>
    </row>
    <row r="294" spans="1:26" x14ac:dyDescent="0.25">
      <c r="A294" t="s">
        <v>47</v>
      </c>
      <c r="D294">
        <f t="shared" ref="D294:W294" si="69">D6*D78</f>
        <v>163.59306122448982</v>
      </c>
      <c r="E294">
        <f t="shared" si="69"/>
        <v>146.22653061224489</v>
      </c>
      <c r="F294">
        <f t="shared" si="69"/>
        <v>145.09714285714284</v>
      </c>
      <c r="G294">
        <f t="shared" si="69"/>
        <v>151.01755102040818</v>
      </c>
      <c r="H294">
        <f t="shared" si="69"/>
        <v>137.71346938775508</v>
      </c>
      <c r="I294">
        <f t="shared" si="69"/>
        <v>112.77102040816327</v>
      </c>
      <c r="J294">
        <f t="shared" si="69"/>
        <v>111.05428571428571</v>
      </c>
      <c r="K294">
        <f t="shared" si="69"/>
        <v>98.8</v>
      </c>
      <c r="L294">
        <f t="shared" si="69"/>
        <v>66.373437500000009</v>
      </c>
      <c r="M294">
        <f t="shared" si="69"/>
        <v>89.756530612244916</v>
      </c>
      <c r="N294">
        <f t="shared" si="69"/>
        <v>87.87</v>
      </c>
      <c r="O294">
        <f t="shared" si="69"/>
        <v>99.416326530612267</v>
      </c>
      <c r="P294">
        <f t="shared" si="69"/>
        <v>111.31530612244897</v>
      </c>
      <c r="Q294">
        <f t="shared" si="69"/>
        <v>94.744081632653064</v>
      </c>
      <c r="R294">
        <f t="shared" si="69"/>
        <v>102.71142857142858</v>
      </c>
      <c r="S294">
        <f t="shared" si="69"/>
        <v>90.487755102040822</v>
      </c>
      <c r="T294">
        <f t="shared" si="69"/>
        <v>114.08</v>
      </c>
      <c r="U294">
        <f t="shared" si="69"/>
        <v>96.370816326530601</v>
      </c>
      <c r="V294">
        <f t="shared" si="69"/>
        <v>139.46428571428572</v>
      </c>
      <c r="W294">
        <f t="shared" si="69"/>
        <v>170.6418367346939</v>
      </c>
      <c r="Y294" s="6">
        <f t="shared" si="64"/>
        <v>2329.5048660714283</v>
      </c>
      <c r="Z294">
        <f t="shared" si="65"/>
        <v>-781.42220965493698</v>
      </c>
    </row>
    <row r="295" spans="1:26" x14ac:dyDescent="0.25">
      <c r="A295" t="s">
        <v>48</v>
      </c>
      <c r="D295">
        <f t="shared" ref="D295:W295" si="70">D7*D79</f>
        <v>162.84</v>
      </c>
      <c r="E295">
        <f t="shared" si="70"/>
        <v>139.15285714285716</v>
      </c>
      <c r="F295">
        <f t="shared" si="70"/>
        <v>133.75204081632654</v>
      </c>
      <c r="G295">
        <f t="shared" si="70"/>
        <v>163.87877551020409</v>
      </c>
      <c r="H295">
        <f t="shared" si="70"/>
        <v>229.71428571428569</v>
      </c>
      <c r="I295">
        <f t="shared" si="70"/>
        <v>119.29285714285713</v>
      </c>
      <c r="J295">
        <f t="shared" si="70"/>
        <v>97.559183673469391</v>
      </c>
      <c r="K295">
        <f t="shared" si="70"/>
        <v>108.47571428571429</v>
      </c>
      <c r="L295">
        <f t="shared" si="70"/>
        <v>73.78031249999998</v>
      </c>
      <c r="M295">
        <f t="shared" si="70"/>
        <v>51.120000000000005</v>
      </c>
      <c r="N295">
        <f t="shared" si="70"/>
        <v>59.689795918367338</v>
      </c>
      <c r="O295">
        <f t="shared" si="70"/>
        <v>53.95693877551021</v>
      </c>
      <c r="P295">
        <f t="shared" si="70"/>
        <v>108.37714285714284</v>
      </c>
      <c r="Q295">
        <f t="shared" si="70"/>
        <v>116.61551020408163</v>
      </c>
      <c r="R295">
        <f t="shared" si="70"/>
        <v>84.997551020408181</v>
      </c>
      <c r="S295">
        <f t="shared" si="70"/>
        <v>122.22857142857143</v>
      </c>
      <c r="T295">
        <f t="shared" si="70"/>
        <v>80.448367346938781</v>
      </c>
      <c r="U295">
        <f t="shared" si="70"/>
        <v>104.77285714285715</v>
      </c>
      <c r="V295">
        <f t="shared" si="70"/>
        <v>132.01346938775507</v>
      </c>
      <c r="W295">
        <f t="shared" si="70"/>
        <v>129.44285714285712</v>
      </c>
      <c r="Y295" s="6">
        <f t="shared" si="64"/>
        <v>2272.1090880102038</v>
      </c>
      <c r="Z295">
        <f t="shared" si="65"/>
        <v>-768.06568962260405</v>
      </c>
    </row>
    <row r="296" spans="1:26" x14ac:dyDescent="0.25">
      <c r="A296" t="s">
        <v>49</v>
      </c>
      <c r="D296">
        <f t="shared" ref="D296:W296" si="71">D8*D80</f>
        <v>148.56122448979593</v>
      </c>
      <c r="E296">
        <f t="shared" si="71"/>
        <v>162.02816326530615</v>
      </c>
      <c r="F296">
        <f t="shared" si="71"/>
        <v>145.60326530612244</v>
      </c>
      <c r="G296">
        <f t="shared" si="71"/>
        <v>126.5942857142857</v>
      </c>
      <c r="H296">
        <f t="shared" si="71"/>
        <v>136.33040816326528</v>
      </c>
      <c r="I296">
        <f t="shared" si="71"/>
        <v>120.33061224489796</v>
      </c>
      <c r="J296">
        <f t="shared" si="71"/>
        <v>112.94816326530611</v>
      </c>
      <c r="K296">
        <f t="shared" si="71"/>
        <v>85.678163265306125</v>
      </c>
      <c r="L296">
        <f t="shared" si="71"/>
        <v>105.46530612244898</v>
      </c>
      <c r="M296">
        <f t="shared" si="71"/>
        <v>55.208571428571432</v>
      </c>
      <c r="N296">
        <f t="shared" si="71"/>
        <v>54.126734693877559</v>
      </c>
      <c r="O296">
        <f t="shared" si="71"/>
        <v>72.59693877551021</v>
      </c>
      <c r="P296">
        <f t="shared" si="71"/>
        <v>106.54346938775511</v>
      </c>
      <c r="Q296">
        <f t="shared" si="71"/>
        <v>82.723265306122428</v>
      </c>
      <c r="R296">
        <f t="shared" si="71"/>
        <v>101.15257142857143</v>
      </c>
      <c r="S296">
        <f t="shared" si="71"/>
        <v>78.707510204081601</v>
      </c>
      <c r="T296">
        <f t="shared" si="71"/>
        <v>93.571428571428598</v>
      </c>
      <c r="U296">
        <f t="shared" si="71"/>
        <v>126.01285714285713</v>
      </c>
      <c r="V296">
        <f t="shared" si="71"/>
        <v>121.90936734693877</v>
      </c>
      <c r="W296">
        <f t="shared" si="71"/>
        <v>139.50485714285713</v>
      </c>
      <c r="Y296" s="6">
        <f t="shared" si="64"/>
        <v>2175.5971632653063</v>
      </c>
      <c r="Z296">
        <f t="shared" si="65"/>
        <v>-716.49952297668892</v>
      </c>
    </row>
    <row r="297" spans="1:26" x14ac:dyDescent="0.25">
      <c r="A297" t="s">
        <v>50</v>
      </c>
      <c r="D297">
        <f t="shared" ref="D297:W297" si="72">D9*D81</f>
        <v>151.93102040816331</v>
      </c>
      <c r="E297">
        <f t="shared" si="72"/>
        <v>135.86551020408163</v>
      </c>
      <c r="F297">
        <f t="shared" si="72"/>
        <v>145.68489795918367</v>
      </c>
      <c r="G297">
        <f t="shared" si="72"/>
        <v>131.54448979591831</v>
      </c>
      <c r="H297">
        <f t="shared" si="72"/>
        <v>107.78326530612249</v>
      </c>
      <c r="I297">
        <f t="shared" si="72"/>
        <v>107.52000000000001</v>
      </c>
      <c r="J297">
        <f t="shared" si="72"/>
        <v>102.61306122448981</v>
      </c>
      <c r="K297">
        <f t="shared" si="72"/>
        <v>107.72632653061227</v>
      </c>
      <c r="L297">
        <f t="shared" si="72"/>
        <v>114.07999999999998</v>
      </c>
      <c r="M297">
        <f t="shared" si="72"/>
        <v>71.221224489795915</v>
      </c>
      <c r="N297">
        <f t="shared" si="72"/>
        <v>84.911428571428573</v>
      </c>
      <c r="O297">
        <f t="shared" si="72"/>
        <v>91.300612244897948</v>
      </c>
      <c r="P297">
        <f t="shared" si="72"/>
        <v>79.232142857142833</v>
      </c>
      <c r="Q297">
        <f t="shared" si="72"/>
        <v>85.039897959183691</v>
      </c>
      <c r="R297">
        <f t="shared" si="72"/>
        <v>99.092448979591822</v>
      </c>
      <c r="S297">
        <f t="shared" si="72"/>
        <v>132.00020408163266</v>
      </c>
      <c r="T297">
        <f t="shared" si="72"/>
        <v>103.29795918367347</v>
      </c>
      <c r="U297">
        <f t="shared" si="72"/>
        <v>114.59346938775512</v>
      </c>
      <c r="V297">
        <f t="shared" si="72"/>
        <v>164.82938775510206</v>
      </c>
      <c r="W297">
        <f t="shared" si="72"/>
        <v>167.89469387755102</v>
      </c>
      <c r="Y297" s="6">
        <f t="shared" si="64"/>
        <v>2298.1620408163267</v>
      </c>
      <c r="Z297">
        <f t="shared" si="65"/>
        <v>-783.97877616820927</v>
      </c>
    </row>
    <row r="298" spans="1:26" x14ac:dyDescent="0.25">
      <c r="A298" t="s">
        <v>51</v>
      </c>
      <c r="D298">
        <f t="shared" ref="D298:W298" si="73">D10*D82</f>
        <v>165.87142857142859</v>
      </c>
      <c r="E298">
        <f t="shared" si="73"/>
        <v>155.38653061224491</v>
      </c>
      <c r="F298">
        <f t="shared" si="73"/>
        <v>107.74285714285716</v>
      </c>
      <c r="G298">
        <f t="shared" si="73"/>
        <v>147.89204081632656</v>
      </c>
      <c r="H298">
        <f t="shared" si="73"/>
        <v>105.52571428571427</v>
      </c>
      <c r="I298">
        <f t="shared" si="73"/>
        <v>94.263265306122449</v>
      </c>
      <c r="J298">
        <f t="shared" si="73"/>
        <v>92.382244897959183</v>
      </c>
      <c r="K298">
        <f t="shared" si="73"/>
        <v>78.318367346938786</v>
      </c>
      <c r="L298">
        <f t="shared" si="73"/>
        <v>74.281874999999985</v>
      </c>
      <c r="M298">
        <f t="shared" si="73"/>
        <v>73.719183673469388</v>
      </c>
      <c r="N298">
        <f t="shared" si="73"/>
        <v>74.668163265306106</v>
      </c>
      <c r="O298">
        <f t="shared" si="73"/>
        <v>85.705714285714279</v>
      </c>
      <c r="P298">
        <f t="shared" si="73"/>
        <v>112.67857142857144</v>
      </c>
      <c r="Q298">
        <f t="shared" si="73"/>
        <v>70.388163265306119</v>
      </c>
      <c r="R298">
        <f t="shared" si="73"/>
        <v>92.409795918367351</v>
      </c>
      <c r="S298">
        <f t="shared" si="73"/>
        <v>112.18204081632653</v>
      </c>
      <c r="T298">
        <f t="shared" si="73"/>
        <v>90.367346938775469</v>
      </c>
      <c r="U298">
        <f t="shared" si="73"/>
        <v>126.15428571428573</v>
      </c>
      <c r="V298">
        <f t="shared" si="73"/>
        <v>123.61387755102044</v>
      </c>
      <c r="W298">
        <f t="shared" si="73"/>
        <v>161.80244897959187</v>
      </c>
      <c r="Y298" s="6">
        <f t="shared" si="64"/>
        <v>2145.3539158163267</v>
      </c>
      <c r="Z298">
        <f t="shared" si="65"/>
        <v>-728.14274552010238</v>
      </c>
    </row>
    <row r="299" spans="1:26" x14ac:dyDescent="0.25">
      <c r="A299" t="s">
        <v>52</v>
      </c>
      <c r="D299">
        <f t="shared" ref="D299:W299" si="74">D11*D83</f>
        <v>120.34612244897959</v>
      </c>
      <c r="E299">
        <f t="shared" si="74"/>
        <v>118.49693877551022</v>
      </c>
      <c r="F299">
        <f t="shared" si="74"/>
        <v>103.47244897959186</v>
      </c>
      <c r="G299">
        <f t="shared" si="74"/>
        <v>75.623877551020399</v>
      </c>
      <c r="H299">
        <f t="shared" si="74"/>
        <v>68.297142857142845</v>
      </c>
      <c r="I299">
        <f t="shared" si="74"/>
        <v>113.96224489795918</v>
      </c>
      <c r="J299">
        <f t="shared" si="74"/>
        <v>60.355102040816334</v>
      </c>
      <c r="K299">
        <f t="shared" si="74"/>
        <v>68.636530612244883</v>
      </c>
      <c r="L299">
        <f t="shared" si="74"/>
        <v>74.165156249999995</v>
      </c>
      <c r="M299">
        <f t="shared" si="74"/>
        <v>82.105714285714271</v>
      </c>
      <c r="N299">
        <f t="shared" si="74"/>
        <v>37.720408163265304</v>
      </c>
      <c r="O299">
        <f t="shared" si="74"/>
        <v>60.68571428571429</v>
      </c>
      <c r="P299">
        <f t="shared" si="74"/>
        <v>84.041428571428554</v>
      </c>
      <c r="Q299">
        <f t="shared" si="74"/>
        <v>91.746734693877556</v>
      </c>
      <c r="R299">
        <f t="shared" si="74"/>
        <v>107.34857142857142</v>
      </c>
      <c r="S299">
        <f t="shared" si="74"/>
        <v>95.318367346938771</v>
      </c>
      <c r="T299">
        <f t="shared" si="74"/>
        <v>71.742040816326522</v>
      </c>
      <c r="U299">
        <f t="shared" si="74"/>
        <v>93.542448979591853</v>
      </c>
      <c r="V299">
        <f t="shared" si="74"/>
        <v>104.25673469387753</v>
      </c>
      <c r="W299">
        <f t="shared" si="74"/>
        <v>125.39999999999996</v>
      </c>
      <c r="Y299" s="6">
        <f t="shared" si="64"/>
        <v>1757.2637276785713</v>
      </c>
      <c r="Z299">
        <f t="shared" si="65"/>
        <v>-572.8624009008829</v>
      </c>
    </row>
    <row r="300" spans="1:26" x14ac:dyDescent="0.25">
      <c r="A300" t="s">
        <v>53</v>
      </c>
      <c r="D300">
        <f t="shared" ref="D300:W300" si="75">D12*D84</f>
        <v>146.01122448979592</v>
      </c>
      <c r="E300">
        <f t="shared" si="75"/>
        <v>120.78979591836733</v>
      </c>
      <c r="F300">
        <f t="shared" si="75"/>
        <v>109.76326530612245</v>
      </c>
      <c r="G300">
        <f t="shared" si="75"/>
        <v>118.75142857142858</v>
      </c>
      <c r="H300">
        <f t="shared" si="75"/>
        <v>118.27428571428571</v>
      </c>
      <c r="I300">
        <f t="shared" si="75"/>
        <v>93.353061224489778</v>
      </c>
      <c r="J300">
        <f t="shared" si="75"/>
        <v>110.13469387755102</v>
      </c>
      <c r="K300">
        <f t="shared" si="75"/>
        <v>105.44285714285714</v>
      </c>
      <c r="L300">
        <f t="shared" si="75"/>
        <v>103.36125</v>
      </c>
      <c r="M300">
        <f t="shared" si="75"/>
        <v>91.114081632653054</v>
      </c>
      <c r="N300">
        <f t="shared" si="75"/>
        <v>80.230408163265309</v>
      </c>
      <c r="O300">
        <f t="shared" si="75"/>
        <v>80.867346938775512</v>
      </c>
      <c r="P300">
        <f t="shared" si="75"/>
        <v>110.39999999999998</v>
      </c>
      <c r="Q300">
        <f t="shared" si="75"/>
        <v>81.300408163265303</v>
      </c>
      <c r="R300">
        <f t="shared" si="75"/>
        <v>87.15428571428572</v>
      </c>
      <c r="S300">
        <f t="shared" si="75"/>
        <v>109.34489795918367</v>
      </c>
      <c r="T300">
        <f t="shared" si="75"/>
        <v>143.82795918367344</v>
      </c>
      <c r="U300">
        <f t="shared" si="75"/>
        <v>130.29979591836732</v>
      </c>
      <c r="V300">
        <f t="shared" si="75"/>
        <v>156.46836734693878</v>
      </c>
      <c r="W300">
        <f t="shared" si="75"/>
        <v>143.64102040816326</v>
      </c>
      <c r="Y300" s="6">
        <f t="shared" si="64"/>
        <v>2240.5304336734694</v>
      </c>
      <c r="Z300">
        <f t="shared" si="65"/>
        <v>-769.97180760370168</v>
      </c>
    </row>
    <row r="301" spans="1:26" x14ac:dyDescent="0.25">
      <c r="A301" t="s">
        <v>54</v>
      </c>
      <c r="D301">
        <f t="shared" ref="D301:W301" si="76">D13*D85</f>
        <v>144.81428571428572</v>
      </c>
      <c r="E301">
        <f t="shared" si="76"/>
        <v>133.30285714285714</v>
      </c>
      <c r="F301">
        <f t="shared" si="76"/>
        <v>134.56632653061226</v>
      </c>
      <c r="G301">
        <f t="shared" si="76"/>
        <v>103.92244897959183</v>
      </c>
      <c r="H301">
        <f t="shared" si="76"/>
        <v>96.502040816326527</v>
      </c>
      <c r="I301">
        <f t="shared" si="76"/>
        <v>94.671836734693869</v>
      </c>
      <c r="J301">
        <f t="shared" si="76"/>
        <v>60.653265306122471</v>
      </c>
      <c r="K301">
        <f t="shared" si="76"/>
        <v>73.671428571428578</v>
      </c>
      <c r="L301">
        <f t="shared" si="76"/>
        <v>76.279531250000005</v>
      </c>
      <c r="M301">
        <f t="shared" si="76"/>
        <v>78.694897959183663</v>
      </c>
      <c r="N301">
        <f t="shared" si="76"/>
        <v>60.376530612244899</v>
      </c>
      <c r="O301">
        <f t="shared" si="76"/>
        <v>59.67795918367348</v>
      </c>
      <c r="P301">
        <f t="shared" si="76"/>
        <v>76.560000000000016</v>
      </c>
      <c r="Q301">
        <f t="shared" si="76"/>
        <v>87.271836734693892</v>
      </c>
      <c r="R301">
        <f t="shared" si="76"/>
        <v>61.311428571428571</v>
      </c>
      <c r="S301">
        <f t="shared" si="76"/>
        <v>87.062857142857155</v>
      </c>
      <c r="T301">
        <f t="shared" si="76"/>
        <v>99.994897959183675</v>
      </c>
      <c r="U301">
        <f t="shared" si="76"/>
        <v>137.70244897959179</v>
      </c>
      <c r="V301">
        <f t="shared" si="76"/>
        <v>110.49387755102042</v>
      </c>
      <c r="W301">
        <f t="shared" si="76"/>
        <v>129.3942857142857</v>
      </c>
      <c r="Y301" s="6">
        <f t="shared" si="64"/>
        <v>1906.9250414540816</v>
      </c>
      <c r="Z301">
        <f t="shared" si="65"/>
        <v>-640.48895986152399</v>
      </c>
    </row>
    <row r="302" spans="1:26" x14ac:dyDescent="0.25">
      <c r="A302" t="s">
        <v>55</v>
      </c>
      <c r="D302">
        <f t="shared" ref="D302:W302" si="77">D14*D86</f>
        <v>157.73387755102038</v>
      </c>
      <c r="E302">
        <f t="shared" si="77"/>
        <v>153.69816326530614</v>
      </c>
      <c r="F302">
        <f t="shared" si="77"/>
        <v>135.06510204081633</v>
      </c>
      <c r="G302">
        <f t="shared" si="77"/>
        <v>120.34224489795916</v>
      </c>
      <c r="H302">
        <f t="shared" si="77"/>
        <v>99.477142857142866</v>
      </c>
      <c r="I302">
        <f t="shared" si="77"/>
        <v>84.521224489795927</v>
      </c>
      <c r="J302">
        <f t="shared" si="77"/>
        <v>70.858775510204083</v>
      </c>
      <c r="K302">
        <f t="shared" si="77"/>
        <v>64.914285714285711</v>
      </c>
      <c r="L302">
        <f t="shared" si="77"/>
        <v>79.201875000000001</v>
      </c>
      <c r="M302">
        <f t="shared" si="77"/>
        <v>81.120000000000019</v>
      </c>
      <c r="N302">
        <f t="shared" si="77"/>
        <v>99.326530612244881</v>
      </c>
      <c r="O302">
        <f t="shared" si="77"/>
        <v>58.459591836734695</v>
      </c>
      <c r="P302">
        <f t="shared" si="77"/>
        <v>68.686938775510185</v>
      </c>
      <c r="Q302">
        <f t="shared" si="77"/>
        <v>95.271428571428558</v>
      </c>
      <c r="R302">
        <f t="shared" si="77"/>
        <v>94.487755102040822</v>
      </c>
      <c r="S302">
        <f t="shared" si="77"/>
        <v>111.53387755102041</v>
      </c>
      <c r="T302">
        <f t="shared" si="77"/>
        <v>98.824897959183687</v>
      </c>
      <c r="U302">
        <f t="shared" si="77"/>
        <v>105.83346938775512</v>
      </c>
      <c r="V302">
        <f t="shared" si="77"/>
        <v>142.07591836734693</v>
      </c>
      <c r="W302">
        <f t="shared" si="77"/>
        <v>139.02795918367346</v>
      </c>
      <c r="Y302" s="6">
        <f t="shared" si="64"/>
        <v>2060.4610586734693</v>
      </c>
      <c r="Z302">
        <f t="shared" si="65"/>
        <v>-699.60223535637306</v>
      </c>
    </row>
    <row r="303" spans="1:26" x14ac:dyDescent="0.25">
      <c r="A303" t="s">
        <v>56</v>
      </c>
      <c r="D303">
        <f t="shared" ref="D303:W303" si="78">D15*D87</f>
        <v>166.20367346938781</v>
      </c>
      <c r="E303">
        <f t="shared" si="78"/>
        <v>128.27142857142857</v>
      </c>
      <c r="F303">
        <f t="shared" si="78"/>
        <v>109.65306122448979</v>
      </c>
      <c r="G303">
        <f t="shared" si="78"/>
        <v>101.43428571428569</v>
      </c>
      <c r="H303">
        <f t="shared" si="78"/>
        <v>80.189999999999984</v>
      </c>
      <c r="I303">
        <f t="shared" si="78"/>
        <v>93.952040816326516</v>
      </c>
      <c r="J303">
        <f t="shared" si="78"/>
        <v>71.257142857142867</v>
      </c>
      <c r="K303">
        <f t="shared" si="78"/>
        <v>84.635714285714272</v>
      </c>
      <c r="L303">
        <f t="shared" si="78"/>
        <v>78.045000000000002</v>
      </c>
      <c r="M303">
        <f t="shared" si="78"/>
        <v>82.112244897959172</v>
      </c>
      <c r="N303">
        <f t="shared" si="78"/>
        <v>65.650612244897943</v>
      </c>
      <c r="O303">
        <f t="shared" si="78"/>
        <v>90.775510204081627</v>
      </c>
      <c r="P303">
        <f t="shared" si="78"/>
        <v>94.481632653061226</v>
      </c>
      <c r="Q303">
        <f t="shared" si="78"/>
        <v>77.916734693877558</v>
      </c>
      <c r="R303">
        <f t="shared" si="78"/>
        <v>128.60040816326531</v>
      </c>
      <c r="S303">
        <f t="shared" si="78"/>
        <v>139.60040816326529</v>
      </c>
      <c r="T303">
        <f t="shared" si="78"/>
        <v>129.39428571428573</v>
      </c>
      <c r="U303">
        <f t="shared" si="78"/>
        <v>174.29877551020408</v>
      </c>
      <c r="V303">
        <f t="shared" si="78"/>
        <v>106.59</v>
      </c>
      <c r="W303">
        <f t="shared" si="78"/>
        <v>129.05510204081631</v>
      </c>
      <c r="Y303" s="6">
        <f t="shared" si="64"/>
        <v>2132.1180612244893</v>
      </c>
      <c r="Z303">
        <f t="shared" si="65"/>
        <v>-729.99773296321086</v>
      </c>
    </row>
    <row r="304" spans="1:26" x14ac:dyDescent="0.25">
      <c r="A304" t="s">
        <v>57</v>
      </c>
      <c r="D304">
        <f t="shared" ref="D304:W304" si="79">D16*D88</f>
        <v>147.67571428571426</v>
      </c>
      <c r="E304">
        <f t="shared" si="79"/>
        <v>142.06775510204085</v>
      </c>
      <c r="F304">
        <f t="shared" si="79"/>
        <v>130.36938775510203</v>
      </c>
      <c r="G304">
        <f t="shared" si="79"/>
        <v>108.32326530612245</v>
      </c>
      <c r="H304">
        <f t="shared" si="79"/>
        <v>99.642857142857125</v>
      </c>
      <c r="I304">
        <f t="shared" si="79"/>
        <v>93.271020408163253</v>
      </c>
      <c r="J304">
        <f t="shared" si="79"/>
        <v>115.5322448979592</v>
      </c>
      <c r="K304">
        <f t="shared" si="79"/>
        <v>79.994489795918355</v>
      </c>
      <c r="L304">
        <f t="shared" si="79"/>
        <v>69.918750000000017</v>
      </c>
      <c r="M304">
        <f t="shared" si="79"/>
        <v>87.553469387755115</v>
      </c>
      <c r="N304">
        <f t="shared" si="79"/>
        <v>87.175510204081647</v>
      </c>
      <c r="O304">
        <f t="shared" si="79"/>
        <v>85.56</v>
      </c>
      <c r="P304">
        <f t="shared" si="79"/>
        <v>102.32918367346937</v>
      </c>
      <c r="Q304">
        <f t="shared" si="79"/>
        <v>89.116530612244915</v>
      </c>
      <c r="R304">
        <f t="shared" si="79"/>
        <v>82.300204081632643</v>
      </c>
      <c r="S304">
        <f t="shared" si="79"/>
        <v>124.21102040816325</v>
      </c>
      <c r="T304">
        <f t="shared" si="79"/>
        <v>114.14285714285714</v>
      </c>
      <c r="U304">
        <f t="shared" si="79"/>
        <v>116.55673469387752</v>
      </c>
      <c r="V304">
        <f t="shared" si="79"/>
        <v>111.12</v>
      </c>
      <c r="W304">
        <f t="shared" si="79"/>
        <v>138.48244897959188</v>
      </c>
      <c r="Y304" s="6">
        <f t="shared" si="64"/>
        <v>2125.3434438775512</v>
      </c>
      <c r="Z304">
        <f t="shared" si="65"/>
        <v>-720.830580485979</v>
      </c>
    </row>
    <row r="305" spans="1:26" x14ac:dyDescent="0.25">
      <c r="A305" t="s">
        <v>58</v>
      </c>
      <c r="D305">
        <f t="shared" ref="D305:W305" si="80">D17*D89</f>
        <v>154.55755102040814</v>
      </c>
      <c r="E305">
        <f t="shared" si="80"/>
        <v>138.32755102040818</v>
      </c>
      <c r="F305">
        <f t="shared" si="80"/>
        <v>138.6142857142857</v>
      </c>
      <c r="G305">
        <f t="shared" si="80"/>
        <v>107.04285714285713</v>
      </c>
      <c r="H305">
        <f t="shared" si="80"/>
        <v>117.16734693877551</v>
      </c>
      <c r="I305">
        <f t="shared" si="80"/>
        <v>75.559591836734697</v>
      </c>
      <c r="J305">
        <f t="shared" si="80"/>
        <v>89.067959183673452</v>
      </c>
      <c r="K305">
        <f t="shared" si="80"/>
        <v>92.076326530612235</v>
      </c>
      <c r="L305">
        <f t="shared" si="80"/>
        <v>77.264375000000001</v>
      </c>
      <c r="M305">
        <f t="shared" si="80"/>
        <v>67.454081632653057</v>
      </c>
      <c r="N305">
        <f t="shared" si="80"/>
        <v>64.911836734693892</v>
      </c>
      <c r="O305">
        <f t="shared" si="80"/>
        <v>73.662244897959184</v>
      </c>
      <c r="P305">
        <f t="shared" si="80"/>
        <v>65.456326530612259</v>
      </c>
      <c r="Q305">
        <f t="shared" si="80"/>
        <v>89.739795918367349</v>
      </c>
      <c r="R305">
        <f t="shared" si="80"/>
        <v>68.545306122448963</v>
      </c>
      <c r="S305">
        <f t="shared" si="80"/>
        <v>102.99183673469388</v>
      </c>
      <c r="T305">
        <f t="shared" si="80"/>
        <v>133.44428571428571</v>
      </c>
      <c r="U305">
        <f t="shared" si="80"/>
        <v>145.92142857142861</v>
      </c>
      <c r="V305">
        <f t="shared" si="80"/>
        <v>124.53612244897961</v>
      </c>
      <c r="W305">
        <f t="shared" si="80"/>
        <v>179.2557142857143</v>
      </c>
      <c r="Y305" s="6">
        <f t="shared" si="64"/>
        <v>2105.5968239795916</v>
      </c>
      <c r="Z305">
        <f t="shared" si="65"/>
        <v>-719.55825477252392</v>
      </c>
    </row>
    <row r="306" spans="1:26" x14ac:dyDescent="0.25">
      <c r="A306" t="s">
        <v>59</v>
      </c>
      <c r="D306">
        <f t="shared" ref="D306:W306" si="81">D18*D90</f>
        <v>170.81142857142856</v>
      </c>
      <c r="E306">
        <f t="shared" si="81"/>
        <v>131.71673469387753</v>
      </c>
      <c r="F306">
        <f t="shared" si="81"/>
        <v>117.9285714285714</v>
      </c>
      <c r="G306">
        <f t="shared" si="81"/>
        <v>128.35285714285718</v>
      </c>
      <c r="H306">
        <f t="shared" si="81"/>
        <v>90.273265306122454</v>
      </c>
      <c r="I306">
        <f t="shared" si="81"/>
        <v>90.326122448979589</v>
      </c>
      <c r="J306">
        <f t="shared" si="81"/>
        <v>101.66857142857143</v>
      </c>
      <c r="K306">
        <f t="shared" si="81"/>
        <v>90.631224489795912</v>
      </c>
      <c r="L306">
        <f t="shared" si="81"/>
        <v>54.50987654320987</v>
      </c>
      <c r="M306">
        <f t="shared" si="81"/>
        <v>75.247346938775507</v>
      </c>
      <c r="N306">
        <f t="shared" si="81"/>
        <v>80.52</v>
      </c>
      <c r="O306">
        <f t="shared" si="81"/>
        <v>71.844897959183683</v>
      </c>
      <c r="P306">
        <f t="shared" si="81"/>
        <v>67.354693877551014</v>
      </c>
      <c r="Q306">
        <f t="shared" si="81"/>
        <v>62.278979591836737</v>
      </c>
      <c r="R306">
        <f t="shared" si="81"/>
        <v>61.599387755102043</v>
      </c>
      <c r="S306">
        <f t="shared" si="81"/>
        <v>95.542857142857159</v>
      </c>
      <c r="T306">
        <f t="shared" si="81"/>
        <v>132.53979591836736</v>
      </c>
      <c r="U306">
        <f t="shared" si="81"/>
        <v>126.37714285714287</v>
      </c>
      <c r="V306">
        <f t="shared" si="81"/>
        <v>137.71102040816328</v>
      </c>
      <c r="W306">
        <f t="shared" si="81"/>
        <v>127.9057142857143</v>
      </c>
      <c r="Y306" s="6">
        <f t="shared" si="64"/>
        <v>2015.1404887881081</v>
      </c>
      <c r="Z306">
        <f t="shared" si="65"/>
        <v>-705.61764981858937</v>
      </c>
    </row>
    <row r="307" spans="1:26" x14ac:dyDescent="0.25">
      <c r="A307" t="s">
        <v>60</v>
      </c>
      <c r="D307">
        <f t="shared" ref="D307:W307" si="82">D19*D91</f>
        <v>137.76061224489797</v>
      </c>
      <c r="E307">
        <f t="shared" si="82"/>
        <v>134.81673469387755</v>
      </c>
      <c r="F307">
        <f t="shared" si="82"/>
        <v>121.87653061224492</v>
      </c>
      <c r="G307">
        <f t="shared" si="82"/>
        <v>94.034285714285701</v>
      </c>
      <c r="H307">
        <f t="shared" si="82"/>
        <v>83.494285714285709</v>
      </c>
      <c r="I307">
        <f t="shared" si="82"/>
        <v>113.08612244897959</v>
      </c>
      <c r="J307">
        <f t="shared" si="82"/>
        <v>104.35591836734693</v>
      </c>
      <c r="K307">
        <f t="shared" si="82"/>
        <v>111.42530612244899</v>
      </c>
      <c r="L307">
        <f t="shared" si="82"/>
        <v>91.533750000000012</v>
      </c>
      <c r="M307">
        <f t="shared" si="82"/>
        <v>89.265306122448976</v>
      </c>
      <c r="N307">
        <f t="shared" si="82"/>
        <v>96.48571428571428</v>
      </c>
      <c r="O307">
        <f t="shared" si="82"/>
        <v>81.859591836734694</v>
      </c>
      <c r="P307">
        <f t="shared" si="82"/>
        <v>116.43714285714283</v>
      </c>
      <c r="Q307">
        <f t="shared" si="82"/>
        <v>98.920408163265293</v>
      </c>
      <c r="R307">
        <f t="shared" si="82"/>
        <v>108.59877551020408</v>
      </c>
      <c r="S307">
        <f t="shared" si="82"/>
        <v>102.54285714285714</v>
      </c>
      <c r="T307">
        <f t="shared" si="82"/>
        <v>125.71530612244896</v>
      </c>
      <c r="U307">
        <f t="shared" si="82"/>
        <v>163.4061224489796</v>
      </c>
      <c r="V307">
        <f t="shared" si="82"/>
        <v>138.80142857142854</v>
      </c>
      <c r="W307">
        <f t="shared" si="82"/>
        <v>153.30714285714285</v>
      </c>
      <c r="Y307" s="6">
        <f t="shared" si="64"/>
        <v>2267.7233418367355</v>
      </c>
      <c r="Z307">
        <f t="shared" si="65"/>
        <v>-775.87353022938169</v>
      </c>
    </row>
    <row r="308" spans="1:26" x14ac:dyDescent="0.25">
      <c r="A308" t="s">
        <v>61</v>
      </c>
      <c r="D308">
        <f t="shared" ref="D308:W308" si="83">D20*D92</f>
        <v>163.29469387755105</v>
      </c>
      <c r="E308">
        <f t="shared" si="83"/>
        <v>154.30306122448977</v>
      </c>
      <c r="F308">
        <f t="shared" si="83"/>
        <v>140.03591836734694</v>
      </c>
      <c r="G308">
        <f t="shared" si="83"/>
        <v>119.81244897959181</v>
      </c>
      <c r="H308">
        <f t="shared" si="83"/>
        <v>101.50693877551021</v>
      </c>
      <c r="I308">
        <f t="shared" si="83"/>
        <v>112.44979591836733</v>
      </c>
      <c r="J308">
        <f t="shared" si="83"/>
        <v>105.23102040816329</v>
      </c>
      <c r="K308">
        <f t="shared" si="83"/>
        <v>87.51836734693876</v>
      </c>
      <c r="L308">
        <f t="shared" si="83"/>
        <v>51.233580246913576</v>
      </c>
      <c r="M308">
        <f t="shared" si="83"/>
        <v>74.372857142857143</v>
      </c>
      <c r="N308">
        <f t="shared" si="83"/>
        <v>71.680816326530604</v>
      </c>
      <c r="O308">
        <f t="shared" si="83"/>
        <v>83.534693877551007</v>
      </c>
      <c r="P308">
        <f t="shared" si="83"/>
        <v>73.408163265306129</v>
      </c>
      <c r="Q308">
        <f t="shared" si="83"/>
        <v>75.042448979591825</v>
      </c>
      <c r="R308">
        <f t="shared" si="83"/>
        <v>84.856122448979605</v>
      </c>
      <c r="S308">
        <f t="shared" si="83"/>
        <v>110.55673469387757</v>
      </c>
      <c r="T308">
        <f t="shared" si="83"/>
        <v>126.47142857142856</v>
      </c>
      <c r="U308">
        <f t="shared" si="83"/>
        <v>127.90551020408159</v>
      </c>
      <c r="V308">
        <f t="shared" si="83"/>
        <v>126.71020408163265</v>
      </c>
      <c r="W308">
        <f t="shared" si="83"/>
        <v>165.57142857142858</v>
      </c>
      <c r="Y308" s="6">
        <f t="shared" si="64"/>
        <v>2155.496233308138</v>
      </c>
      <c r="Z308">
        <f t="shared" si="65"/>
        <v>-736.28470256542266</v>
      </c>
    </row>
    <row r="309" spans="1:26" x14ac:dyDescent="0.25">
      <c r="A309" t="s">
        <v>62</v>
      </c>
      <c r="D309">
        <f t="shared" ref="D309:W309" si="84">D21*D93</f>
        <v>121.94448979591836</v>
      </c>
      <c r="E309">
        <f t="shared" si="84"/>
        <v>91.314285714285703</v>
      </c>
      <c r="F309">
        <f t="shared" si="84"/>
        <v>123.15591836734694</v>
      </c>
      <c r="G309">
        <f t="shared" si="84"/>
        <v>112.5404081632653</v>
      </c>
      <c r="H309">
        <f t="shared" si="84"/>
        <v>109.61387755102039</v>
      </c>
      <c r="I309">
        <f t="shared" si="84"/>
        <v>96.453877551020398</v>
      </c>
      <c r="J309">
        <f t="shared" si="84"/>
        <v>70.577142857142846</v>
      </c>
      <c r="K309">
        <f t="shared" si="84"/>
        <v>76.128979591836739</v>
      </c>
      <c r="L309">
        <f t="shared" si="84"/>
        <v>69.056249999999991</v>
      </c>
      <c r="M309">
        <f t="shared" si="84"/>
        <v>56.300408163265317</v>
      </c>
      <c r="N309">
        <f t="shared" si="84"/>
        <v>53.69142857142856</v>
      </c>
      <c r="O309">
        <f t="shared" si="84"/>
        <v>51.183673469387749</v>
      </c>
      <c r="P309">
        <f t="shared" si="84"/>
        <v>39.411428571428566</v>
      </c>
      <c r="Q309">
        <f t="shared" si="84"/>
        <v>69.702857142857155</v>
      </c>
      <c r="R309">
        <f t="shared" si="84"/>
        <v>112.03346938775509</v>
      </c>
      <c r="S309">
        <f t="shared" si="84"/>
        <v>92.262857142857129</v>
      </c>
      <c r="T309">
        <f t="shared" si="84"/>
        <v>154.06530612244867</v>
      </c>
      <c r="U309">
        <f t="shared" si="84"/>
        <v>132.39795918367346</v>
      </c>
      <c r="V309">
        <f t="shared" si="84"/>
        <v>107.42857142857143</v>
      </c>
      <c r="W309">
        <f t="shared" si="84"/>
        <v>126.7257142857143</v>
      </c>
      <c r="Y309" s="6">
        <f t="shared" si="64"/>
        <v>1865.9889030612239</v>
      </c>
      <c r="Z309">
        <f t="shared" si="65"/>
        <v>-638.05281275310585</v>
      </c>
    </row>
    <row r="310" spans="1:26" x14ac:dyDescent="0.25">
      <c r="A310" t="s">
        <v>63</v>
      </c>
      <c r="D310">
        <f t="shared" ref="D310:W310" si="85">D22*D94</f>
        <v>145.20000000000002</v>
      </c>
      <c r="E310">
        <f t="shared" si="85"/>
        <v>127.95428571428572</v>
      </c>
      <c r="F310">
        <f t="shared" si="85"/>
        <v>122.94489795918366</v>
      </c>
      <c r="G310">
        <f t="shared" si="85"/>
        <v>121.17714285714283</v>
      </c>
      <c r="H310">
        <f t="shared" si="85"/>
        <v>115.15428571428572</v>
      </c>
      <c r="I310">
        <f t="shared" si="85"/>
        <v>87.405102040816331</v>
      </c>
      <c r="J310">
        <f t="shared" si="85"/>
        <v>77.844897959183683</v>
      </c>
      <c r="K310">
        <f t="shared" si="85"/>
        <v>77.891428571428563</v>
      </c>
      <c r="L310">
        <f t="shared" si="85"/>
        <v>76.764062500000009</v>
      </c>
      <c r="M310">
        <f t="shared" si="85"/>
        <v>87.98938775510203</v>
      </c>
      <c r="N310">
        <f t="shared" si="85"/>
        <v>78.643265306122444</v>
      </c>
      <c r="O310">
        <f t="shared" si="85"/>
        <v>101.11142857142858</v>
      </c>
      <c r="P310">
        <f t="shared" si="85"/>
        <v>68.791836734693888</v>
      </c>
      <c r="Q310">
        <f t="shared" si="85"/>
        <v>104.70204081632652</v>
      </c>
      <c r="R310">
        <f t="shared" si="85"/>
        <v>114.33346938775512</v>
      </c>
      <c r="S310">
        <f t="shared" si="85"/>
        <v>128.27428571428572</v>
      </c>
      <c r="T310">
        <f t="shared" si="85"/>
        <v>139.95142857142855</v>
      </c>
      <c r="U310">
        <f t="shared" si="85"/>
        <v>148.32979591836735</v>
      </c>
      <c r="V310">
        <f t="shared" si="85"/>
        <v>122.79183673469389</v>
      </c>
      <c r="W310">
        <f t="shared" si="85"/>
        <v>142.53061224489792</v>
      </c>
      <c r="Y310" s="6">
        <f t="shared" si="64"/>
        <v>2189.7854910714282</v>
      </c>
      <c r="Z310">
        <f t="shared" si="65"/>
        <v>-748.09723650360115</v>
      </c>
    </row>
    <row r="311" spans="1:26" x14ac:dyDescent="0.25">
      <c r="A311" t="s">
        <v>64</v>
      </c>
      <c r="D311">
        <f t="shared" ref="D311:W311" si="86">D23*D95</f>
        <v>158.66938775510206</v>
      </c>
      <c r="E311">
        <f t="shared" si="86"/>
        <v>138.63836734693879</v>
      </c>
      <c r="F311">
        <f t="shared" si="86"/>
        <v>136.21836734693875</v>
      </c>
      <c r="G311">
        <f t="shared" si="86"/>
        <v>127.08673469387755</v>
      </c>
      <c r="H311">
        <f t="shared" si="86"/>
        <v>110.38591836734695</v>
      </c>
      <c r="I311">
        <f t="shared" si="86"/>
        <v>102.6</v>
      </c>
      <c r="J311">
        <f t="shared" si="86"/>
        <v>95.071428571428555</v>
      </c>
      <c r="K311">
        <f t="shared" si="86"/>
        <v>105.05204081632654</v>
      </c>
      <c r="L311">
        <f t="shared" si="86"/>
        <v>101.91448979591837</v>
      </c>
      <c r="M311">
        <f t="shared" si="86"/>
        <v>78.979591836734699</v>
      </c>
      <c r="N311">
        <f t="shared" si="86"/>
        <v>73.417142857142849</v>
      </c>
      <c r="O311">
        <f t="shared" si="86"/>
        <v>85.369387755102039</v>
      </c>
      <c r="P311">
        <f t="shared" si="86"/>
        <v>84.45214285714286</v>
      </c>
      <c r="Q311">
        <f t="shared" si="86"/>
        <v>131.63265306122449</v>
      </c>
      <c r="R311">
        <f t="shared" si="86"/>
        <v>104.91142857142853</v>
      </c>
      <c r="S311">
        <f t="shared" si="86"/>
        <v>120.42</v>
      </c>
      <c r="T311">
        <f t="shared" si="86"/>
        <v>148.37877551020406</v>
      </c>
      <c r="U311">
        <f t="shared" si="86"/>
        <v>137.07673469387754</v>
      </c>
      <c r="V311">
        <f t="shared" si="86"/>
        <v>133.23428571428573</v>
      </c>
      <c r="W311">
        <f t="shared" si="86"/>
        <v>161.90816326530617</v>
      </c>
      <c r="Y311" s="6">
        <f t="shared" si="64"/>
        <v>2335.4170408163268</v>
      </c>
      <c r="Z311">
        <f t="shared" si="65"/>
        <v>-790.09194907468316</v>
      </c>
    </row>
    <row r="312" spans="1:26" x14ac:dyDescent="0.25">
      <c r="A312" t="s">
        <v>65</v>
      </c>
      <c r="D312">
        <f t="shared" ref="D312:W312" si="87">D24*D96</f>
        <v>149.76000000000002</v>
      </c>
      <c r="E312">
        <f t="shared" si="87"/>
        <v>153.43489795918364</v>
      </c>
      <c r="F312">
        <f t="shared" si="87"/>
        <v>124.74489795918367</v>
      </c>
      <c r="G312">
        <f t="shared" si="87"/>
        <v>103.66734693877552</v>
      </c>
      <c r="H312">
        <f t="shared" si="87"/>
        <v>110.71428571428574</v>
      </c>
      <c r="I312">
        <f t="shared" si="87"/>
        <v>79.777551020408168</v>
      </c>
      <c r="J312">
        <f t="shared" si="87"/>
        <v>89.284489795918375</v>
      </c>
      <c r="K312">
        <f t="shared" si="87"/>
        <v>89.734285714285733</v>
      </c>
      <c r="L312">
        <f t="shared" si="87"/>
        <v>78.189375000000013</v>
      </c>
      <c r="M312">
        <f t="shared" si="87"/>
        <v>72.661224489795913</v>
      </c>
      <c r="N312">
        <f t="shared" si="87"/>
        <v>80.771428571428572</v>
      </c>
      <c r="O312">
        <f t="shared" si="87"/>
        <v>73.787755102040805</v>
      </c>
      <c r="P312">
        <f t="shared" si="87"/>
        <v>56.396938775510193</v>
      </c>
      <c r="Q312">
        <f t="shared" si="87"/>
        <v>47.816326530612251</v>
      </c>
      <c r="R312">
        <f t="shared" si="87"/>
        <v>46.70897959183673</v>
      </c>
      <c r="S312">
        <f t="shared" si="87"/>
        <v>72.652448979591824</v>
      </c>
      <c r="T312">
        <f t="shared" si="87"/>
        <v>103.68571428571427</v>
      </c>
      <c r="U312">
        <f t="shared" si="87"/>
        <v>111.31624999999998</v>
      </c>
      <c r="V312">
        <f t="shared" si="87"/>
        <v>125.67795918367348</v>
      </c>
      <c r="W312">
        <f t="shared" si="87"/>
        <v>131.24571428571429</v>
      </c>
      <c r="Y312" s="6">
        <f t="shared" si="64"/>
        <v>1902.0278698979591</v>
      </c>
      <c r="Z312">
        <f t="shared" si="65"/>
        <v>-653.14124374854032</v>
      </c>
    </row>
    <row r="313" spans="1:26" x14ac:dyDescent="0.25">
      <c r="A313" t="s">
        <v>66</v>
      </c>
      <c r="D313">
        <f t="shared" ref="D313:W313" si="88">D25*D97</f>
        <v>169.53469387755106</v>
      </c>
      <c r="E313">
        <f t="shared" si="88"/>
        <v>150.14306122448977</v>
      </c>
      <c r="F313">
        <f t="shared" si="88"/>
        <v>120.68571428571428</v>
      </c>
      <c r="G313">
        <f t="shared" si="88"/>
        <v>95.108571428571423</v>
      </c>
      <c r="H313">
        <f t="shared" si="88"/>
        <v>88.324081632653062</v>
      </c>
      <c r="I313">
        <f t="shared" si="88"/>
        <v>132.63061224489795</v>
      </c>
      <c r="J313">
        <f t="shared" si="88"/>
        <v>117.56938775510203</v>
      </c>
      <c r="K313">
        <f t="shared" si="88"/>
        <v>146.38</v>
      </c>
      <c r="L313">
        <f t="shared" si="88"/>
        <v>1.4157812500000009</v>
      </c>
      <c r="M313">
        <f t="shared" si="88"/>
        <v>79.078775510204082</v>
      </c>
      <c r="N313">
        <f t="shared" si="88"/>
        <v>98.088163265306122</v>
      </c>
      <c r="O313">
        <f t="shared" si="88"/>
        <v>58.563265306122446</v>
      </c>
      <c r="P313">
        <f t="shared" si="88"/>
        <v>69.457551020408175</v>
      </c>
      <c r="Q313">
        <f t="shared" si="88"/>
        <v>93.962448979591855</v>
      </c>
      <c r="R313">
        <f t="shared" si="88"/>
        <v>110.71183673469389</v>
      </c>
      <c r="S313">
        <f t="shared" si="88"/>
        <v>129.90938775510205</v>
      </c>
      <c r="T313">
        <f t="shared" si="88"/>
        <v>121.30102040816327</v>
      </c>
      <c r="U313">
        <f t="shared" si="88"/>
        <v>152.12142857142857</v>
      </c>
      <c r="V313">
        <f t="shared" si="88"/>
        <v>139.05306122448977</v>
      </c>
      <c r="W313">
        <f t="shared" si="88"/>
        <v>140.46163265306123</v>
      </c>
      <c r="Y313" s="6">
        <f t="shared" si="64"/>
        <v>2214.5004751275515</v>
      </c>
      <c r="Z313">
        <f t="shared" si="65"/>
        <v>-786.74652548481367</v>
      </c>
    </row>
    <row r="314" spans="1:26" x14ac:dyDescent="0.25">
      <c r="A314" t="s">
        <v>67</v>
      </c>
      <c r="D314">
        <f t="shared" ref="D314:W314" si="89">D26*D98</f>
        <v>144.3128571428571</v>
      </c>
      <c r="E314">
        <f t="shared" si="89"/>
        <v>122.39285714285717</v>
      </c>
      <c r="F314">
        <f t="shared" si="89"/>
        <v>73.920000000000016</v>
      </c>
      <c r="G314">
        <f t="shared" si="89"/>
        <v>78.448775510204072</v>
      </c>
      <c r="H314">
        <f t="shared" si="89"/>
        <v>81.860204081632645</v>
      </c>
      <c r="I314">
        <f t="shared" si="89"/>
        <v>70.636734693877543</v>
      </c>
      <c r="J314">
        <f t="shared" si="89"/>
        <v>45.652244897959179</v>
      </c>
      <c r="K314">
        <f t="shared" si="89"/>
        <v>69.882857142857148</v>
      </c>
      <c r="L314">
        <f t="shared" si="89"/>
        <v>55.264687500000008</v>
      </c>
      <c r="M314">
        <f t="shared" si="89"/>
        <v>78.503662867744509</v>
      </c>
      <c r="N314">
        <f t="shared" si="89"/>
        <v>80.29292075271664</v>
      </c>
      <c r="O314">
        <f t="shared" si="89"/>
        <v>83.287564272462234</v>
      </c>
      <c r="P314">
        <f t="shared" si="89"/>
        <v>75.31442857142855</v>
      </c>
      <c r="Q314">
        <f t="shared" si="89"/>
        <v>89.09799628942487</v>
      </c>
      <c r="R314">
        <f t="shared" si="89"/>
        <v>96.804002120328647</v>
      </c>
      <c r="S314">
        <f t="shared" si="89"/>
        <v>109.8068592631858</v>
      </c>
      <c r="T314">
        <f t="shared" si="89"/>
        <v>131.47276437847864</v>
      </c>
      <c r="U314">
        <f t="shared" si="89"/>
        <v>138.51251921547839</v>
      </c>
      <c r="V314">
        <f t="shared" si="89"/>
        <v>153.6204081632653</v>
      </c>
      <c r="W314">
        <f t="shared" si="89"/>
        <v>174.82734693877555</v>
      </c>
      <c r="Y314" s="6">
        <f t="shared" si="64"/>
        <v>1953.9116909455336</v>
      </c>
      <c r="Z314">
        <f t="shared" si="65"/>
        <v>-685.06654084981596</v>
      </c>
    </row>
    <row r="315" spans="1:26" x14ac:dyDescent="0.25">
      <c r="A315" t="s">
        <v>68</v>
      </c>
      <c r="D315">
        <f t="shared" ref="D315:W315" si="90">D27*D99</f>
        <v>151.36836734693881</v>
      </c>
      <c r="E315">
        <f t="shared" si="90"/>
        <v>167.68163265306123</v>
      </c>
      <c r="F315">
        <f t="shared" si="90"/>
        <v>109.65306122448979</v>
      </c>
      <c r="G315">
        <f t="shared" si="90"/>
        <v>101.43428571428569</v>
      </c>
      <c r="H315">
        <f t="shared" si="90"/>
        <v>80.189999999999984</v>
      </c>
      <c r="I315">
        <f t="shared" si="90"/>
        <v>93.952040816326516</v>
      </c>
      <c r="J315">
        <f t="shared" si="90"/>
        <v>71.257142857142867</v>
      </c>
      <c r="K315">
        <f t="shared" si="90"/>
        <v>84.635714285714272</v>
      </c>
      <c r="L315">
        <f t="shared" si="90"/>
        <v>86.000000000000014</v>
      </c>
      <c r="M315">
        <f t="shared" si="90"/>
        <v>48.256734693877547</v>
      </c>
      <c r="N315">
        <f t="shared" si="90"/>
        <v>71.454693877550994</v>
      </c>
      <c r="O315">
        <f t="shared" si="90"/>
        <v>73.142857142857139</v>
      </c>
      <c r="P315">
        <f t="shared" si="90"/>
        <v>91.594693877551009</v>
      </c>
      <c r="Q315">
        <f t="shared" si="90"/>
        <v>100.93591836734697</v>
      </c>
      <c r="R315">
        <f t="shared" si="90"/>
        <v>115.25877551020409</v>
      </c>
      <c r="S315">
        <f t="shared" si="90"/>
        <v>117.82</v>
      </c>
      <c r="T315">
        <f t="shared" si="90"/>
        <v>114.50857142857141</v>
      </c>
      <c r="U315">
        <f t="shared" si="90"/>
        <v>138.69714285714284</v>
      </c>
      <c r="V315">
        <f t="shared" si="90"/>
        <v>139.19591836734696</v>
      </c>
      <c r="W315">
        <f t="shared" si="90"/>
        <v>160.30448979591836</v>
      </c>
      <c r="Y315" s="6">
        <f t="shared" si="64"/>
        <v>2117.3420408163265</v>
      </c>
      <c r="Z315">
        <f t="shared" si="65"/>
        <v>-721.09668883581435</v>
      </c>
    </row>
    <row r="316" spans="1:26" x14ac:dyDescent="0.25">
      <c r="A316" t="s">
        <v>69</v>
      </c>
      <c r="D316">
        <f t="shared" ref="D316:W316" si="91">D28*D100</f>
        <v>81.471020408163255</v>
      </c>
      <c r="E316">
        <f t="shared" si="91"/>
        <v>72.800816326530608</v>
      </c>
      <c r="F316">
        <f t="shared" si="91"/>
        <v>64.573469387755097</v>
      </c>
      <c r="G316">
        <f t="shared" si="91"/>
        <v>50.220000000000006</v>
      </c>
      <c r="H316">
        <f t="shared" si="91"/>
        <v>48.34591836734694</v>
      </c>
      <c r="I316">
        <f t="shared" si="91"/>
        <v>34.938775510204088</v>
      </c>
      <c r="J316">
        <f t="shared" si="91"/>
        <v>11.509795918367349</v>
      </c>
      <c r="K316">
        <f t="shared" si="91"/>
        <v>10.421224489795916</v>
      </c>
      <c r="L316">
        <f t="shared" si="91"/>
        <v>45.318055555555553</v>
      </c>
      <c r="M316">
        <f t="shared" si="91"/>
        <v>71.35605997501041</v>
      </c>
      <c r="N316">
        <f t="shared" si="91"/>
        <v>76.001632653061208</v>
      </c>
      <c r="O316">
        <f t="shared" si="91"/>
        <v>74.9484381507705</v>
      </c>
      <c r="P316">
        <f t="shared" si="91"/>
        <v>72.563914374520238</v>
      </c>
      <c r="Q316">
        <f t="shared" si="91"/>
        <v>89.574193672746574</v>
      </c>
      <c r="R316">
        <f t="shared" si="91"/>
        <v>58.184693877551027</v>
      </c>
      <c r="S316">
        <f t="shared" si="91"/>
        <v>102.86285714285714</v>
      </c>
      <c r="T316">
        <f t="shared" si="91"/>
        <v>112.43673469387754</v>
      </c>
      <c r="U316">
        <f t="shared" si="91"/>
        <v>119.94489795918368</v>
      </c>
      <c r="V316">
        <f t="shared" si="91"/>
        <v>110.62653061224491</v>
      </c>
      <c r="W316">
        <f t="shared" si="91"/>
        <v>118.04122448979594</v>
      </c>
      <c r="Y316" s="6">
        <f t="shared" si="64"/>
        <v>1426.1402535653378</v>
      </c>
      <c r="Z316">
        <f t="shared" si="65"/>
        <v>-499.27276550496225</v>
      </c>
    </row>
    <row r="317" spans="1:26" x14ac:dyDescent="0.25">
      <c r="Y317" s="6"/>
    </row>
    <row r="318" spans="1:26" x14ac:dyDescent="0.25">
      <c r="A318" t="s">
        <v>70</v>
      </c>
      <c r="D318">
        <f t="shared" ref="D318:W318" si="92">D30*D102</f>
        <v>130.46448979591841</v>
      </c>
      <c r="E318">
        <f t="shared" si="92"/>
        <v>113.61673469387756</v>
      </c>
      <c r="F318">
        <f t="shared" si="92"/>
        <v>138.29551020408161</v>
      </c>
      <c r="G318">
        <f t="shared" si="92"/>
        <v>122.06999999999998</v>
      </c>
      <c r="H318">
        <f t="shared" si="92"/>
        <v>115.12163265306123</v>
      </c>
      <c r="I318">
        <f t="shared" si="92"/>
        <v>109.83795918367345</v>
      </c>
      <c r="J318">
        <f t="shared" si="92"/>
        <v>106.16326530612247</v>
      </c>
      <c r="K318">
        <f t="shared" si="92"/>
        <v>100.14734693877553</v>
      </c>
      <c r="L318">
        <f t="shared" si="92"/>
        <v>79.604999999999976</v>
      </c>
      <c r="M318">
        <f t="shared" si="92"/>
        <v>73.175614112232836</v>
      </c>
      <c r="N318">
        <f t="shared" si="92"/>
        <v>78.022302079711949</v>
      </c>
      <c r="O318">
        <f t="shared" si="92"/>
        <v>79.113365264473117</v>
      </c>
      <c r="P318">
        <f t="shared" si="92"/>
        <v>79.250969958281843</v>
      </c>
      <c r="Q318">
        <f t="shared" si="92"/>
        <v>100.54321470737055</v>
      </c>
      <c r="R318">
        <f t="shared" si="92"/>
        <v>96.027871554465932</v>
      </c>
      <c r="S318">
        <f t="shared" si="92"/>
        <v>109.95037702093823</v>
      </c>
      <c r="T318">
        <f t="shared" si="92"/>
        <v>101.34426716140992</v>
      </c>
      <c r="U318">
        <f t="shared" si="92"/>
        <v>149.25079214153095</v>
      </c>
      <c r="V318">
        <f t="shared" si="92"/>
        <v>114.29731186224483</v>
      </c>
      <c r="W318">
        <f t="shared" si="92"/>
        <v>160.90792410714289</v>
      </c>
      <c r="Y318" s="6">
        <f t="shared" si="64"/>
        <v>2157.2059487453134</v>
      </c>
      <c r="Z318">
        <f>SUMPRODUCT($D$322:$W$322,D318:W318)</f>
        <v>-734.21030716481914</v>
      </c>
    </row>
    <row r="319" spans="1:26" x14ac:dyDescent="0.25">
      <c r="A319" t="s">
        <v>313</v>
      </c>
      <c r="D319">
        <f t="shared" ref="D319:W319" si="93">D31*D103</f>
        <v>184.84285714285716</v>
      </c>
      <c r="E319">
        <f t="shared" si="93"/>
        <v>139.51755102040815</v>
      </c>
      <c r="F319">
        <f t="shared" si="93"/>
        <v>116.87367346938778</v>
      </c>
      <c r="G319">
        <f t="shared" si="93"/>
        <v>119.51122448979594</v>
      </c>
      <c r="H319">
        <f t="shared" si="93"/>
        <v>134.48979591836735</v>
      </c>
      <c r="I319">
        <f t="shared" si="93"/>
        <v>124.21428571428571</v>
      </c>
      <c r="J319">
        <f t="shared" si="93"/>
        <v>108.94285714285716</v>
      </c>
      <c r="K319">
        <f t="shared" si="93"/>
        <v>36.440816326530616</v>
      </c>
      <c r="L319">
        <f t="shared" si="93"/>
        <v>71.611406250000016</v>
      </c>
      <c r="M319">
        <f t="shared" si="93"/>
        <v>78.252857142857124</v>
      </c>
      <c r="N319">
        <f t="shared" si="93"/>
        <v>65.753061224489798</v>
      </c>
      <c r="O319">
        <f t="shared" si="93"/>
        <v>68.8</v>
      </c>
      <c r="P319">
        <f t="shared" si="93"/>
        <v>84.48</v>
      </c>
      <c r="Q319">
        <f t="shared" si="93"/>
        <v>80.850000000000009</v>
      </c>
      <c r="R319">
        <f t="shared" si="93"/>
        <v>102.11999999999999</v>
      </c>
      <c r="S319">
        <f t="shared" si="93"/>
        <v>62.04</v>
      </c>
      <c r="T319">
        <f t="shared" si="93"/>
        <v>110.55</v>
      </c>
      <c r="U319">
        <f t="shared" si="93"/>
        <v>125.136</v>
      </c>
      <c r="V319">
        <f t="shared" si="93"/>
        <v>101.80400000000002</v>
      </c>
      <c r="W319">
        <f t="shared" si="93"/>
        <v>119.73000000000002</v>
      </c>
      <c r="Y319" s="6">
        <f t="shared" si="64"/>
        <v>2035.9603858418366</v>
      </c>
      <c r="Z319">
        <f>SUMPRODUCT($D$322:$W$322,D319:W319)</f>
        <v>-678.42823862317459</v>
      </c>
    </row>
    <row r="320" spans="1:26" x14ac:dyDescent="0.25">
      <c r="A320" t="s">
        <v>314</v>
      </c>
      <c r="D320">
        <f t="shared" ref="D320:W320" si="94">D32*D104</f>
        <v>92.122448979591823</v>
      </c>
      <c r="E320">
        <f t="shared" si="94"/>
        <v>148.85</v>
      </c>
      <c r="F320">
        <f t="shared" si="94"/>
        <v>106.14591836734694</v>
      </c>
      <c r="G320">
        <f t="shared" si="94"/>
        <v>128.94387755102039</v>
      </c>
      <c r="H320">
        <f t="shared" si="94"/>
        <v>127.4795918367347</v>
      </c>
      <c r="I320">
        <f t="shared" si="94"/>
        <v>107.88571428571429</v>
      </c>
      <c r="J320">
        <f t="shared" si="94"/>
        <v>72.79285714285713</v>
      </c>
      <c r="K320">
        <f t="shared" si="94"/>
        <v>83.43</v>
      </c>
      <c r="L320">
        <f t="shared" si="94"/>
        <v>73.920000000000016</v>
      </c>
      <c r="M320">
        <f t="shared" si="94"/>
        <v>73.8</v>
      </c>
      <c r="N320">
        <f t="shared" si="94"/>
        <v>73.099999999999994</v>
      </c>
      <c r="O320">
        <f t="shared" si="94"/>
        <v>78.719999999999985</v>
      </c>
      <c r="P320">
        <f t="shared" si="94"/>
        <v>76.750860565871349</v>
      </c>
      <c r="Q320">
        <f t="shared" si="94"/>
        <v>86.19507354456934</v>
      </c>
      <c r="R320">
        <f t="shared" si="94"/>
        <v>96.115413022351788</v>
      </c>
      <c r="S320">
        <f t="shared" si="94"/>
        <v>106.81113782309464</v>
      </c>
      <c r="T320">
        <f t="shared" si="94"/>
        <v>130.28994033977224</v>
      </c>
      <c r="U320">
        <f t="shared" si="94"/>
        <v>134.51682775274608</v>
      </c>
      <c r="V320">
        <f t="shared" si="94"/>
        <v>132.5181379218354</v>
      </c>
      <c r="W320">
        <f t="shared" si="94"/>
        <v>145.18741096438575</v>
      </c>
      <c r="Y320" s="6">
        <f t="shared" si="64"/>
        <v>2075.5752100978921</v>
      </c>
      <c r="Z320">
        <f>SUMPRODUCT($D$322:$W$322,D320:W320)</f>
        <v>-707.26470439259629</v>
      </c>
    </row>
    <row r="321" spans="1:26" x14ac:dyDescent="0.25">
      <c r="A321" t="s">
        <v>658</v>
      </c>
      <c r="D321">
        <f t="shared" ref="D321:W321" si="95">D33*D105</f>
        <v>172.72571428571428</v>
      </c>
      <c r="E321">
        <f t="shared" si="95"/>
        <v>149.87428571428572</v>
      </c>
      <c r="F321">
        <f t="shared" si="95"/>
        <v>149.65469387755101</v>
      </c>
      <c r="G321">
        <f t="shared" si="95"/>
        <v>133.1465306122449</v>
      </c>
      <c r="H321">
        <f t="shared" si="95"/>
        <v>90.257142857142867</v>
      </c>
      <c r="I321">
        <f t="shared" si="95"/>
        <v>82.410000000000011</v>
      </c>
      <c r="J321">
        <f t="shared" si="95"/>
        <v>80.395714285714291</v>
      </c>
      <c r="K321">
        <f t="shared" si="95"/>
        <v>78.193428571428583</v>
      </c>
      <c r="L321">
        <f t="shared" si="95"/>
        <v>61.681343253968258</v>
      </c>
      <c r="M321">
        <f t="shared" si="95"/>
        <v>74.746460641399452</v>
      </c>
      <c r="N321">
        <f t="shared" si="95"/>
        <v>77.190000000000012</v>
      </c>
      <c r="O321">
        <f t="shared" si="95"/>
        <v>79.790000000000006</v>
      </c>
      <c r="P321">
        <f t="shared" si="95"/>
        <v>77.37624256559765</v>
      </c>
      <c r="Q321">
        <f t="shared" si="95"/>
        <v>96.844827988338196</v>
      </c>
      <c r="R321">
        <f t="shared" si="95"/>
        <v>96.994655004859069</v>
      </c>
      <c r="S321">
        <f t="shared" si="95"/>
        <v>109.51135082604469</v>
      </c>
      <c r="T321">
        <f t="shared" si="95"/>
        <v>127.20940561224486</v>
      </c>
      <c r="U321">
        <f t="shared" si="95"/>
        <v>134.94635955721571</v>
      </c>
      <c r="V321">
        <f t="shared" si="95"/>
        <v>132.46695918367351</v>
      </c>
      <c r="W321">
        <f t="shared" si="95"/>
        <v>145.6515612244898</v>
      </c>
      <c r="Y321" s="6">
        <f t="shared" ref="Y321" si="96">SUM(D321:W321)</f>
        <v>2151.0666760619133</v>
      </c>
      <c r="Z321">
        <f>SUMPRODUCT($D$322:$W$322,D321:W321)</f>
        <v>-730.83757292480823</v>
      </c>
    </row>
    <row r="322" spans="1:26" x14ac:dyDescent="0.25">
      <c r="A322" s="2" t="s">
        <v>71</v>
      </c>
      <c r="D322" s="3">
        <f>CORREL($B$2:$B$28,D290:D316)</f>
        <v>-0.41399199239620682</v>
      </c>
      <c r="E322" s="3">
        <f t="shared" ref="E322:W322" si="97">CORREL($B$2:$B$28,E290:E316)</f>
        <v>-0.21850658148629437</v>
      </c>
      <c r="F322" s="3">
        <f t="shared" si="97"/>
        <v>-0.11387924593497202</v>
      </c>
      <c r="G322" s="3">
        <f t="shared" si="97"/>
        <v>-0.34532592381326238</v>
      </c>
      <c r="H322" s="3">
        <f t="shared" si="97"/>
        <v>-0.33712941618681136</v>
      </c>
      <c r="I322" s="3">
        <f t="shared" si="97"/>
        <v>-0.3375745902786394</v>
      </c>
      <c r="J322" s="3">
        <f t="shared" si="97"/>
        <v>-0.37179064947923879</v>
      </c>
      <c r="K322" s="3">
        <f t="shared" si="97"/>
        <v>-0.45204926642177445</v>
      </c>
      <c r="L322" s="3">
        <f t="shared" si="97"/>
        <v>-0.18718663143177064</v>
      </c>
      <c r="M322" s="3">
        <f t="shared" si="97"/>
        <v>-0.14937154658846744</v>
      </c>
      <c r="N322" s="3">
        <f t="shared" si="97"/>
        <v>-0.6322131540230097</v>
      </c>
      <c r="O322" s="3">
        <f t="shared" si="97"/>
        <v>-0.35414148604721296</v>
      </c>
      <c r="P322" s="3">
        <f t="shared" si="97"/>
        <v>-0.21692741721349681</v>
      </c>
      <c r="Q322" s="3">
        <f t="shared" si="97"/>
        <v>-0.26202394227542281</v>
      </c>
      <c r="R322" s="3">
        <f t="shared" si="97"/>
        <v>-0.19483782534677058</v>
      </c>
      <c r="S322" s="3">
        <f t="shared" si="97"/>
        <v>-0.47213293589079591</v>
      </c>
      <c r="T322" s="3">
        <f t="shared" si="97"/>
        <v>-0.40493742107220132</v>
      </c>
      <c r="U322" s="3">
        <f t="shared" si="97"/>
        <v>-0.4893697732963736</v>
      </c>
      <c r="V322" s="3">
        <f t="shared" si="97"/>
        <v>-0.50197041149826749</v>
      </c>
      <c r="W322" s="3">
        <f t="shared" si="97"/>
        <v>-0.29864915885688192</v>
      </c>
      <c r="X322" s="3"/>
    </row>
    <row r="325" spans="1:26" x14ac:dyDescent="0.25">
      <c r="D325" t="s">
        <v>120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324</v>
      </c>
      <c r="M325" t="s">
        <v>370</v>
      </c>
      <c r="N325" t="s">
        <v>371</v>
      </c>
      <c r="O325" t="s">
        <v>372</v>
      </c>
      <c r="P325" t="s">
        <v>470</v>
      </c>
      <c r="Q325" t="s">
        <v>471</v>
      </c>
      <c r="R325" t="s">
        <v>472</v>
      </c>
      <c r="S325" t="s">
        <v>473</v>
      </c>
      <c r="T325" t="s">
        <v>582</v>
      </c>
      <c r="U325" t="s">
        <v>583</v>
      </c>
      <c r="V325" t="s">
        <v>584</v>
      </c>
      <c r="W325" t="s">
        <v>585</v>
      </c>
      <c r="Y325" t="s">
        <v>128</v>
      </c>
      <c r="Z325" t="s">
        <v>129</v>
      </c>
    </row>
    <row r="326" spans="1:26" x14ac:dyDescent="0.25">
      <c r="A326" t="s">
        <v>43</v>
      </c>
      <c r="D326">
        <f t="shared" ref="D326:W326" si="98">D2*D110</f>
        <v>651.95492553499457</v>
      </c>
      <c r="E326">
        <f t="shared" si="98"/>
        <v>696.78200666914552</v>
      </c>
      <c r="F326">
        <f t="shared" si="98"/>
        <v>589.89091367719527</v>
      </c>
      <c r="G326">
        <f t="shared" si="98"/>
        <v>679.03803674568371</v>
      </c>
      <c r="H326">
        <f t="shared" si="98"/>
        <v>650.38882105218875</v>
      </c>
      <c r="I326">
        <f t="shared" si="98"/>
        <v>643.40451240111042</v>
      </c>
      <c r="J326">
        <f t="shared" si="98"/>
        <v>673.89011695285387</v>
      </c>
      <c r="K326">
        <f t="shared" si="98"/>
        <v>724.45420658704654</v>
      </c>
      <c r="L326">
        <f t="shared" si="98"/>
        <v>621.87671937050584</v>
      </c>
      <c r="M326">
        <f t="shared" si="98"/>
        <v>452.05206597587892</v>
      </c>
      <c r="N326">
        <f t="shared" si="98"/>
        <v>480.64172703620699</v>
      </c>
      <c r="O326">
        <f t="shared" si="98"/>
        <v>700.16123200316497</v>
      </c>
      <c r="P326">
        <f t="shared" si="98"/>
        <v>595.88772741344974</v>
      </c>
      <c r="Q326">
        <f t="shared" si="98"/>
        <v>548.7049557803939</v>
      </c>
      <c r="R326">
        <f t="shared" si="98"/>
        <v>453.67523153134584</v>
      </c>
      <c r="S326">
        <f t="shared" si="98"/>
        <v>604.30864133087891</v>
      </c>
      <c r="T326">
        <f t="shared" si="98"/>
        <v>534.45713855795236</v>
      </c>
      <c r="U326">
        <f t="shared" si="98"/>
        <v>373.99198080783162</v>
      </c>
      <c r="V326">
        <f t="shared" si="98"/>
        <v>554.8410906226178</v>
      </c>
      <c r="W326">
        <f t="shared" si="98"/>
        <v>511.92155999924597</v>
      </c>
      <c r="Y326" s="6">
        <f t="shared" ref="Y326:Y356" si="99">SUM(D326:W326)</f>
        <v>11742.323610049694</v>
      </c>
      <c r="Z326">
        <f t="shared" ref="Z326:Z352" si="100">SUMPRODUCT($D$358:$W$358,D326:W326)</f>
        <v>965.81795418920137</v>
      </c>
    </row>
    <row r="327" spans="1:26" x14ac:dyDescent="0.25">
      <c r="A327" t="s">
        <v>44</v>
      </c>
      <c r="D327">
        <f t="shared" ref="D327:W327" si="101">D3*D111</f>
        <v>399.70309374662924</v>
      </c>
      <c r="E327">
        <f t="shared" si="101"/>
        <v>448.79859857618897</v>
      </c>
      <c r="F327">
        <f t="shared" si="101"/>
        <v>616.63070605340567</v>
      </c>
      <c r="G327">
        <f t="shared" si="101"/>
        <v>485.83742630854789</v>
      </c>
      <c r="H327">
        <f t="shared" si="101"/>
        <v>497.181496708319</v>
      </c>
      <c r="I327">
        <f t="shared" si="101"/>
        <v>520.08940061828628</v>
      </c>
      <c r="J327">
        <f t="shared" si="101"/>
        <v>582.84527722870746</v>
      </c>
      <c r="K327">
        <f t="shared" si="101"/>
        <v>389.76242429446927</v>
      </c>
      <c r="L327">
        <f t="shared" si="101"/>
        <v>616.32684509708088</v>
      </c>
      <c r="M327">
        <f t="shared" si="101"/>
        <v>576.12030869067621</v>
      </c>
      <c r="N327">
        <f t="shared" si="101"/>
        <v>745.32380114776322</v>
      </c>
      <c r="O327">
        <f t="shared" si="101"/>
        <v>669.78527562517172</v>
      </c>
      <c r="P327">
        <f t="shared" si="101"/>
        <v>615.57922525196966</v>
      </c>
      <c r="Q327">
        <f t="shared" si="101"/>
        <v>659.40083622974589</v>
      </c>
      <c r="R327">
        <f t="shared" si="101"/>
        <v>623.79669042762566</v>
      </c>
      <c r="S327">
        <f t="shared" si="101"/>
        <v>658.68378820700616</v>
      </c>
      <c r="T327">
        <f t="shared" si="101"/>
        <v>619.71435122647767</v>
      </c>
      <c r="U327">
        <f t="shared" si="101"/>
        <v>579.10544115032042</v>
      </c>
      <c r="V327">
        <f t="shared" si="101"/>
        <v>541.67697115968838</v>
      </c>
      <c r="W327">
        <f t="shared" si="101"/>
        <v>736.62257413162865</v>
      </c>
      <c r="Y327" s="6">
        <f t="shared" si="99"/>
        <v>11582.984531879707</v>
      </c>
      <c r="Z327">
        <f t="shared" si="100"/>
        <v>994.10370970908241</v>
      </c>
    </row>
    <row r="328" spans="1:26" x14ac:dyDescent="0.25">
      <c r="A328" t="s">
        <v>45</v>
      </c>
      <c r="D328">
        <f t="shared" ref="D328:W328" si="102">D4*D112</f>
        <v>426.19279130599654</v>
      </c>
      <c r="E328">
        <f t="shared" si="102"/>
        <v>379.0173079714433</v>
      </c>
      <c r="F328">
        <f t="shared" si="102"/>
        <v>354.67527417489549</v>
      </c>
      <c r="G328">
        <f t="shared" si="102"/>
        <v>535.42799914818011</v>
      </c>
      <c r="H328">
        <f t="shared" si="102"/>
        <v>597.96131845590958</v>
      </c>
      <c r="I328">
        <f t="shared" si="102"/>
        <v>462.97374781155975</v>
      </c>
      <c r="J328">
        <f t="shared" si="102"/>
        <v>501.52644335598126</v>
      </c>
      <c r="K328">
        <f t="shared" si="102"/>
        <v>679.60697705472876</v>
      </c>
      <c r="L328">
        <f t="shared" si="102"/>
        <v>617.33836359556631</v>
      </c>
      <c r="M328">
        <f t="shared" si="102"/>
        <v>492.78548064268062</v>
      </c>
      <c r="N328">
        <f t="shared" si="102"/>
        <v>544.20497244938269</v>
      </c>
      <c r="O328">
        <f t="shared" si="102"/>
        <v>539.33528827396299</v>
      </c>
      <c r="P328">
        <f t="shared" si="102"/>
        <v>513.30603031705925</v>
      </c>
      <c r="Q328">
        <f t="shared" si="102"/>
        <v>395.34322260616239</v>
      </c>
      <c r="R328">
        <f t="shared" si="102"/>
        <v>630.86007055356924</v>
      </c>
      <c r="S328">
        <f t="shared" si="102"/>
        <v>482.56432747615634</v>
      </c>
      <c r="T328">
        <f t="shared" si="102"/>
        <v>512.08424189958441</v>
      </c>
      <c r="U328">
        <f t="shared" si="102"/>
        <v>613.80882581289632</v>
      </c>
      <c r="V328">
        <f t="shared" si="102"/>
        <v>641.22911826138443</v>
      </c>
      <c r="W328">
        <f t="shared" si="102"/>
        <v>667.64039251109523</v>
      </c>
      <c r="Y328" s="6">
        <f t="shared" si="99"/>
        <v>10587.882193678195</v>
      </c>
      <c r="Z328">
        <f t="shared" si="100"/>
        <v>794.8151299167406</v>
      </c>
    </row>
    <row r="329" spans="1:26" x14ac:dyDescent="0.25">
      <c r="A329" t="s">
        <v>46</v>
      </c>
      <c r="D329">
        <f t="shared" ref="D329:W329" si="103">D5*D113</f>
        <v>594.20565914517749</v>
      </c>
      <c r="E329">
        <f t="shared" si="103"/>
        <v>538.64582313705807</v>
      </c>
      <c r="F329">
        <f t="shared" si="103"/>
        <v>574.65731008854948</v>
      </c>
      <c r="G329">
        <f t="shared" si="103"/>
        <v>531.22755054928166</v>
      </c>
      <c r="H329">
        <f t="shared" si="103"/>
        <v>504.11694144986245</v>
      </c>
      <c r="I329">
        <f t="shared" si="103"/>
        <v>633.03578284373623</v>
      </c>
      <c r="J329">
        <f t="shared" si="103"/>
        <v>593.28637073384232</v>
      </c>
      <c r="K329">
        <f t="shared" si="103"/>
        <v>703.5950795398137</v>
      </c>
      <c r="L329">
        <f t="shared" si="103"/>
        <v>695.3954216272848</v>
      </c>
      <c r="M329">
        <f t="shared" si="103"/>
        <v>627.32962149872367</v>
      </c>
      <c r="N329">
        <f t="shared" si="103"/>
        <v>715.99284926602138</v>
      </c>
      <c r="O329">
        <f t="shared" si="103"/>
        <v>665.44018312925004</v>
      </c>
      <c r="P329">
        <f t="shared" si="103"/>
        <v>612.24900619832272</v>
      </c>
      <c r="Q329">
        <f t="shared" si="103"/>
        <v>714.98285068485347</v>
      </c>
      <c r="R329">
        <f t="shared" si="103"/>
        <v>576.86795556191169</v>
      </c>
      <c r="S329">
        <f t="shared" si="103"/>
        <v>729.10549762382766</v>
      </c>
      <c r="T329">
        <f t="shared" si="103"/>
        <v>619.44968903590313</v>
      </c>
      <c r="U329">
        <f t="shared" si="103"/>
        <v>655.78518338951596</v>
      </c>
      <c r="V329">
        <f t="shared" si="103"/>
        <v>461.42261266299755</v>
      </c>
      <c r="W329">
        <f t="shared" si="103"/>
        <v>477.11513857634083</v>
      </c>
      <c r="Y329" s="6">
        <f t="shared" si="99"/>
        <v>12223.906526742274</v>
      </c>
      <c r="Z329">
        <f t="shared" si="100"/>
        <v>1036.9416895004456</v>
      </c>
    </row>
    <row r="330" spans="1:26" x14ac:dyDescent="0.25">
      <c r="A330" t="s">
        <v>47</v>
      </c>
      <c r="D330">
        <f t="shared" ref="D330:W330" si="104">D6*D114</f>
        <v>625.73541348938647</v>
      </c>
      <c r="E330">
        <f t="shared" si="104"/>
        <v>591.86640541672693</v>
      </c>
      <c r="F330">
        <f t="shared" si="104"/>
        <v>562.75861807922968</v>
      </c>
      <c r="G330">
        <f t="shared" si="104"/>
        <v>722.57028413363071</v>
      </c>
      <c r="H330">
        <f t="shared" si="104"/>
        <v>458.15036579942716</v>
      </c>
      <c r="I330">
        <f t="shared" si="104"/>
        <v>705.36532908034201</v>
      </c>
      <c r="J330">
        <f t="shared" si="104"/>
        <v>657.50405373189551</v>
      </c>
      <c r="K330">
        <f t="shared" si="104"/>
        <v>720.336834046013</v>
      </c>
      <c r="L330">
        <f t="shared" si="104"/>
        <v>765.92795604309879</v>
      </c>
      <c r="M330">
        <f t="shared" si="104"/>
        <v>710.78004947125567</v>
      </c>
      <c r="N330">
        <f t="shared" si="104"/>
        <v>721.49845457159222</v>
      </c>
      <c r="O330">
        <f t="shared" si="104"/>
        <v>727.21603392826478</v>
      </c>
      <c r="P330">
        <f t="shared" si="104"/>
        <v>784.89208169946642</v>
      </c>
      <c r="Q330">
        <f t="shared" si="104"/>
        <v>508.26916814847607</v>
      </c>
      <c r="R330">
        <f t="shared" si="104"/>
        <v>452.39253045342741</v>
      </c>
      <c r="S330">
        <f t="shared" si="104"/>
        <v>473.88860680043888</v>
      </c>
      <c r="T330">
        <f t="shared" si="104"/>
        <v>891.52209383489389</v>
      </c>
      <c r="U330">
        <f t="shared" si="104"/>
        <v>677.21181892675497</v>
      </c>
      <c r="V330">
        <f t="shared" si="104"/>
        <v>879.76123220492411</v>
      </c>
      <c r="W330">
        <f t="shared" si="104"/>
        <v>817.55295385127295</v>
      </c>
      <c r="Y330" s="6">
        <f t="shared" si="99"/>
        <v>13455.200283710517</v>
      </c>
      <c r="Z330">
        <f t="shared" si="100"/>
        <v>1190.7030539009647</v>
      </c>
    </row>
    <row r="331" spans="1:26" x14ac:dyDescent="0.25">
      <c r="A331" t="s">
        <v>48</v>
      </c>
      <c r="D331">
        <f t="shared" ref="D331:W331" si="105">D7*D115</f>
        <v>726.13393207741206</v>
      </c>
      <c r="E331">
        <f t="shared" si="105"/>
        <v>816.27124822378585</v>
      </c>
      <c r="F331">
        <f t="shared" si="105"/>
        <v>820.01619569974787</v>
      </c>
      <c r="G331">
        <f t="shared" si="105"/>
        <v>798.11090072383195</v>
      </c>
      <c r="H331">
        <f t="shared" si="105"/>
        <v>883.85199809337416</v>
      </c>
      <c r="I331">
        <f t="shared" si="105"/>
        <v>766.50605637186368</v>
      </c>
      <c r="J331">
        <f t="shared" si="105"/>
        <v>878.17758008878343</v>
      </c>
      <c r="K331">
        <f t="shared" si="105"/>
        <v>917.49369641163048</v>
      </c>
      <c r="L331">
        <f t="shared" si="105"/>
        <v>763.94879565478197</v>
      </c>
      <c r="M331">
        <f t="shared" si="105"/>
        <v>604.24339669429935</v>
      </c>
      <c r="N331">
        <f t="shared" si="105"/>
        <v>625.7628971261995</v>
      </c>
      <c r="O331">
        <f t="shared" si="105"/>
        <v>583.16337334841774</v>
      </c>
      <c r="P331">
        <f t="shared" si="105"/>
        <v>821.19779724702778</v>
      </c>
      <c r="Q331">
        <f t="shared" si="105"/>
        <v>945.84978531361571</v>
      </c>
      <c r="R331">
        <f t="shared" si="105"/>
        <v>665.94631024594969</v>
      </c>
      <c r="S331">
        <f t="shared" si="105"/>
        <v>440.16845310049519</v>
      </c>
      <c r="T331">
        <f t="shared" si="105"/>
        <v>448.00824962331319</v>
      </c>
      <c r="U331">
        <f t="shared" si="105"/>
        <v>526.58457704597799</v>
      </c>
      <c r="V331">
        <f t="shared" si="105"/>
        <v>580.58874264404642</v>
      </c>
      <c r="W331">
        <f t="shared" si="105"/>
        <v>563.28190174439146</v>
      </c>
      <c r="Y331" s="6">
        <f t="shared" si="99"/>
        <v>14175.305887478948</v>
      </c>
      <c r="Z331">
        <f t="shared" si="100"/>
        <v>993.6769718038463</v>
      </c>
    </row>
    <row r="332" spans="1:26" x14ac:dyDescent="0.25">
      <c r="A332" t="s">
        <v>49</v>
      </c>
      <c r="D332">
        <f t="shared" ref="D332:W332" si="106">D8*D116</f>
        <v>528.99493068059269</v>
      </c>
      <c r="E332">
        <f t="shared" si="106"/>
        <v>619.80574039758369</v>
      </c>
      <c r="F332">
        <f t="shared" si="106"/>
        <v>666.84792348087478</v>
      </c>
      <c r="G332">
        <f t="shared" si="106"/>
        <v>642.761290173828</v>
      </c>
      <c r="H332">
        <f t="shared" si="106"/>
        <v>629.72162409853865</v>
      </c>
      <c r="I332">
        <f t="shared" si="106"/>
        <v>671.89344382663103</v>
      </c>
      <c r="J332">
        <f t="shared" si="106"/>
        <v>705.47269929502636</v>
      </c>
      <c r="K332">
        <f t="shared" si="106"/>
        <v>684.87280476973081</v>
      </c>
      <c r="L332">
        <f t="shared" si="106"/>
        <v>714.44019158302717</v>
      </c>
      <c r="M332">
        <f t="shared" si="106"/>
        <v>696.18550517636083</v>
      </c>
      <c r="N332">
        <f t="shared" si="106"/>
        <v>679.67434237732255</v>
      </c>
      <c r="O332">
        <f t="shared" si="106"/>
        <v>650.6110660097213</v>
      </c>
      <c r="P332">
        <f t="shared" si="106"/>
        <v>709.9568947189681</v>
      </c>
      <c r="Q332">
        <f t="shared" si="106"/>
        <v>541.91419119157001</v>
      </c>
      <c r="R332">
        <f t="shared" si="106"/>
        <v>807.49622169558688</v>
      </c>
      <c r="S332">
        <f t="shared" si="106"/>
        <v>749.91391683310485</v>
      </c>
      <c r="T332">
        <f t="shared" si="106"/>
        <v>661.11973828651242</v>
      </c>
      <c r="U332">
        <f t="shared" si="106"/>
        <v>674.81074467975111</v>
      </c>
      <c r="V332">
        <f t="shared" si="106"/>
        <v>723.22608399756518</v>
      </c>
      <c r="W332">
        <f t="shared" si="106"/>
        <v>561.96753134398182</v>
      </c>
      <c r="Y332" s="6">
        <f t="shared" si="99"/>
        <v>13321.686884616278</v>
      </c>
      <c r="Z332">
        <f t="shared" si="100"/>
        <v>1117.8059503938609</v>
      </c>
    </row>
    <row r="333" spans="1:26" x14ac:dyDescent="0.25">
      <c r="A333" t="s">
        <v>50</v>
      </c>
      <c r="D333">
        <f t="shared" ref="D333:W333" si="107">D9*D117</f>
        <v>636.85230245934554</v>
      </c>
      <c r="E333">
        <f t="shared" si="107"/>
        <v>631.8476398227026</v>
      </c>
      <c r="F333">
        <f t="shared" si="107"/>
        <v>706.80799617410844</v>
      </c>
      <c r="G333">
        <f t="shared" si="107"/>
        <v>689.11845438611942</v>
      </c>
      <c r="H333">
        <f t="shared" si="107"/>
        <v>761.1979395226565</v>
      </c>
      <c r="I333">
        <f t="shared" si="107"/>
        <v>673.73125854136322</v>
      </c>
      <c r="J333">
        <f t="shared" si="107"/>
        <v>751.53107933968079</v>
      </c>
      <c r="K333">
        <f t="shared" si="107"/>
        <v>666.02273876916809</v>
      </c>
      <c r="L333">
        <f t="shared" si="107"/>
        <v>751.69617280402383</v>
      </c>
      <c r="M333">
        <f t="shared" si="107"/>
        <v>759.28591474722873</v>
      </c>
      <c r="N333">
        <f t="shared" si="107"/>
        <v>703.64616149728181</v>
      </c>
      <c r="O333">
        <f t="shared" si="107"/>
        <v>823.04534996847349</v>
      </c>
      <c r="P333">
        <f t="shared" si="107"/>
        <v>857.16453582744668</v>
      </c>
      <c r="Q333">
        <f t="shared" si="107"/>
        <v>827.85104884917223</v>
      </c>
      <c r="R333">
        <f t="shared" si="107"/>
        <v>814.04470999754494</v>
      </c>
      <c r="S333">
        <f t="shared" si="107"/>
        <v>584.62119119460056</v>
      </c>
      <c r="T333">
        <f t="shared" si="107"/>
        <v>657.98724331799326</v>
      </c>
      <c r="U333">
        <f t="shared" si="107"/>
        <v>582.91026748581237</v>
      </c>
      <c r="V333">
        <f t="shared" si="107"/>
        <v>669.15129248901019</v>
      </c>
      <c r="W333">
        <f t="shared" si="107"/>
        <v>592.09806163586984</v>
      </c>
      <c r="Y333" s="6">
        <f t="shared" si="99"/>
        <v>14140.611358829605</v>
      </c>
      <c r="Z333">
        <f t="shared" si="100"/>
        <v>1137.8206963031871</v>
      </c>
    </row>
    <row r="334" spans="1:26" x14ac:dyDescent="0.25">
      <c r="A334" t="s">
        <v>51</v>
      </c>
      <c r="D334">
        <f t="shared" ref="D334:W334" si="108">D10*D118</f>
        <v>479.08394671078622</v>
      </c>
      <c r="E334">
        <f t="shared" si="108"/>
        <v>680.09676342508692</v>
      </c>
      <c r="F334">
        <f t="shared" si="108"/>
        <v>590.06985499340215</v>
      </c>
      <c r="G334">
        <f t="shared" si="108"/>
        <v>695.03688493617449</v>
      </c>
      <c r="H334">
        <f t="shared" si="108"/>
        <v>745.54594538895719</v>
      </c>
      <c r="I334">
        <f t="shared" si="108"/>
        <v>744.89855503128285</v>
      </c>
      <c r="J334">
        <f t="shared" si="108"/>
        <v>849.26280083201664</v>
      </c>
      <c r="K334">
        <f t="shared" si="108"/>
        <v>622.17375523130761</v>
      </c>
      <c r="L334">
        <f t="shared" si="108"/>
        <v>911.44834815338493</v>
      </c>
      <c r="M334">
        <f t="shared" si="108"/>
        <v>683.9722138183962</v>
      </c>
      <c r="N334">
        <f t="shared" si="108"/>
        <v>590.39836771929924</v>
      </c>
      <c r="O334">
        <f t="shared" si="108"/>
        <v>748.76164174412247</v>
      </c>
      <c r="P334">
        <f t="shared" si="108"/>
        <v>826.04577972380878</v>
      </c>
      <c r="Q334">
        <f t="shared" si="108"/>
        <v>803.88301382181874</v>
      </c>
      <c r="R334">
        <f t="shared" si="108"/>
        <v>814.1061718721013</v>
      </c>
      <c r="S334">
        <f t="shared" si="108"/>
        <v>810.60534202014765</v>
      </c>
      <c r="T334">
        <f t="shared" si="108"/>
        <v>686.51922277300912</v>
      </c>
      <c r="U334">
        <f t="shared" si="108"/>
        <v>717.18348710306032</v>
      </c>
      <c r="V334">
        <f t="shared" si="108"/>
        <v>700.30766633622545</v>
      </c>
      <c r="W334">
        <f t="shared" si="108"/>
        <v>563.22872928437675</v>
      </c>
      <c r="Y334" s="6">
        <f t="shared" si="99"/>
        <v>14262.628490918767</v>
      </c>
      <c r="Z334">
        <f t="shared" si="100"/>
        <v>1211.0947587765577</v>
      </c>
    </row>
    <row r="335" spans="1:26" x14ac:dyDescent="0.25">
      <c r="A335" t="s">
        <v>52</v>
      </c>
      <c r="D335">
        <f t="shared" ref="D335:W335" si="109">D11*D119</f>
        <v>472.31484565642154</v>
      </c>
      <c r="E335">
        <f t="shared" si="109"/>
        <v>556.61241556150901</v>
      </c>
      <c r="F335">
        <f t="shared" si="109"/>
        <v>627.40915916874508</v>
      </c>
      <c r="G335">
        <f t="shared" si="109"/>
        <v>647.87817897421746</v>
      </c>
      <c r="H335">
        <f t="shared" si="109"/>
        <v>646.92744269049763</v>
      </c>
      <c r="I335">
        <f t="shared" si="109"/>
        <v>739.33128414607108</v>
      </c>
      <c r="J335">
        <f t="shared" si="109"/>
        <v>611.12934621947409</v>
      </c>
      <c r="K335">
        <f t="shared" si="109"/>
        <v>623.84851478940789</v>
      </c>
      <c r="L335">
        <f t="shared" si="109"/>
        <v>637.66888437739999</v>
      </c>
      <c r="M335">
        <f t="shared" si="109"/>
        <v>623.97596937387732</v>
      </c>
      <c r="N335">
        <f t="shared" si="109"/>
        <v>449.00696449332423</v>
      </c>
      <c r="O335">
        <f t="shared" si="109"/>
        <v>623.88050949178239</v>
      </c>
      <c r="P335">
        <f t="shared" si="109"/>
        <v>679.7755300426287</v>
      </c>
      <c r="Q335">
        <f t="shared" si="109"/>
        <v>686.55954910795856</v>
      </c>
      <c r="R335">
        <f t="shared" si="109"/>
        <v>659.01590701631153</v>
      </c>
      <c r="S335">
        <f t="shared" si="109"/>
        <v>736.95898882799077</v>
      </c>
      <c r="T335">
        <f t="shared" si="109"/>
        <v>449.97626953051036</v>
      </c>
      <c r="U335">
        <f t="shared" si="109"/>
        <v>341.26072309911541</v>
      </c>
      <c r="V335">
        <f t="shared" si="109"/>
        <v>481.24441810438668</v>
      </c>
      <c r="W335">
        <f t="shared" si="109"/>
        <v>391.65766221804529</v>
      </c>
      <c r="Y335" s="6">
        <f t="shared" si="99"/>
        <v>11686.432562889679</v>
      </c>
      <c r="Z335">
        <f t="shared" si="100"/>
        <v>1054.0575454696495</v>
      </c>
    </row>
    <row r="336" spans="1:26" x14ac:dyDescent="0.25">
      <c r="A336" t="s">
        <v>53</v>
      </c>
      <c r="D336">
        <f t="shared" ref="D336:W336" si="110">D12*D120</f>
        <v>503.63663858637551</v>
      </c>
      <c r="E336">
        <f t="shared" si="110"/>
        <v>666.68060751570579</v>
      </c>
      <c r="F336">
        <f t="shared" si="110"/>
        <v>722.50321662191368</v>
      </c>
      <c r="G336">
        <f t="shared" si="110"/>
        <v>611.37802007291202</v>
      </c>
      <c r="H336">
        <f t="shared" si="110"/>
        <v>492.10196323571978</v>
      </c>
      <c r="I336">
        <f t="shared" si="110"/>
        <v>587.39256179044776</v>
      </c>
      <c r="J336">
        <f t="shared" si="110"/>
        <v>665.63941184508758</v>
      </c>
      <c r="K336">
        <f t="shared" si="110"/>
        <v>711.09015151949745</v>
      </c>
      <c r="L336">
        <f t="shared" si="110"/>
        <v>567.2489635539672</v>
      </c>
      <c r="M336">
        <f t="shared" si="110"/>
        <v>654.53527838414425</v>
      </c>
      <c r="N336">
        <f t="shared" si="110"/>
        <v>723.6558352112794</v>
      </c>
      <c r="O336">
        <f t="shared" si="110"/>
        <v>715.81086915897254</v>
      </c>
      <c r="P336">
        <f t="shared" si="110"/>
        <v>606.63568372145312</v>
      </c>
      <c r="Q336">
        <f t="shared" si="110"/>
        <v>555.26345442344598</v>
      </c>
      <c r="R336">
        <f t="shared" si="110"/>
        <v>693.62050984874031</v>
      </c>
      <c r="S336">
        <f t="shared" si="110"/>
        <v>586.55390651326491</v>
      </c>
      <c r="T336">
        <f t="shared" si="110"/>
        <v>714.43177625392991</v>
      </c>
      <c r="U336">
        <f t="shared" si="110"/>
        <v>587.06748952252269</v>
      </c>
      <c r="V336">
        <f t="shared" si="110"/>
        <v>548.61023464947414</v>
      </c>
      <c r="W336">
        <f t="shared" si="110"/>
        <v>425.82514749211163</v>
      </c>
      <c r="Y336" s="6">
        <f t="shared" si="99"/>
        <v>12339.681719920965</v>
      </c>
      <c r="Z336">
        <f t="shared" si="100"/>
        <v>1012.3267053189639</v>
      </c>
    </row>
    <row r="337" spans="1:26" x14ac:dyDescent="0.25">
      <c r="A337" t="s">
        <v>54</v>
      </c>
      <c r="D337">
        <f t="shared" ref="D337:W337" si="111">D13*D121</f>
        <v>701.04784105824115</v>
      </c>
      <c r="E337">
        <f t="shared" si="111"/>
        <v>643.11058900622083</v>
      </c>
      <c r="F337">
        <f t="shared" si="111"/>
        <v>540.58973444894707</v>
      </c>
      <c r="G337">
        <f t="shared" si="111"/>
        <v>643.55798002089796</v>
      </c>
      <c r="H337">
        <f t="shared" si="111"/>
        <v>607.48413754325873</v>
      </c>
      <c r="I337">
        <f t="shared" si="111"/>
        <v>540.92679343444502</v>
      </c>
      <c r="J337">
        <f t="shared" si="111"/>
        <v>533.37550555994562</v>
      </c>
      <c r="K337">
        <f t="shared" si="111"/>
        <v>522.35253691857986</v>
      </c>
      <c r="L337">
        <f t="shared" si="111"/>
        <v>535.69023289092024</v>
      </c>
      <c r="M337">
        <f t="shared" si="111"/>
        <v>626.95473105311203</v>
      </c>
      <c r="N337">
        <f t="shared" si="111"/>
        <v>494.10054079804837</v>
      </c>
      <c r="O337">
        <f t="shared" si="111"/>
        <v>668.82439536928769</v>
      </c>
      <c r="P337">
        <f t="shared" si="111"/>
        <v>616.13247413984641</v>
      </c>
      <c r="Q337">
        <f t="shared" si="111"/>
        <v>626.22961022818652</v>
      </c>
      <c r="R337">
        <f t="shared" si="111"/>
        <v>522.15425845209631</v>
      </c>
      <c r="S337">
        <f t="shared" si="111"/>
        <v>561.23228751725048</v>
      </c>
      <c r="T337">
        <f t="shared" si="111"/>
        <v>595.22341665013175</v>
      </c>
      <c r="U337">
        <f t="shared" si="111"/>
        <v>540.76467493502685</v>
      </c>
      <c r="V337">
        <f t="shared" si="111"/>
        <v>427.55156357321982</v>
      </c>
      <c r="W337">
        <f t="shared" si="111"/>
        <v>399.94518188920068</v>
      </c>
      <c r="Y337" s="6">
        <f t="shared" si="99"/>
        <v>11347.24848548686</v>
      </c>
      <c r="Z337">
        <f t="shared" si="100"/>
        <v>979.46321057083151</v>
      </c>
    </row>
    <row r="338" spans="1:26" x14ac:dyDescent="0.25">
      <c r="A338" t="s">
        <v>55</v>
      </c>
      <c r="D338">
        <f t="shared" ref="D338:W338" si="112">D14*D122</f>
        <v>592.4900717734871</v>
      </c>
      <c r="E338">
        <f t="shared" si="112"/>
        <v>628.95274931313281</v>
      </c>
      <c r="F338">
        <f t="shared" si="112"/>
        <v>573.73784999631005</v>
      </c>
      <c r="G338">
        <f t="shared" si="112"/>
        <v>570.79122373518555</v>
      </c>
      <c r="H338">
        <f t="shared" si="112"/>
        <v>470.68776068626687</v>
      </c>
      <c r="I338">
        <f t="shared" si="112"/>
        <v>504.08929193982868</v>
      </c>
      <c r="J338">
        <f t="shared" si="112"/>
        <v>608.9357707465897</v>
      </c>
      <c r="K338">
        <f t="shared" si="112"/>
        <v>668.859582882827</v>
      </c>
      <c r="L338">
        <f t="shared" si="112"/>
        <v>608.14349742376601</v>
      </c>
      <c r="M338">
        <f t="shared" si="112"/>
        <v>661.28285135169926</v>
      </c>
      <c r="N338">
        <f t="shared" si="112"/>
        <v>711.50074907444878</v>
      </c>
      <c r="O338">
        <f t="shared" si="112"/>
        <v>655.70355550755517</v>
      </c>
      <c r="P338">
        <f t="shared" si="112"/>
        <v>606.46598586288565</v>
      </c>
      <c r="Q338">
        <f t="shared" si="112"/>
        <v>608.30637780263089</v>
      </c>
      <c r="R338">
        <f t="shared" si="112"/>
        <v>694.40634042834245</v>
      </c>
      <c r="S338">
        <f t="shared" si="112"/>
        <v>668.43832370967846</v>
      </c>
      <c r="T338">
        <f t="shared" si="112"/>
        <v>573.74036294585869</v>
      </c>
      <c r="U338">
        <f t="shared" si="112"/>
        <v>557.32549445017139</v>
      </c>
      <c r="V338">
        <f t="shared" si="112"/>
        <v>575.11500078562938</v>
      </c>
      <c r="W338">
        <f t="shared" si="112"/>
        <v>564.32751841798768</v>
      </c>
      <c r="Y338" s="6">
        <f t="shared" si="99"/>
        <v>12103.300358834282</v>
      </c>
      <c r="Z338">
        <f t="shared" si="100"/>
        <v>972.21622093574706</v>
      </c>
    </row>
    <row r="339" spans="1:26" x14ac:dyDescent="0.25">
      <c r="A339" t="s">
        <v>56</v>
      </c>
      <c r="D339">
        <f t="shared" ref="D339:W339" si="113">D15*D123</f>
        <v>664.49423154023759</v>
      </c>
      <c r="E339">
        <f t="shared" si="113"/>
        <v>667.00347558832345</v>
      </c>
      <c r="F339">
        <f t="shared" si="113"/>
        <v>631.65619912956527</v>
      </c>
      <c r="G339">
        <f t="shared" si="113"/>
        <v>650.48546805141495</v>
      </c>
      <c r="H339">
        <f t="shared" si="113"/>
        <v>596.41621309867924</v>
      </c>
      <c r="I339">
        <f t="shared" si="113"/>
        <v>737.51532161378509</v>
      </c>
      <c r="J339">
        <f t="shared" si="113"/>
        <v>632.93216675292945</v>
      </c>
      <c r="K339">
        <f t="shared" si="113"/>
        <v>726.64807931667838</v>
      </c>
      <c r="L339">
        <f t="shared" si="113"/>
        <v>689.87069780135982</v>
      </c>
      <c r="M339">
        <f t="shared" si="113"/>
        <v>724.60205912374909</v>
      </c>
      <c r="N339">
        <f t="shared" si="113"/>
        <v>667.1142434289228</v>
      </c>
      <c r="O339">
        <f t="shared" si="113"/>
        <v>710.68978308215856</v>
      </c>
      <c r="P339">
        <f t="shared" si="113"/>
        <v>697.9479377635613</v>
      </c>
      <c r="Q339">
        <f t="shared" si="113"/>
        <v>655.29640691744123</v>
      </c>
      <c r="R339">
        <f t="shared" si="113"/>
        <v>588.24416378726949</v>
      </c>
      <c r="S339">
        <f t="shared" si="113"/>
        <v>490.91175602004336</v>
      </c>
      <c r="T339">
        <f t="shared" si="113"/>
        <v>537.51719594962037</v>
      </c>
      <c r="U339">
        <f t="shared" si="113"/>
        <v>469.19733163216011</v>
      </c>
      <c r="V339">
        <f t="shared" si="113"/>
        <v>607.36344124512038</v>
      </c>
      <c r="W339">
        <f t="shared" si="113"/>
        <v>615.5126462030355</v>
      </c>
      <c r="Y339" s="6">
        <f t="shared" si="99"/>
        <v>12761.418818046055</v>
      </c>
      <c r="Z339">
        <f t="shared" si="100"/>
        <v>1047.3824851804527</v>
      </c>
    </row>
    <row r="340" spans="1:26" x14ac:dyDescent="0.25">
      <c r="A340" t="s">
        <v>57</v>
      </c>
      <c r="D340">
        <f t="shared" ref="D340:W340" si="114">D16*D124</f>
        <v>653.76811369517372</v>
      </c>
      <c r="E340">
        <f t="shared" si="114"/>
        <v>732.11293890137836</v>
      </c>
      <c r="F340">
        <f t="shared" si="114"/>
        <v>672.97362927085771</v>
      </c>
      <c r="G340">
        <f t="shared" si="114"/>
        <v>580.62161562812059</v>
      </c>
      <c r="H340">
        <f t="shared" si="114"/>
        <v>604.75628274674398</v>
      </c>
      <c r="I340">
        <f t="shared" si="114"/>
        <v>611.62340408891305</v>
      </c>
      <c r="J340">
        <f t="shared" si="114"/>
        <v>975.47800151718911</v>
      </c>
      <c r="K340">
        <f t="shared" si="114"/>
        <v>622.35227034530874</v>
      </c>
      <c r="L340">
        <f t="shared" si="114"/>
        <v>582.94402414496994</v>
      </c>
      <c r="M340">
        <f t="shared" si="114"/>
        <v>666.17134955257814</v>
      </c>
      <c r="N340">
        <f t="shared" si="114"/>
        <v>666.97579845194741</v>
      </c>
      <c r="O340">
        <f t="shared" si="114"/>
        <v>519.06033968880161</v>
      </c>
      <c r="P340">
        <f t="shared" si="114"/>
        <v>633.83621375241239</v>
      </c>
      <c r="Q340">
        <f t="shared" si="114"/>
        <v>680.88453818935</v>
      </c>
      <c r="R340">
        <f t="shared" si="114"/>
        <v>595.97944932264295</v>
      </c>
      <c r="S340">
        <f t="shared" si="114"/>
        <v>521.73286825344269</v>
      </c>
      <c r="T340">
        <f t="shared" si="114"/>
        <v>533.03565844766251</v>
      </c>
      <c r="U340">
        <f t="shared" si="114"/>
        <v>637.45544168385425</v>
      </c>
      <c r="V340">
        <f t="shared" si="114"/>
        <v>329.35723872983465</v>
      </c>
      <c r="W340">
        <f t="shared" si="114"/>
        <v>600.58611768974595</v>
      </c>
      <c r="Y340" s="6">
        <f t="shared" si="99"/>
        <v>12421.70529410093</v>
      </c>
      <c r="Z340">
        <f t="shared" si="100"/>
        <v>852.39177835592147</v>
      </c>
    </row>
    <row r="341" spans="1:26" x14ac:dyDescent="0.25">
      <c r="A341" t="s">
        <v>58</v>
      </c>
      <c r="D341">
        <f t="shared" ref="D341:W341" si="115">D17*D125</f>
        <v>481.525367153437</v>
      </c>
      <c r="E341">
        <f t="shared" si="115"/>
        <v>587.46415408282246</v>
      </c>
      <c r="F341">
        <f t="shared" si="115"/>
        <v>526.95975114475391</v>
      </c>
      <c r="G341">
        <f t="shared" si="115"/>
        <v>660.82470854519033</v>
      </c>
      <c r="H341">
        <f t="shared" si="115"/>
        <v>500.74209442923825</v>
      </c>
      <c r="I341">
        <f t="shared" si="115"/>
        <v>512.80527104569364</v>
      </c>
      <c r="J341">
        <f t="shared" si="115"/>
        <v>594.50168553087099</v>
      </c>
      <c r="K341">
        <f t="shared" si="115"/>
        <v>557.67334532058669</v>
      </c>
      <c r="L341">
        <f t="shared" si="115"/>
        <v>589.55540184831943</v>
      </c>
      <c r="M341">
        <f t="shared" si="115"/>
        <v>615.89140597048049</v>
      </c>
      <c r="N341">
        <f t="shared" si="115"/>
        <v>590.25846381100575</v>
      </c>
      <c r="O341">
        <f t="shared" si="115"/>
        <v>629.92149041653659</v>
      </c>
      <c r="P341">
        <f t="shared" si="115"/>
        <v>516.25355629448575</v>
      </c>
      <c r="Q341">
        <f t="shared" si="115"/>
        <v>407.11362166576117</v>
      </c>
      <c r="R341">
        <f t="shared" si="115"/>
        <v>641.82212474964251</v>
      </c>
      <c r="S341">
        <f t="shared" si="115"/>
        <v>616.54870340920525</v>
      </c>
      <c r="T341">
        <f t="shared" si="115"/>
        <v>694.47390151020193</v>
      </c>
      <c r="U341">
        <f t="shared" si="115"/>
        <v>340.39299654924048</v>
      </c>
      <c r="V341">
        <f t="shared" si="115"/>
        <v>462.39993155053247</v>
      </c>
      <c r="W341">
        <f t="shared" si="115"/>
        <v>587.38210975912466</v>
      </c>
      <c r="Y341" s="6">
        <f t="shared" si="99"/>
        <v>11114.510084787131</v>
      </c>
      <c r="Z341">
        <f t="shared" si="100"/>
        <v>977.58560273025535</v>
      </c>
    </row>
    <row r="342" spans="1:26" x14ac:dyDescent="0.25">
      <c r="A342" t="s">
        <v>59</v>
      </c>
      <c r="D342">
        <f t="shared" ref="D342:W342" si="116">D18*D126</f>
        <v>679.91335121959878</v>
      </c>
      <c r="E342">
        <f t="shared" si="116"/>
        <v>585.43319298048993</v>
      </c>
      <c r="F342">
        <f t="shared" si="116"/>
        <v>566.39132096102173</v>
      </c>
      <c r="G342">
        <f t="shared" si="116"/>
        <v>576.42176347656425</v>
      </c>
      <c r="H342">
        <f t="shared" si="116"/>
        <v>548.00743685686984</v>
      </c>
      <c r="I342">
        <f t="shared" si="116"/>
        <v>613.630358042681</v>
      </c>
      <c r="J342">
        <f t="shared" si="116"/>
        <v>563.57025323015273</v>
      </c>
      <c r="K342">
        <f t="shared" si="116"/>
        <v>537.01388290613454</v>
      </c>
      <c r="L342">
        <f t="shared" si="116"/>
        <v>441.15411878038952</v>
      </c>
      <c r="M342">
        <f t="shared" si="116"/>
        <v>569.13124850573593</v>
      </c>
      <c r="N342">
        <f t="shared" si="116"/>
        <v>633.06548568006428</v>
      </c>
      <c r="O342">
        <f t="shared" si="116"/>
        <v>500.50265101381331</v>
      </c>
      <c r="P342">
        <f t="shared" si="116"/>
        <v>513.74033158517454</v>
      </c>
      <c r="Q342">
        <f t="shared" si="116"/>
        <v>495.85766067135313</v>
      </c>
      <c r="R342">
        <f t="shared" si="116"/>
        <v>386.09637584361019</v>
      </c>
      <c r="S342">
        <f t="shared" si="116"/>
        <v>666.91795813724332</v>
      </c>
      <c r="T342">
        <f t="shared" si="116"/>
        <v>605.70799478895731</v>
      </c>
      <c r="U342">
        <f t="shared" si="116"/>
        <v>666.0452143191402</v>
      </c>
      <c r="V342">
        <f t="shared" si="116"/>
        <v>493.74924597461921</v>
      </c>
      <c r="W342">
        <f t="shared" si="116"/>
        <v>411.07092517104775</v>
      </c>
      <c r="Y342" s="6">
        <f t="shared" si="99"/>
        <v>11053.420770144661</v>
      </c>
      <c r="Z342">
        <f t="shared" si="100"/>
        <v>966.95492468271107</v>
      </c>
    </row>
    <row r="343" spans="1:26" x14ac:dyDescent="0.25">
      <c r="A343" t="s">
        <v>60</v>
      </c>
      <c r="D343">
        <f t="shared" ref="D343:W343" si="117">D19*D127</f>
        <v>502.82457027859186</v>
      </c>
      <c r="E343">
        <f t="shared" si="117"/>
        <v>389.16600118661739</v>
      </c>
      <c r="F343">
        <f t="shared" si="117"/>
        <v>492.10507629532782</v>
      </c>
      <c r="G343">
        <f t="shared" si="117"/>
        <v>424.9372692489153</v>
      </c>
      <c r="H343">
        <f t="shared" si="117"/>
        <v>560.14354113460206</v>
      </c>
      <c r="I343">
        <f t="shared" si="117"/>
        <v>419.85626373668919</v>
      </c>
      <c r="J343">
        <f t="shared" si="117"/>
        <v>539.15391452536528</v>
      </c>
      <c r="K343">
        <f t="shared" si="117"/>
        <v>706.61855122692134</v>
      </c>
      <c r="L343">
        <f t="shared" si="117"/>
        <v>538.36468577940821</v>
      </c>
      <c r="M343">
        <f t="shared" si="117"/>
        <v>560.75865437871346</v>
      </c>
      <c r="N343">
        <f t="shared" si="117"/>
        <v>479.54713905455162</v>
      </c>
      <c r="O343">
        <f t="shared" si="117"/>
        <v>468.35453705230651</v>
      </c>
      <c r="P343">
        <f t="shared" si="117"/>
        <v>502.96742605682437</v>
      </c>
      <c r="Q343">
        <f t="shared" si="117"/>
        <v>539.14163233727299</v>
      </c>
      <c r="R343">
        <f t="shared" si="117"/>
        <v>537.28696721281358</v>
      </c>
      <c r="S343">
        <f t="shared" si="117"/>
        <v>437.98223364829613</v>
      </c>
      <c r="T343">
        <f t="shared" si="117"/>
        <v>612.55184570577137</v>
      </c>
      <c r="U343">
        <f t="shared" si="117"/>
        <v>557.603265831562</v>
      </c>
      <c r="V343">
        <f t="shared" si="117"/>
        <v>407.91498146097121</v>
      </c>
      <c r="W343">
        <f t="shared" si="117"/>
        <v>456.968913939125</v>
      </c>
      <c r="Y343" s="6">
        <f t="shared" si="99"/>
        <v>10134.247470090646</v>
      </c>
      <c r="Z343">
        <f t="shared" si="100"/>
        <v>745.27226027908728</v>
      </c>
    </row>
    <row r="344" spans="1:26" x14ac:dyDescent="0.25">
      <c r="A344" t="s">
        <v>61</v>
      </c>
      <c r="D344">
        <f t="shared" ref="D344:W344" si="118">D20*D128</f>
        <v>699.12183196679825</v>
      </c>
      <c r="E344">
        <f t="shared" si="118"/>
        <v>764.89818806521589</v>
      </c>
      <c r="F344">
        <f t="shared" si="118"/>
        <v>661.89042873567348</v>
      </c>
      <c r="G344">
        <f t="shared" si="118"/>
        <v>549.10202824670671</v>
      </c>
      <c r="H344">
        <f t="shared" si="118"/>
        <v>750.33415174334198</v>
      </c>
      <c r="I344">
        <f t="shared" si="118"/>
        <v>713.81425690464846</v>
      </c>
      <c r="J344">
        <f t="shared" si="118"/>
        <v>651.17245148584004</v>
      </c>
      <c r="K344">
        <f t="shared" si="118"/>
        <v>642.91336522509187</v>
      </c>
      <c r="L344">
        <f t="shared" si="118"/>
        <v>520.62478842916698</v>
      </c>
      <c r="M344">
        <f t="shared" si="118"/>
        <v>559.30559057339303</v>
      </c>
      <c r="N344">
        <f t="shared" si="118"/>
        <v>645.33623529794158</v>
      </c>
      <c r="O344">
        <f t="shared" si="118"/>
        <v>598.86610998337278</v>
      </c>
      <c r="P344">
        <f t="shared" si="118"/>
        <v>721.15381570021725</v>
      </c>
      <c r="Q344">
        <f t="shared" si="118"/>
        <v>644.7692636821555</v>
      </c>
      <c r="R344">
        <f t="shared" si="118"/>
        <v>659.54767646243261</v>
      </c>
      <c r="S344">
        <f t="shared" si="118"/>
        <v>711.50694813599057</v>
      </c>
      <c r="T344">
        <f t="shared" si="118"/>
        <v>728.03274254356847</v>
      </c>
      <c r="U344">
        <f t="shared" si="118"/>
        <v>572.20323992094404</v>
      </c>
      <c r="V344">
        <f t="shared" si="118"/>
        <v>434.30135940582727</v>
      </c>
      <c r="W344">
        <f t="shared" si="118"/>
        <v>567.5988180015944</v>
      </c>
      <c r="Y344" s="6">
        <f t="shared" si="99"/>
        <v>12796.493290509918</v>
      </c>
      <c r="Z344">
        <f t="shared" si="100"/>
        <v>1055.7999928605354</v>
      </c>
    </row>
    <row r="345" spans="1:26" x14ac:dyDescent="0.25">
      <c r="A345" t="s">
        <v>62</v>
      </c>
      <c r="D345">
        <f t="shared" ref="D345:W345" si="119">D21*D129</f>
        <v>514.77814279423376</v>
      </c>
      <c r="E345">
        <f t="shared" si="119"/>
        <v>450.74940345468303</v>
      </c>
      <c r="F345">
        <f t="shared" si="119"/>
        <v>555.12393798914025</v>
      </c>
      <c r="G345">
        <f t="shared" si="119"/>
        <v>662.14358664342205</v>
      </c>
      <c r="H345">
        <f t="shared" si="119"/>
        <v>630.39571269191993</v>
      </c>
      <c r="I345">
        <f t="shared" si="119"/>
        <v>551.06120831676969</v>
      </c>
      <c r="J345">
        <f t="shared" si="119"/>
        <v>543.76846235553637</v>
      </c>
      <c r="K345">
        <f t="shared" si="119"/>
        <v>666.37773117258178</v>
      </c>
      <c r="L345">
        <f t="shared" si="119"/>
        <v>516.88662283928829</v>
      </c>
      <c r="M345">
        <f t="shared" si="119"/>
        <v>559.0642304407711</v>
      </c>
      <c r="N345">
        <f t="shared" si="119"/>
        <v>661.66989145082005</v>
      </c>
      <c r="O345">
        <f t="shared" si="119"/>
        <v>571.79070250556867</v>
      </c>
      <c r="P345">
        <f t="shared" si="119"/>
        <v>358.76491219939317</v>
      </c>
      <c r="Q345">
        <f t="shared" si="119"/>
        <v>582.55505483305592</v>
      </c>
      <c r="R345">
        <f t="shared" si="119"/>
        <v>643.94784380280839</v>
      </c>
      <c r="S345">
        <f t="shared" si="119"/>
        <v>624.24066641950333</v>
      </c>
      <c r="T345">
        <f t="shared" si="119"/>
        <v>641.9411796825043</v>
      </c>
      <c r="U345">
        <f t="shared" si="119"/>
        <v>642.25528814803852</v>
      </c>
      <c r="V345">
        <f t="shared" si="119"/>
        <v>543.78845408519555</v>
      </c>
      <c r="W345">
        <f t="shared" si="119"/>
        <v>613.55028678190297</v>
      </c>
      <c r="Y345" s="6">
        <f t="shared" si="99"/>
        <v>11534.853318607138</v>
      </c>
      <c r="Z345">
        <f t="shared" si="100"/>
        <v>929.59441429760864</v>
      </c>
    </row>
    <row r="346" spans="1:26" x14ac:dyDescent="0.25">
      <c r="A346" t="s">
        <v>63</v>
      </c>
      <c r="D346">
        <f t="shared" ref="D346:W346" si="120">D22*D130</f>
        <v>634.20760737889555</v>
      </c>
      <c r="E346">
        <f t="shared" si="120"/>
        <v>652.51729514160445</v>
      </c>
      <c r="F346">
        <f t="shared" si="120"/>
        <v>701.50642748253324</v>
      </c>
      <c r="G346">
        <f t="shared" si="120"/>
        <v>683.70422431145596</v>
      </c>
      <c r="H346">
        <f t="shared" si="120"/>
        <v>477.47186519056208</v>
      </c>
      <c r="I346">
        <f t="shared" si="120"/>
        <v>612.77786763648476</v>
      </c>
      <c r="J346">
        <f t="shared" si="120"/>
        <v>719.13071345868195</v>
      </c>
      <c r="K346">
        <f t="shared" si="120"/>
        <v>640.84023613308989</v>
      </c>
      <c r="L346">
        <f t="shared" si="120"/>
        <v>670.10124661534667</v>
      </c>
      <c r="M346">
        <f t="shared" si="120"/>
        <v>500.40597663114534</v>
      </c>
      <c r="N346">
        <f t="shared" si="120"/>
        <v>669.07703661640153</v>
      </c>
      <c r="O346">
        <f t="shared" si="120"/>
        <v>684.42796795815173</v>
      </c>
      <c r="P346">
        <f t="shared" si="120"/>
        <v>673.14877040759291</v>
      </c>
      <c r="Q346">
        <f t="shared" si="120"/>
        <v>573.18713935487006</v>
      </c>
      <c r="R346">
        <f t="shared" si="120"/>
        <v>648.79386490625177</v>
      </c>
      <c r="S346">
        <f t="shared" si="120"/>
        <v>693.79021875362298</v>
      </c>
      <c r="T346">
        <f t="shared" si="120"/>
        <v>677.49515325389905</v>
      </c>
      <c r="U346">
        <f t="shared" si="120"/>
        <v>541.02914850589013</v>
      </c>
      <c r="V346">
        <f t="shared" si="120"/>
        <v>542.30442257358118</v>
      </c>
      <c r="W346">
        <f t="shared" si="120"/>
        <v>585.74254024119534</v>
      </c>
      <c r="Y346" s="6">
        <f t="shared" si="99"/>
        <v>12581.65972255126</v>
      </c>
      <c r="Z346">
        <f t="shared" si="100"/>
        <v>1064.6482996419004</v>
      </c>
    </row>
    <row r="347" spans="1:26" x14ac:dyDescent="0.25">
      <c r="A347" t="s">
        <v>64</v>
      </c>
      <c r="D347">
        <f t="shared" ref="D347:W347" si="121">D23*D131</f>
        <v>596.08900128700793</v>
      </c>
      <c r="E347">
        <f t="shared" si="121"/>
        <v>596.44908758654287</v>
      </c>
      <c r="F347">
        <f t="shared" si="121"/>
        <v>605.59947935395508</v>
      </c>
      <c r="G347">
        <f t="shared" si="121"/>
        <v>559.63847676895523</v>
      </c>
      <c r="H347">
        <f t="shared" si="121"/>
        <v>644.52050790479507</v>
      </c>
      <c r="I347">
        <f t="shared" si="121"/>
        <v>462.62568702833778</v>
      </c>
      <c r="J347">
        <f t="shared" si="121"/>
        <v>635.19396079008209</v>
      </c>
      <c r="K347">
        <f t="shared" si="121"/>
        <v>692.27502994681527</v>
      </c>
      <c r="L347">
        <f t="shared" si="121"/>
        <v>668.48243066030648</v>
      </c>
      <c r="M347">
        <f t="shared" si="121"/>
        <v>530.17371055639364</v>
      </c>
      <c r="N347">
        <f t="shared" si="121"/>
        <v>471.39861447706937</v>
      </c>
      <c r="O347">
        <f t="shared" si="121"/>
        <v>593.87752121823723</v>
      </c>
      <c r="P347">
        <f t="shared" si="121"/>
        <v>393.65508450547617</v>
      </c>
      <c r="Q347">
        <f t="shared" si="121"/>
        <v>723.40287058464162</v>
      </c>
      <c r="R347">
        <f t="shared" si="121"/>
        <v>607.69587526102555</v>
      </c>
      <c r="S347">
        <f t="shared" si="121"/>
        <v>742.39818463052961</v>
      </c>
      <c r="T347">
        <f t="shared" si="121"/>
        <v>662.19077868256909</v>
      </c>
      <c r="U347">
        <f t="shared" si="121"/>
        <v>669.62773034994268</v>
      </c>
      <c r="V347">
        <f t="shared" si="121"/>
        <v>481.79485841238244</v>
      </c>
      <c r="W347">
        <f t="shared" si="121"/>
        <v>496.91318160770726</v>
      </c>
      <c r="Y347" s="6">
        <f t="shared" si="99"/>
        <v>11834.002071612775</v>
      </c>
      <c r="Z347">
        <f t="shared" si="100"/>
        <v>929.0699852953768</v>
      </c>
    </row>
    <row r="348" spans="1:26" x14ac:dyDescent="0.25">
      <c r="A348" t="s">
        <v>65</v>
      </c>
      <c r="D348">
        <f t="shared" ref="D348:W348" si="122">D24*D132</f>
        <v>726.01810866263065</v>
      </c>
      <c r="E348">
        <f t="shared" si="122"/>
        <v>747.97106596857691</v>
      </c>
      <c r="F348">
        <f t="shared" si="122"/>
        <v>777.74334460218256</v>
      </c>
      <c r="G348">
        <f t="shared" si="122"/>
        <v>740.73668252316156</v>
      </c>
      <c r="H348">
        <f t="shared" si="122"/>
        <v>754.22743919647894</v>
      </c>
      <c r="I348">
        <f t="shared" si="122"/>
        <v>584.76870001722659</v>
      </c>
      <c r="J348">
        <f t="shared" si="122"/>
        <v>545.02131320349179</v>
      </c>
      <c r="K348">
        <f t="shared" si="122"/>
        <v>725.25257530796057</v>
      </c>
      <c r="L348">
        <f t="shared" si="122"/>
        <v>543.26560157226731</v>
      </c>
      <c r="M348">
        <f t="shared" si="122"/>
        <v>512.17389853745067</v>
      </c>
      <c r="N348">
        <f t="shared" si="122"/>
        <v>534.54391983319874</v>
      </c>
      <c r="O348">
        <f t="shared" si="122"/>
        <v>573.51055309965329</v>
      </c>
      <c r="P348">
        <f t="shared" si="122"/>
        <v>577.72053294575335</v>
      </c>
      <c r="Q348">
        <f t="shared" si="122"/>
        <v>615.01814082261183</v>
      </c>
      <c r="R348">
        <f t="shared" si="122"/>
        <v>558.91663890059351</v>
      </c>
      <c r="S348">
        <f t="shared" si="122"/>
        <v>800.78839148838495</v>
      </c>
      <c r="T348">
        <f t="shared" si="122"/>
        <v>706.61054022871804</v>
      </c>
      <c r="U348">
        <f t="shared" si="122"/>
        <v>762.6090415658573</v>
      </c>
      <c r="V348">
        <f t="shared" si="122"/>
        <v>468.37241661987304</v>
      </c>
      <c r="W348">
        <f t="shared" si="122"/>
        <v>520.36523773065596</v>
      </c>
      <c r="Y348" s="6">
        <f t="shared" si="99"/>
        <v>12775.634142826728</v>
      </c>
      <c r="Z348">
        <f t="shared" si="100"/>
        <v>1084.2882315604325</v>
      </c>
    </row>
    <row r="349" spans="1:26" x14ac:dyDescent="0.25">
      <c r="A349" t="s">
        <v>66</v>
      </c>
      <c r="D349">
        <f t="shared" ref="D349:W349" si="123">D25*D133</f>
        <v>844.62699416962346</v>
      </c>
      <c r="E349">
        <f t="shared" si="123"/>
        <v>757.68955414879497</v>
      </c>
      <c r="F349">
        <f t="shared" si="123"/>
        <v>573.02352729812708</v>
      </c>
      <c r="G349">
        <f t="shared" si="123"/>
        <v>543.51848886201674</v>
      </c>
      <c r="H349">
        <f t="shared" si="123"/>
        <v>597.1216922759005</v>
      </c>
      <c r="I349">
        <f t="shared" si="123"/>
        <v>508.76617970037756</v>
      </c>
      <c r="J349">
        <f t="shared" si="123"/>
        <v>532.56075062703701</v>
      </c>
      <c r="K349">
        <f t="shared" si="123"/>
        <v>667.30494610743654</v>
      </c>
      <c r="L349">
        <f t="shared" si="123"/>
        <v>14.081100055436078</v>
      </c>
      <c r="M349">
        <f t="shared" si="123"/>
        <v>669.0503141976418</v>
      </c>
      <c r="N349">
        <f t="shared" si="123"/>
        <v>588.42902925150827</v>
      </c>
      <c r="O349">
        <f t="shared" si="123"/>
        <v>295.52067270201661</v>
      </c>
      <c r="P349">
        <f t="shared" si="123"/>
        <v>550.86940309177157</v>
      </c>
      <c r="Q349">
        <f t="shared" si="123"/>
        <v>714.29340809309349</v>
      </c>
      <c r="R349">
        <f t="shared" si="123"/>
        <v>714.97291661287898</v>
      </c>
      <c r="S349">
        <f t="shared" si="123"/>
        <v>674.60094538204112</v>
      </c>
      <c r="T349">
        <f t="shared" si="123"/>
        <v>602.27889351080034</v>
      </c>
      <c r="U349">
        <f t="shared" si="123"/>
        <v>719.73555834451702</v>
      </c>
      <c r="V349">
        <f t="shared" si="123"/>
        <v>629.11633728389859</v>
      </c>
      <c r="W349">
        <f t="shared" si="123"/>
        <v>511.22575567888447</v>
      </c>
      <c r="Y349" s="6">
        <f t="shared" si="99"/>
        <v>11708.7864673938</v>
      </c>
      <c r="Z349">
        <f t="shared" si="100"/>
        <v>857.58487513430327</v>
      </c>
    </row>
    <row r="350" spans="1:26" x14ac:dyDescent="0.25">
      <c r="A350" t="s">
        <v>67</v>
      </c>
      <c r="D350">
        <f t="shared" ref="D350:W350" si="124">D26*D134</f>
        <v>688.33588568438427</v>
      </c>
      <c r="E350">
        <f t="shared" si="124"/>
        <v>503.32697192099312</v>
      </c>
      <c r="F350">
        <f t="shared" si="124"/>
        <v>353.36742880410247</v>
      </c>
      <c r="G350">
        <f t="shared" si="124"/>
        <v>725.43985594416176</v>
      </c>
      <c r="H350">
        <f t="shared" si="124"/>
        <v>867.12474944484507</v>
      </c>
      <c r="I350">
        <f t="shared" si="124"/>
        <v>577.9836404254828</v>
      </c>
      <c r="J350">
        <f t="shared" si="124"/>
        <v>417.07416459366164</v>
      </c>
      <c r="K350">
        <f t="shared" si="124"/>
        <v>479.62839680023745</v>
      </c>
      <c r="L350">
        <f t="shared" si="124"/>
        <v>732.66875484683248</v>
      </c>
      <c r="M350">
        <f t="shared" si="124"/>
        <v>597.47641268688392</v>
      </c>
      <c r="N350">
        <f t="shared" si="124"/>
        <v>612.87888472020109</v>
      </c>
      <c r="O350">
        <f t="shared" si="124"/>
        <v>573.5983135542391</v>
      </c>
      <c r="P350">
        <f t="shared" si="124"/>
        <v>555.24034839555543</v>
      </c>
      <c r="Q350">
        <f t="shared" si="124"/>
        <v>605.56924140571095</v>
      </c>
      <c r="R350">
        <f t="shared" si="124"/>
        <v>598.04301938444269</v>
      </c>
      <c r="S350">
        <f t="shared" si="124"/>
        <v>634.16503695106894</v>
      </c>
      <c r="T350">
        <f t="shared" si="124"/>
        <v>631.38629789663287</v>
      </c>
      <c r="U350">
        <f t="shared" si="124"/>
        <v>591.72243573996366</v>
      </c>
      <c r="V350">
        <f t="shared" si="124"/>
        <v>619.05058204511818</v>
      </c>
      <c r="W350">
        <f t="shared" si="124"/>
        <v>596.71750001929638</v>
      </c>
      <c r="Y350" s="6">
        <f t="shared" si="99"/>
        <v>11960.797921263815</v>
      </c>
      <c r="Z350">
        <f t="shared" si="100"/>
        <v>1068.4604078575819</v>
      </c>
    </row>
    <row r="351" spans="1:26" x14ac:dyDescent="0.25">
      <c r="A351" t="s">
        <v>68</v>
      </c>
      <c r="D351">
        <f t="shared" ref="D351:W351" si="125">D27*D135</f>
        <v>576.95679072968414</v>
      </c>
      <c r="E351">
        <f t="shared" si="125"/>
        <v>645.35671571793193</v>
      </c>
      <c r="F351">
        <f t="shared" si="125"/>
        <v>712.46671854564374</v>
      </c>
      <c r="G351">
        <f t="shared" si="125"/>
        <v>778.71031615971845</v>
      </c>
      <c r="H351">
        <f t="shared" si="125"/>
        <v>692.51518607924118</v>
      </c>
      <c r="I351">
        <f t="shared" si="125"/>
        <v>858.17452730775153</v>
      </c>
      <c r="J351">
        <f t="shared" si="125"/>
        <v>578.24602778479061</v>
      </c>
      <c r="K351">
        <f t="shared" si="125"/>
        <v>513.09576526056958</v>
      </c>
      <c r="L351">
        <f t="shared" si="125"/>
        <v>695.6899838000279</v>
      </c>
      <c r="M351">
        <f t="shared" si="125"/>
        <v>636.5585771394783</v>
      </c>
      <c r="N351">
        <f t="shared" si="125"/>
        <v>680.01315037712959</v>
      </c>
      <c r="O351">
        <f t="shared" si="125"/>
        <v>608.32440702937504</v>
      </c>
      <c r="P351">
        <f t="shared" si="125"/>
        <v>700.58555927755833</v>
      </c>
      <c r="Q351">
        <f t="shared" si="125"/>
        <v>737.53328963426873</v>
      </c>
      <c r="R351">
        <f t="shared" si="125"/>
        <v>871.66394782045461</v>
      </c>
      <c r="S351">
        <f t="shared" si="125"/>
        <v>747.77075292115319</v>
      </c>
      <c r="T351">
        <f t="shared" si="125"/>
        <v>807.36260294644001</v>
      </c>
      <c r="U351">
        <f t="shared" si="125"/>
        <v>644.90103993336436</v>
      </c>
      <c r="V351">
        <f t="shared" si="125"/>
        <v>716.17055815816548</v>
      </c>
      <c r="W351">
        <f t="shared" si="125"/>
        <v>741.87952032359146</v>
      </c>
      <c r="Y351" s="6">
        <f t="shared" si="99"/>
        <v>13943.975436946335</v>
      </c>
      <c r="Z351">
        <f t="shared" si="100"/>
        <v>1297.4731753548256</v>
      </c>
    </row>
    <row r="352" spans="1:26" x14ac:dyDescent="0.25">
      <c r="A352" t="s">
        <v>69</v>
      </c>
      <c r="D352">
        <f t="shared" ref="D352:W352" si="126">D28*D136</f>
        <v>340.62239011670931</v>
      </c>
      <c r="E352">
        <f t="shared" si="126"/>
        <v>388.95186132803065</v>
      </c>
      <c r="F352">
        <f t="shared" si="126"/>
        <v>388.01273011751869</v>
      </c>
      <c r="G352">
        <f t="shared" si="126"/>
        <v>356.56082006644687</v>
      </c>
      <c r="H352">
        <f t="shared" si="126"/>
        <v>295.19957991197793</v>
      </c>
      <c r="I352">
        <f t="shared" si="126"/>
        <v>241.08969821749241</v>
      </c>
      <c r="J352">
        <f t="shared" si="126"/>
        <v>173.35392862924218</v>
      </c>
      <c r="K352">
        <f t="shared" si="126"/>
        <v>116.57736535795928</v>
      </c>
      <c r="L352">
        <f t="shared" si="126"/>
        <v>441.15411878038952</v>
      </c>
      <c r="M352">
        <f t="shared" si="126"/>
        <v>569.13124850573593</v>
      </c>
      <c r="N352">
        <f t="shared" si="126"/>
        <v>633.06548568006428</v>
      </c>
      <c r="O352">
        <f t="shared" si="126"/>
        <v>500.50265101381331</v>
      </c>
      <c r="P352">
        <f t="shared" si="126"/>
        <v>564.20611973119355</v>
      </c>
      <c r="Q352">
        <f t="shared" si="126"/>
        <v>831.23154375989714</v>
      </c>
      <c r="R352">
        <f t="shared" si="126"/>
        <v>624.70426048427373</v>
      </c>
      <c r="S352">
        <f t="shared" si="126"/>
        <v>535.97444831578707</v>
      </c>
      <c r="T352">
        <f t="shared" si="126"/>
        <v>625.55173722200561</v>
      </c>
      <c r="U352">
        <f t="shared" si="126"/>
        <v>794.5517135059431</v>
      </c>
      <c r="V352">
        <f t="shared" si="126"/>
        <v>635.43311789176539</v>
      </c>
      <c r="W352">
        <f t="shared" si="126"/>
        <v>608.11029523573347</v>
      </c>
      <c r="Y352" s="6">
        <f t="shared" si="99"/>
        <v>9663.9851138719805</v>
      </c>
      <c r="Z352">
        <f t="shared" si="100"/>
        <v>896.80998227985708</v>
      </c>
    </row>
    <row r="353" spans="1:26" x14ac:dyDescent="0.25">
      <c r="Y353" s="6"/>
    </row>
    <row r="354" spans="1:26" x14ac:dyDescent="0.25">
      <c r="A354" t="s">
        <v>70</v>
      </c>
      <c r="D354">
        <f t="shared" ref="D354:W354" si="127">D30*D138</f>
        <v>868.59942458998432</v>
      </c>
      <c r="E354">
        <f t="shared" si="127"/>
        <v>684.93084214599003</v>
      </c>
      <c r="F354">
        <f t="shared" si="127"/>
        <v>723.94272489873424</v>
      </c>
      <c r="G354">
        <f t="shared" si="127"/>
        <v>720.06956723791347</v>
      </c>
      <c r="H354">
        <f t="shared" si="127"/>
        <v>703.51980349783378</v>
      </c>
      <c r="I354">
        <f t="shared" si="127"/>
        <v>678.31049357461575</v>
      </c>
      <c r="J354">
        <f t="shared" si="127"/>
        <v>732.15559066823027</v>
      </c>
      <c r="K354">
        <f t="shared" si="127"/>
        <v>650.1194118464299</v>
      </c>
      <c r="L354">
        <f t="shared" si="127"/>
        <v>688.09561883396714</v>
      </c>
      <c r="M354">
        <f t="shared" si="127"/>
        <v>603.13430681504053</v>
      </c>
      <c r="N354">
        <f t="shared" si="127"/>
        <v>619.24381912339766</v>
      </c>
      <c r="O354">
        <f t="shared" si="127"/>
        <v>572.13616922925348</v>
      </c>
      <c r="P354">
        <f t="shared" si="127"/>
        <v>619.83465066359383</v>
      </c>
      <c r="Q354">
        <f t="shared" si="127"/>
        <v>748.6737867032474</v>
      </c>
      <c r="R354">
        <f t="shared" si="127"/>
        <v>660.36661092706072</v>
      </c>
      <c r="S354">
        <f t="shared" si="127"/>
        <v>682.55537469234355</v>
      </c>
      <c r="T354">
        <f t="shared" si="127"/>
        <v>528.43245065411816</v>
      </c>
      <c r="U354">
        <f t="shared" si="127"/>
        <v>739.24626598303757</v>
      </c>
      <c r="V354">
        <f t="shared" si="127"/>
        <v>512.33332261836051</v>
      </c>
      <c r="W354">
        <f t="shared" si="127"/>
        <v>648.77308205290524</v>
      </c>
      <c r="Y354" s="6">
        <f t="shared" si="99"/>
        <v>13384.473316756059</v>
      </c>
      <c r="Z354">
        <f>SUMPRODUCT($D$358:$W$358,D354:W354)</f>
        <v>1045.0038170399309</v>
      </c>
    </row>
    <row r="355" spans="1:26" x14ac:dyDescent="0.25">
      <c r="A355" t="s">
        <v>313</v>
      </c>
      <c r="D355">
        <f t="shared" ref="D355:W355" si="128">D31*D139</f>
        <v>767.59345694824628</v>
      </c>
      <c r="E355">
        <f t="shared" si="128"/>
        <v>653.27313340006731</v>
      </c>
      <c r="F355">
        <f t="shared" si="128"/>
        <v>653.20181758566537</v>
      </c>
      <c r="G355">
        <f t="shared" si="128"/>
        <v>770.92869401852022</v>
      </c>
      <c r="H355">
        <f t="shared" si="128"/>
        <v>811.57754011552379</v>
      </c>
      <c r="I355">
        <f t="shared" si="128"/>
        <v>840.70539579711874</v>
      </c>
      <c r="J355">
        <f t="shared" si="128"/>
        <v>754.85183813301671</v>
      </c>
      <c r="K355">
        <f t="shared" si="128"/>
        <v>507.83679653995102</v>
      </c>
      <c r="L355">
        <f t="shared" si="128"/>
        <v>590.04832526283042</v>
      </c>
      <c r="M355">
        <f t="shared" si="128"/>
        <v>588.95747462565055</v>
      </c>
      <c r="N355">
        <f t="shared" si="128"/>
        <v>644.65469331115503</v>
      </c>
      <c r="O355">
        <f t="shared" si="128"/>
        <v>673.29813714433294</v>
      </c>
      <c r="P355">
        <f t="shared" si="128"/>
        <v>774.40000000000009</v>
      </c>
      <c r="Q355">
        <f t="shared" si="128"/>
        <v>653.73</v>
      </c>
      <c r="R355">
        <f t="shared" si="128"/>
        <v>801.31999999999994</v>
      </c>
      <c r="S355">
        <f t="shared" si="128"/>
        <v>438.98</v>
      </c>
      <c r="T355">
        <f t="shared" si="128"/>
        <v>610.5</v>
      </c>
      <c r="U355">
        <f t="shared" si="128"/>
        <v>739.44</v>
      </c>
      <c r="V355">
        <f t="shared" si="128"/>
        <v>533.65000000000009</v>
      </c>
      <c r="W355">
        <f t="shared" si="128"/>
        <v>617.07000000000005</v>
      </c>
      <c r="Y355" s="6">
        <f t="shared" si="99"/>
        <v>13426.017302882077</v>
      </c>
      <c r="Z355">
        <f>SUMPRODUCT($D$358:$W$358,D355:W355)</f>
        <v>1064.390691416422</v>
      </c>
    </row>
    <row r="356" spans="1:26" x14ac:dyDescent="0.25">
      <c r="A356" t="s">
        <v>314</v>
      </c>
      <c r="D356">
        <f t="shared" ref="D356:W356" si="129">D32*D140</f>
        <v>313.58964153329026</v>
      </c>
      <c r="E356">
        <f t="shared" si="129"/>
        <v>634.55399359200294</v>
      </c>
      <c r="F356">
        <f t="shared" si="129"/>
        <v>414.76948856410701</v>
      </c>
      <c r="G356">
        <f t="shared" si="129"/>
        <v>670.88367397808452</v>
      </c>
      <c r="H356">
        <f t="shared" si="129"/>
        <v>776.83332245133829</v>
      </c>
      <c r="I356">
        <f t="shared" si="129"/>
        <v>711.83344656493603</v>
      </c>
      <c r="J356">
        <f t="shared" si="129"/>
        <v>687.97601349781553</v>
      </c>
      <c r="K356">
        <f t="shared" si="129"/>
        <v>691.74</v>
      </c>
      <c r="L356">
        <f t="shared" si="129"/>
        <v>638.88</v>
      </c>
      <c r="M356">
        <f t="shared" si="129"/>
        <v>584.66</v>
      </c>
      <c r="N356">
        <f t="shared" si="129"/>
        <v>617.4799999999999</v>
      </c>
      <c r="O356">
        <f t="shared" si="129"/>
        <v>637.14</v>
      </c>
      <c r="P356">
        <f t="shared" si="129"/>
        <v>561.3509788181708</v>
      </c>
      <c r="Q356">
        <f t="shared" si="129"/>
        <v>592.02851262059357</v>
      </c>
      <c r="R356">
        <f t="shared" si="129"/>
        <v>609.73176315336798</v>
      </c>
      <c r="S356">
        <f t="shared" si="129"/>
        <v>651.39338807664672</v>
      </c>
      <c r="T356">
        <f t="shared" si="129"/>
        <v>647.82029387094599</v>
      </c>
      <c r="U356">
        <f t="shared" si="129"/>
        <v>591.5173317645216</v>
      </c>
      <c r="V356">
        <f t="shared" si="129"/>
        <v>508.43128057805143</v>
      </c>
      <c r="W356">
        <f t="shared" si="129"/>
        <v>520.51350138656221</v>
      </c>
      <c r="Y356" s="6">
        <f t="shared" si="99"/>
        <v>12063.126630450435</v>
      </c>
      <c r="Z356">
        <f>SUMPRODUCT($D$358:$W$358,D356:W356)</f>
        <v>997.7434208169517</v>
      </c>
    </row>
    <row r="357" spans="1:26" x14ac:dyDescent="0.25">
      <c r="A357" t="s">
        <v>658</v>
      </c>
      <c r="D357">
        <f t="shared" ref="D357:W357" si="130">D33*D141</f>
        <v>678.56568395962495</v>
      </c>
      <c r="E357">
        <f t="shared" si="130"/>
        <v>714.6026320193431</v>
      </c>
      <c r="F357">
        <f t="shared" si="130"/>
        <v>739.91098259315925</v>
      </c>
      <c r="G357">
        <f t="shared" si="130"/>
        <v>660.51667658084318</v>
      </c>
      <c r="H357">
        <f t="shared" si="130"/>
        <v>478.09068979217489</v>
      </c>
      <c r="I357">
        <f t="shared" si="130"/>
        <v>547.39</v>
      </c>
      <c r="J357">
        <f t="shared" si="130"/>
        <v>574.86</v>
      </c>
      <c r="K357">
        <f t="shared" si="130"/>
        <v>544.57999999999993</v>
      </c>
      <c r="L357">
        <f t="shared" si="130"/>
        <v>498.48000000000008</v>
      </c>
      <c r="M357">
        <f t="shared" si="130"/>
        <v>601.75</v>
      </c>
      <c r="N357">
        <f t="shared" si="130"/>
        <v>587.64</v>
      </c>
      <c r="O357">
        <f t="shared" si="130"/>
        <v>563.27</v>
      </c>
      <c r="P357">
        <f t="shared" si="130"/>
        <v>495.78955197848899</v>
      </c>
      <c r="Q357">
        <f t="shared" si="130"/>
        <v>503.38749868634017</v>
      </c>
      <c r="R357">
        <f t="shared" si="130"/>
        <v>405.82675665078068</v>
      </c>
      <c r="S357">
        <f t="shared" si="130"/>
        <v>606.67047619047617</v>
      </c>
      <c r="T357">
        <f t="shared" si="130"/>
        <v>631.21847497415706</v>
      </c>
      <c r="U357">
        <f t="shared" si="130"/>
        <v>594.82523213948389</v>
      </c>
      <c r="V357">
        <f t="shared" si="130"/>
        <v>507.67076053188288</v>
      </c>
      <c r="W357">
        <f t="shared" si="130"/>
        <v>548.28651360339484</v>
      </c>
      <c r="Y357" s="6">
        <f t="shared" ref="Y357" si="131">SUM(D357:W357)</f>
        <v>11483.331929700149</v>
      </c>
      <c r="Z357">
        <f>SUMPRODUCT($D$358:$W$358,D357:W357)</f>
        <v>997.14863440284978</v>
      </c>
    </row>
    <row r="358" spans="1:26" x14ac:dyDescent="0.25">
      <c r="A358" s="2" t="s">
        <v>71</v>
      </c>
      <c r="D358" s="3">
        <f>CORREL($B$2:$B$28,D326:D352)</f>
        <v>3.0497209950099302E-2</v>
      </c>
      <c r="E358" s="3">
        <f t="shared" ref="E358:W358" si="132">CORREL($B$2:$B$28,E326:E352)</f>
        <v>3.2323457276038949E-2</v>
      </c>
      <c r="F358" s="3">
        <f t="shared" si="132"/>
        <v>0.11086577831241336</v>
      </c>
      <c r="G358" s="3">
        <f t="shared" si="132"/>
        <v>0.26939877991073419</v>
      </c>
      <c r="H358" s="3">
        <f t="shared" si="132"/>
        <v>-4.5676709136731254E-2</v>
      </c>
      <c r="I358" s="3">
        <f t="shared" si="132"/>
        <v>0.32460472821207936</v>
      </c>
      <c r="J358" s="3">
        <f t="shared" si="132"/>
        <v>-0.21840628865855177</v>
      </c>
      <c r="K358" s="3">
        <f t="shared" si="132"/>
        <v>-0.14581932363814565</v>
      </c>
      <c r="L358" s="3">
        <f t="shared" si="132"/>
        <v>0.16917868502075831</v>
      </c>
      <c r="M358" s="3">
        <f t="shared" si="132"/>
        <v>0.15477795126963043</v>
      </c>
      <c r="N358" s="3">
        <f t="shared" si="132"/>
        <v>3.1038273036866858E-2</v>
      </c>
      <c r="O358" s="3">
        <f t="shared" si="132"/>
        <v>0.10360706952473454</v>
      </c>
      <c r="P358" s="3">
        <f t="shared" si="132"/>
        <v>0.1549415720445404</v>
      </c>
      <c r="Q358" s="3">
        <f t="shared" si="132"/>
        <v>4.4958666998236724E-2</v>
      </c>
      <c r="R358" s="3">
        <f t="shared" si="132"/>
        <v>-4.375579942762698E-2</v>
      </c>
      <c r="S358" s="3">
        <f t="shared" si="132"/>
        <v>0.31647687523243018</v>
      </c>
      <c r="T358" s="3">
        <f t="shared" si="132"/>
        <v>0.27381873468726592</v>
      </c>
      <c r="U358" s="3">
        <f t="shared" si="132"/>
        <v>-1.7437889412943552E-2</v>
      </c>
      <c r="V358" s="3">
        <f t="shared" si="132"/>
        <v>0.11254226792831348</v>
      </c>
      <c r="W358" s="3">
        <f t="shared" si="132"/>
        <v>-8.8658275244552567E-3</v>
      </c>
      <c r="X358" s="3"/>
    </row>
    <row r="361" spans="1:26" x14ac:dyDescent="0.25">
      <c r="D361" t="s">
        <v>130</v>
      </c>
      <c r="E361" t="s">
        <v>131</v>
      </c>
      <c r="F361" t="s">
        <v>132</v>
      </c>
      <c r="G361" t="s">
        <v>133</v>
      </c>
      <c r="H361" t="s">
        <v>134</v>
      </c>
      <c r="I361" t="s">
        <v>135</v>
      </c>
      <c r="J361" t="s">
        <v>136</v>
      </c>
      <c r="K361" t="s">
        <v>137</v>
      </c>
      <c r="L361" t="s">
        <v>325</v>
      </c>
      <c r="M361" t="s">
        <v>373</v>
      </c>
      <c r="N361" t="s">
        <v>374</v>
      </c>
      <c r="O361" t="s">
        <v>375</v>
      </c>
      <c r="P361" t="s">
        <v>474</v>
      </c>
      <c r="Q361" t="s">
        <v>475</v>
      </c>
      <c r="R361" t="s">
        <v>476</v>
      </c>
      <c r="S361" t="s">
        <v>477</v>
      </c>
      <c r="T361" t="s">
        <v>586</v>
      </c>
      <c r="U361" t="s">
        <v>587</v>
      </c>
      <c r="V361" t="s">
        <v>588</v>
      </c>
      <c r="W361" t="s">
        <v>589</v>
      </c>
      <c r="Y361" t="s">
        <v>138</v>
      </c>
      <c r="Z361" t="s">
        <v>139</v>
      </c>
    </row>
    <row r="362" spans="1:26" x14ac:dyDescent="0.25">
      <c r="A362" t="s">
        <v>43</v>
      </c>
      <c r="D362">
        <f t="shared" ref="D362:W362" si="133">D2*D146</f>
        <v>203.43870323239827</v>
      </c>
      <c r="E362">
        <f t="shared" si="133"/>
        <v>194.26991934504792</v>
      </c>
      <c r="F362">
        <f t="shared" si="133"/>
        <v>175.6910898573442</v>
      </c>
      <c r="G362">
        <f t="shared" si="133"/>
        <v>275.89255778691648</v>
      </c>
      <c r="H362">
        <f t="shared" si="133"/>
        <v>223.71006896579513</v>
      </c>
      <c r="I362">
        <f t="shared" si="133"/>
        <v>217.80489990817716</v>
      </c>
      <c r="J362">
        <f t="shared" si="133"/>
        <v>389.54072209327745</v>
      </c>
      <c r="K362">
        <f t="shared" si="133"/>
        <v>233.08382163701529</v>
      </c>
      <c r="L362">
        <f t="shared" si="133"/>
        <v>262.81350984449034</v>
      </c>
      <c r="M362">
        <f t="shared" si="133"/>
        <v>139.70254220013717</v>
      </c>
      <c r="N362">
        <f t="shared" si="133"/>
        <v>190.66668769269336</v>
      </c>
      <c r="O362">
        <f t="shared" si="133"/>
        <v>240.69543705374687</v>
      </c>
      <c r="P362">
        <f t="shared" si="133"/>
        <v>249.32797209148885</v>
      </c>
      <c r="Q362">
        <f t="shared" si="133"/>
        <v>249.06026540343328</v>
      </c>
      <c r="R362">
        <f t="shared" si="133"/>
        <v>228.83217127864509</v>
      </c>
      <c r="S362">
        <f t="shared" si="133"/>
        <v>246.54744739955083</v>
      </c>
      <c r="T362">
        <f t="shared" si="133"/>
        <v>169.89247965141965</v>
      </c>
      <c r="U362">
        <f t="shared" si="133"/>
        <v>146.91578568871597</v>
      </c>
      <c r="V362">
        <f t="shared" si="133"/>
        <v>458.10512918831762</v>
      </c>
      <c r="W362">
        <f t="shared" si="133"/>
        <v>148.84244849306944</v>
      </c>
      <c r="Y362" s="6">
        <f t="shared" ref="Y362:Y392" si="134">SUM(D362:W362)</f>
        <v>4644.8336588116799</v>
      </c>
      <c r="Z362">
        <f t="shared" ref="Z362:Z388" si="135">SUMPRODUCT($D$394:$W$394,D362:W362)</f>
        <v>-497.63958193232622</v>
      </c>
    </row>
    <row r="363" spans="1:26" x14ac:dyDescent="0.25">
      <c r="A363" t="s">
        <v>44</v>
      </c>
      <c r="D363">
        <f t="shared" ref="D363:W363" si="136">D3*D147</f>
        <v>153.34399229544636</v>
      </c>
      <c r="E363">
        <f t="shared" si="136"/>
        <v>168.3154949010669</v>
      </c>
      <c r="F363">
        <f t="shared" si="136"/>
        <v>285.84881702196236</v>
      </c>
      <c r="G363">
        <f t="shared" si="136"/>
        <v>196.92535655844378</v>
      </c>
      <c r="H363">
        <f t="shared" si="136"/>
        <v>233.69314352598548</v>
      </c>
      <c r="I363">
        <f t="shared" si="136"/>
        <v>182.82230378229787</v>
      </c>
      <c r="J363">
        <f t="shared" si="136"/>
        <v>210.52844121255526</v>
      </c>
      <c r="K363">
        <f t="shared" si="136"/>
        <v>197.85382262454794</v>
      </c>
      <c r="L363">
        <f t="shared" si="136"/>
        <v>185.767376803914</v>
      </c>
      <c r="M363">
        <f t="shared" si="136"/>
        <v>249.23865998965221</v>
      </c>
      <c r="N363">
        <f t="shared" si="136"/>
        <v>350.49973295262572</v>
      </c>
      <c r="O363">
        <f t="shared" si="136"/>
        <v>246.14585155579613</v>
      </c>
      <c r="P363">
        <f t="shared" si="136"/>
        <v>151.9654967243909</v>
      </c>
      <c r="Q363">
        <f t="shared" si="136"/>
        <v>148.4973221204975</v>
      </c>
      <c r="R363">
        <f t="shared" si="136"/>
        <v>210.38712372312085</v>
      </c>
      <c r="S363">
        <f t="shared" si="136"/>
        <v>206.65310970862711</v>
      </c>
      <c r="T363">
        <f t="shared" si="136"/>
        <v>241.06968675305694</v>
      </c>
      <c r="U363">
        <f t="shared" si="136"/>
        <v>199.23037010499385</v>
      </c>
      <c r="V363">
        <f t="shared" si="136"/>
        <v>236.97862945232757</v>
      </c>
      <c r="W363">
        <f t="shared" si="136"/>
        <v>262.95806685472411</v>
      </c>
      <c r="Y363" s="6">
        <f t="shared" si="134"/>
        <v>4318.7227986660328</v>
      </c>
      <c r="Z363">
        <f t="shared" si="135"/>
        <v>-451.18369503663689</v>
      </c>
    </row>
    <row r="364" spans="1:26" x14ac:dyDescent="0.25">
      <c r="A364" t="s">
        <v>45</v>
      </c>
      <c r="D364">
        <f t="shared" ref="D364:W364" si="137">D4*D148</f>
        <v>290.42925995177364</v>
      </c>
      <c r="E364">
        <f t="shared" si="137"/>
        <v>94.833835350838697</v>
      </c>
      <c r="F364">
        <f t="shared" si="137"/>
        <v>109.09622927438772</v>
      </c>
      <c r="G364">
        <f t="shared" si="137"/>
        <v>298.98662357325713</v>
      </c>
      <c r="H364">
        <f t="shared" si="137"/>
        <v>287.37871770510333</v>
      </c>
      <c r="I364">
        <f t="shared" si="137"/>
        <v>249.87082053891945</v>
      </c>
      <c r="J364">
        <f t="shared" si="137"/>
        <v>259.59785436270363</v>
      </c>
      <c r="K364">
        <f t="shared" si="137"/>
        <v>202.96954382926654</v>
      </c>
      <c r="L364">
        <f t="shared" si="137"/>
        <v>227.79348345801955</v>
      </c>
      <c r="M364">
        <f t="shared" si="137"/>
        <v>181.60978830646977</v>
      </c>
      <c r="N364">
        <f t="shared" si="137"/>
        <v>250.7695606396077</v>
      </c>
      <c r="O364">
        <f t="shared" si="137"/>
        <v>257.8513009708517</v>
      </c>
      <c r="P364">
        <f t="shared" si="137"/>
        <v>128.14133742125671</v>
      </c>
      <c r="Q364">
        <f t="shared" si="137"/>
        <v>156.0757357634653</v>
      </c>
      <c r="R364">
        <f t="shared" si="137"/>
        <v>264.01064645711807</v>
      </c>
      <c r="S364">
        <f t="shared" si="137"/>
        <v>267.07614803279085</v>
      </c>
      <c r="T364">
        <f t="shared" si="137"/>
        <v>387.94780946036713</v>
      </c>
      <c r="U364">
        <f t="shared" si="137"/>
        <v>328.22751931495515</v>
      </c>
      <c r="V364">
        <f t="shared" si="137"/>
        <v>232.79911173405642</v>
      </c>
      <c r="W364">
        <f t="shared" si="137"/>
        <v>289.26652644324548</v>
      </c>
      <c r="Y364" s="6">
        <f t="shared" si="134"/>
        <v>4764.7318525884539</v>
      </c>
      <c r="Z364">
        <f t="shared" si="135"/>
        <v>-545.98051220534353</v>
      </c>
    </row>
    <row r="365" spans="1:26" x14ac:dyDescent="0.25">
      <c r="A365" t="s">
        <v>46</v>
      </c>
      <c r="D365">
        <f t="shared" ref="D365:W365" si="138">D5*D149</f>
        <v>177.92330720862705</v>
      </c>
      <c r="E365">
        <f t="shared" si="138"/>
        <v>152.19354477092099</v>
      </c>
      <c r="F365">
        <f t="shared" si="138"/>
        <v>182.70182776113532</v>
      </c>
      <c r="G365">
        <f t="shared" si="138"/>
        <v>186.82141898663562</v>
      </c>
      <c r="H365">
        <f t="shared" si="138"/>
        <v>213.86378244793571</v>
      </c>
      <c r="I365">
        <f t="shared" si="138"/>
        <v>182.65047227784461</v>
      </c>
      <c r="J365">
        <f t="shared" si="138"/>
        <v>196.35260752400751</v>
      </c>
      <c r="K365">
        <f t="shared" si="138"/>
        <v>297.22112776712419</v>
      </c>
      <c r="L365">
        <f t="shared" si="138"/>
        <v>403.78253017897327</v>
      </c>
      <c r="M365">
        <f t="shared" si="138"/>
        <v>335.06084132996386</v>
      </c>
      <c r="N365">
        <f t="shared" si="138"/>
        <v>204.5367150151358</v>
      </c>
      <c r="O365">
        <f t="shared" si="138"/>
        <v>295.46779753797898</v>
      </c>
      <c r="P365">
        <f t="shared" si="138"/>
        <v>195.68591130237238</v>
      </c>
      <c r="Q365">
        <f t="shared" si="138"/>
        <v>225.34419211609574</v>
      </c>
      <c r="R365">
        <f t="shared" si="138"/>
        <v>172.38835015157625</v>
      </c>
      <c r="S365">
        <f t="shared" si="138"/>
        <v>352.3806124086899</v>
      </c>
      <c r="T365">
        <f t="shared" si="138"/>
        <v>179.29407260206358</v>
      </c>
      <c r="U365">
        <f t="shared" si="138"/>
        <v>155.58301673801722</v>
      </c>
      <c r="V365">
        <f t="shared" si="138"/>
        <v>144.99738422654997</v>
      </c>
      <c r="W365">
        <f t="shared" si="138"/>
        <v>182.71204128086626</v>
      </c>
      <c r="Y365" s="6">
        <f t="shared" si="134"/>
        <v>4436.9615536325146</v>
      </c>
      <c r="Z365">
        <f t="shared" si="135"/>
        <v>-375.82092911250982</v>
      </c>
    </row>
    <row r="366" spans="1:26" x14ac:dyDescent="0.25">
      <c r="A366" t="s">
        <v>47</v>
      </c>
      <c r="D366">
        <f t="shared" ref="D366:W366" si="139">D6*D150</f>
        <v>274.38098347882988</v>
      </c>
      <c r="E366">
        <f t="shared" si="139"/>
        <v>280.05324159553982</v>
      </c>
      <c r="F366">
        <f t="shared" si="139"/>
        <v>206.00210043297571</v>
      </c>
      <c r="G366">
        <f t="shared" si="139"/>
        <v>349.99930774199589</v>
      </c>
      <c r="H366">
        <f t="shared" si="139"/>
        <v>272.38422519943026</v>
      </c>
      <c r="I366">
        <f t="shared" si="139"/>
        <v>231.01866158619916</v>
      </c>
      <c r="J366">
        <f t="shared" si="139"/>
        <v>263.19160174972626</v>
      </c>
      <c r="K366">
        <f t="shared" si="139"/>
        <v>314.7424112477575</v>
      </c>
      <c r="L366">
        <f t="shared" si="139"/>
        <v>271.69752204305638</v>
      </c>
      <c r="M366">
        <f t="shared" si="139"/>
        <v>297.42769796579978</v>
      </c>
      <c r="N366">
        <f t="shared" si="139"/>
        <v>289.78395595140626</v>
      </c>
      <c r="O366">
        <f t="shared" si="139"/>
        <v>271.63631135878535</v>
      </c>
      <c r="P366">
        <f t="shared" si="139"/>
        <v>311.7444079811205</v>
      </c>
      <c r="Q366">
        <f t="shared" si="139"/>
        <v>227.77091839502208</v>
      </c>
      <c r="R366">
        <f t="shared" si="139"/>
        <v>228.19663557180104</v>
      </c>
      <c r="S366">
        <f t="shared" si="139"/>
        <v>298.4993913113347</v>
      </c>
      <c r="T366">
        <f t="shared" si="139"/>
        <v>210.30518834218168</v>
      </c>
      <c r="U366">
        <f t="shared" si="139"/>
        <v>197.1012939866421</v>
      </c>
      <c r="V366">
        <f t="shared" si="139"/>
        <v>258.94349381270951</v>
      </c>
      <c r="W366">
        <f t="shared" si="139"/>
        <v>284.46895913967825</v>
      </c>
      <c r="Y366" s="6">
        <f t="shared" si="134"/>
        <v>5339.3483088919911</v>
      </c>
      <c r="Z366">
        <f t="shared" si="135"/>
        <v>-480.86996854952389</v>
      </c>
    </row>
    <row r="367" spans="1:26" x14ac:dyDescent="0.25">
      <c r="A367" t="s">
        <v>48</v>
      </c>
      <c r="D367">
        <f t="shared" ref="D367:W367" si="140">D7*D151</f>
        <v>361.29900335514139</v>
      </c>
      <c r="E367">
        <f t="shared" si="140"/>
        <v>423.15789733300039</v>
      </c>
      <c r="F367">
        <f t="shared" si="140"/>
        <v>450.3665478316496</v>
      </c>
      <c r="G367">
        <f t="shared" si="140"/>
        <v>527.95595290882852</v>
      </c>
      <c r="H367">
        <f t="shared" si="140"/>
        <v>511.26447524637194</v>
      </c>
      <c r="I367">
        <f t="shared" si="140"/>
        <v>519.8974560667607</v>
      </c>
      <c r="J367">
        <f t="shared" si="140"/>
        <v>678.40947527628487</v>
      </c>
      <c r="K367">
        <f t="shared" si="140"/>
        <v>641.02149171186909</v>
      </c>
      <c r="L367">
        <f t="shared" si="140"/>
        <v>374.88973358995202</v>
      </c>
      <c r="M367">
        <f t="shared" si="140"/>
        <v>265.47628715759299</v>
      </c>
      <c r="N367">
        <f t="shared" si="140"/>
        <v>337.73791563279252</v>
      </c>
      <c r="O367">
        <f t="shared" si="140"/>
        <v>224.23788372797088</v>
      </c>
      <c r="P367">
        <f t="shared" si="140"/>
        <v>296.05019772805542</v>
      </c>
      <c r="Q367">
        <f t="shared" si="140"/>
        <v>320.76188846052548</v>
      </c>
      <c r="R367">
        <f t="shared" si="140"/>
        <v>246.45625328533197</v>
      </c>
      <c r="S367">
        <f t="shared" si="140"/>
        <v>134.80677522646363</v>
      </c>
      <c r="T367">
        <f t="shared" si="140"/>
        <v>185.82807300884775</v>
      </c>
      <c r="U367">
        <f t="shared" si="140"/>
        <v>161.81239441999017</v>
      </c>
      <c r="V367">
        <f t="shared" si="140"/>
        <v>202.81291777765662</v>
      </c>
      <c r="W367">
        <f t="shared" si="140"/>
        <v>190.91052462866807</v>
      </c>
      <c r="Y367" s="6">
        <f t="shared" si="134"/>
        <v>7055.1531443737549</v>
      </c>
      <c r="Z367">
        <f t="shared" si="135"/>
        <v>-546.46263323425774</v>
      </c>
    </row>
    <row r="368" spans="1:26" x14ac:dyDescent="0.25">
      <c r="A368" t="s">
        <v>49</v>
      </c>
      <c r="D368">
        <f t="shared" ref="D368:W368" si="141">D8*D152</f>
        <v>157.34762816428633</v>
      </c>
      <c r="E368">
        <f t="shared" si="141"/>
        <v>247.68851199391628</v>
      </c>
      <c r="F368">
        <f t="shared" si="141"/>
        <v>305.0928068578537</v>
      </c>
      <c r="G368">
        <f t="shared" si="141"/>
        <v>227.01155129145479</v>
      </c>
      <c r="H368">
        <f t="shared" si="141"/>
        <v>204.65635686314343</v>
      </c>
      <c r="I368">
        <f t="shared" si="141"/>
        <v>202.7943630899031</v>
      </c>
      <c r="J368">
        <f t="shared" si="141"/>
        <v>230.97161891794303</v>
      </c>
      <c r="K368">
        <f t="shared" si="141"/>
        <v>291.96777824140264</v>
      </c>
      <c r="L368">
        <f t="shared" si="141"/>
        <v>249.83668257155003</v>
      </c>
      <c r="M368">
        <f t="shared" si="141"/>
        <v>263.37362764658621</v>
      </c>
      <c r="N368">
        <f t="shared" si="141"/>
        <v>283.8334457230597</v>
      </c>
      <c r="O368">
        <f t="shared" si="141"/>
        <v>260.20235876660212</v>
      </c>
      <c r="P368">
        <f t="shared" si="141"/>
        <v>348.94865814270776</v>
      </c>
      <c r="Q368">
        <f t="shared" si="141"/>
        <v>363.78532485162168</v>
      </c>
      <c r="R368">
        <f t="shared" si="141"/>
        <v>410.25897821656616</v>
      </c>
      <c r="S368">
        <f t="shared" si="141"/>
        <v>334.39857891149308</v>
      </c>
      <c r="T368">
        <f t="shared" si="141"/>
        <v>215.58716281032986</v>
      </c>
      <c r="U368">
        <f t="shared" si="141"/>
        <v>278.05956527110749</v>
      </c>
      <c r="V368">
        <f t="shared" si="141"/>
        <v>287.09076359423784</v>
      </c>
      <c r="W368">
        <f t="shared" si="141"/>
        <v>157.91550533085086</v>
      </c>
      <c r="Y368" s="6">
        <f t="shared" si="134"/>
        <v>5320.8212672566151</v>
      </c>
      <c r="Z368">
        <f t="shared" si="135"/>
        <v>-526.75027042101931</v>
      </c>
    </row>
    <row r="369" spans="1:26" x14ac:dyDescent="0.25">
      <c r="A369" t="s">
        <v>50</v>
      </c>
      <c r="D369">
        <f t="shared" ref="D369:W369" si="142">D9*D153</f>
        <v>229.25620655657661</v>
      </c>
      <c r="E369">
        <f t="shared" si="142"/>
        <v>235.79115059920457</v>
      </c>
      <c r="F369">
        <f t="shared" si="142"/>
        <v>-2.597044787846281</v>
      </c>
      <c r="G369">
        <f t="shared" si="142"/>
        <v>327.20683996851238</v>
      </c>
      <c r="H369">
        <f t="shared" si="142"/>
        <v>339.5752015080015</v>
      </c>
      <c r="I369">
        <f t="shared" si="142"/>
        <v>256.83990586225843</v>
      </c>
      <c r="J369">
        <f t="shared" si="142"/>
        <v>280.19301318870424</v>
      </c>
      <c r="K369">
        <f t="shared" si="142"/>
        <v>247.87035961578943</v>
      </c>
      <c r="L369">
        <f t="shared" si="142"/>
        <v>297.5035425701227</v>
      </c>
      <c r="M369">
        <f t="shared" si="142"/>
        <v>515.3160115166462</v>
      </c>
      <c r="N369">
        <f t="shared" si="142"/>
        <v>647.58074565118216</v>
      </c>
      <c r="O369">
        <f t="shared" si="142"/>
        <v>832.75236232784266</v>
      </c>
      <c r="P369">
        <f t="shared" si="142"/>
        <v>879.74750104207249</v>
      </c>
      <c r="Q369">
        <f t="shared" si="142"/>
        <v>876.57646684628548</v>
      </c>
      <c r="R369">
        <f t="shared" si="142"/>
        <v>82.334244132535545</v>
      </c>
      <c r="S369">
        <f t="shared" si="142"/>
        <v>99.617509143804895</v>
      </c>
      <c r="T369">
        <f t="shared" si="142"/>
        <v>425.01809653815059</v>
      </c>
      <c r="U369">
        <f t="shared" si="142"/>
        <v>324.39476559712307</v>
      </c>
      <c r="V369">
        <f t="shared" si="142"/>
        <v>317.01564495721874</v>
      </c>
      <c r="W369">
        <f t="shared" si="142"/>
        <v>186.76889165977434</v>
      </c>
      <c r="Y369" s="6">
        <f t="shared" si="134"/>
        <v>7398.7614144939589</v>
      </c>
      <c r="Z369">
        <f t="shared" si="135"/>
        <v>-1022.855773828457</v>
      </c>
    </row>
    <row r="370" spans="1:26" x14ac:dyDescent="0.25">
      <c r="A370" t="s">
        <v>51</v>
      </c>
      <c r="D370">
        <f t="shared" ref="D370:W370" si="143">D10*D154</f>
        <v>318.55253157280396</v>
      </c>
      <c r="E370">
        <f t="shared" si="143"/>
        <v>559.28210983062684</v>
      </c>
      <c r="F370">
        <f t="shared" si="143"/>
        <v>550.73386465910539</v>
      </c>
      <c r="G370">
        <f t="shared" si="143"/>
        <v>415.87467379689406</v>
      </c>
      <c r="H370">
        <f t="shared" si="143"/>
        <v>340.50389233120774</v>
      </c>
      <c r="I370">
        <f t="shared" si="143"/>
        <v>234.51891107939394</v>
      </c>
      <c r="J370">
        <f t="shared" si="143"/>
        <v>631.89858185296146</v>
      </c>
      <c r="K370">
        <f t="shared" si="143"/>
        <v>696.04592555337467</v>
      </c>
      <c r="L370">
        <f t="shared" si="143"/>
        <v>674.94636004790561</v>
      </c>
      <c r="M370">
        <f t="shared" si="143"/>
        <v>614.53872409297594</v>
      </c>
      <c r="N370">
        <f t="shared" si="143"/>
        <v>511.93189901158394</v>
      </c>
      <c r="O370">
        <f t="shared" si="143"/>
        <v>621.65072930504755</v>
      </c>
      <c r="P370">
        <f t="shared" si="143"/>
        <v>675.0865701259919</v>
      </c>
      <c r="Q370">
        <f t="shared" si="143"/>
        <v>645.68750124547694</v>
      </c>
      <c r="R370">
        <f t="shared" si="143"/>
        <v>752.7958219583187</v>
      </c>
      <c r="S370">
        <f t="shared" si="143"/>
        <v>719.05897779976647</v>
      </c>
      <c r="T370">
        <f t="shared" si="143"/>
        <v>756.33082112371426</v>
      </c>
      <c r="U370">
        <f t="shared" si="143"/>
        <v>483.77265624933636</v>
      </c>
      <c r="V370">
        <f t="shared" si="143"/>
        <v>472.90955225100333</v>
      </c>
      <c r="W370">
        <f t="shared" si="143"/>
        <v>327.04684657900907</v>
      </c>
      <c r="Y370" s="6">
        <f t="shared" si="134"/>
        <v>11003.166950466497</v>
      </c>
      <c r="Z370">
        <f t="shared" si="135"/>
        <v>-1159.9870347884839</v>
      </c>
    </row>
    <row r="371" spans="1:26" x14ac:dyDescent="0.25">
      <c r="A371" t="s">
        <v>52</v>
      </c>
      <c r="D371">
        <f t="shared" ref="D371:W371" si="144">D11*D155</f>
        <v>215.30320497763117</v>
      </c>
      <c r="E371">
        <f t="shared" si="144"/>
        <v>227.64554733882213</v>
      </c>
      <c r="F371">
        <f t="shared" si="144"/>
        <v>246.37751632503984</v>
      </c>
      <c r="G371">
        <f t="shared" si="144"/>
        <v>232.28559175001988</v>
      </c>
      <c r="H371">
        <f t="shared" si="144"/>
        <v>264.0618435413835</v>
      </c>
      <c r="I371">
        <f t="shared" si="144"/>
        <v>344.35895216854135</v>
      </c>
      <c r="J371">
        <f t="shared" si="144"/>
        <v>184.50622553026895</v>
      </c>
      <c r="K371">
        <f t="shared" si="144"/>
        <v>188.6912890439784</v>
      </c>
      <c r="L371">
        <f t="shared" si="144"/>
        <v>283.04814561600347</v>
      </c>
      <c r="M371">
        <f t="shared" si="144"/>
        <v>272.36127616463443</v>
      </c>
      <c r="N371">
        <f t="shared" si="144"/>
        <v>164.52969037018229</v>
      </c>
      <c r="O371">
        <f t="shared" si="144"/>
        <v>220.50286970766368</v>
      </c>
      <c r="P371">
        <f t="shared" si="144"/>
        <v>256.63780279747937</v>
      </c>
      <c r="Q371">
        <f t="shared" si="144"/>
        <v>203.38468663550276</v>
      </c>
      <c r="R371">
        <f t="shared" si="144"/>
        <v>240.2505153569324</v>
      </c>
      <c r="S371">
        <f t="shared" si="144"/>
        <v>244.28406434410434</v>
      </c>
      <c r="T371">
        <f t="shared" si="144"/>
        <v>142.99219425675932</v>
      </c>
      <c r="U371">
        <f t="shared" si="144"/>
        <v>164.0584288879615</v>
      </c>
      <c r="V371">
        <f t="shared" si="144"/>
        <v>158.25336874678385</v>
      </c>
      <c r="W371">
        <f t="shared" si="144"/>
        <v>186.44097683320976</v>
      </c>
      <c r="Y371" s="6">
        <f t="shared" si="134"/>
        <v>4439.9741903929025</v>
      </c>
      <c r="Z371">
        <f t="shared" si="135"/>
        <v>-308.67679398863083</v>
      </c>
    </row>
    <row r="372" spans="1:26" x14ac:dyDescent="0.25">
      <c r="A372" t="s">
        <v>53</v>
      </c>
      <c r="D372">
        <f t="shared" ref="D372:W372" si="145">D12*D156</f>
        <v>159.13209334964665</v>
      </c>
      <c r="E372">
        <f t="shared" si="145"/>
        <v>178.48627140595258</v>
      </c>
      <c r="F372">
        <f t="shared" si="145"/>
        <v>161.37660815091297</v>
      </c>
      <c r="G372">
        <f t="shared" si="145"/>
        <v>211.44440887409735</v>
      </c>
      <c r="H372">
        <f t="shared" si="145"/>
        <v>225.49709715250242</v>
      </c>
      <c r="I372">
        <f t="shared" si="145"/>
        <v>176.55413020874792</v>
      </c>
      <c r="J372">
        <f t="shared" si="145"/>
        <v>272.50650017960521</v>
      </c>
      <c r="K372">
        <f t="shared" si="145"/>
        <v>287.91463444559929</v>
      </c>
      <c r="L372">
        <f t="shared" si="145"/>
        <v>315.825837258023</v>
      </c>
      <c r="M372">
        <f t="shared" si="145"/>
        <v>266.79612833134189</v>
      </c>
      <c r="N372">
        <f t="shared" si="145"/>
        <v>218.66009984221969</v>
      </c>
      <c r="O372">
        <f t="shared" si="145"/>
        <v>252.93909612163071</v>
      </c>
      <c r="P372">
        <f t="shared" si="145"/>
        <v>255.09588404347076</v>
      </c>
      <c r="Q372">
        <f t="shared" si="145"/>
        <v>134.9829353975968</v>
      </c>
      <c r="R372">
        <f t="shared" si="145"/>
        <v>183.76958213942731</v>
      </c>
      <c r="S372">
        <f t="shared" si="145"/>
        <v>202.86831163806377</v>
      </c>
      <c r="T372">
        <f t="shared" si="145"/>
        <v>262.23366787378524</v>
      </c>
      <c r="U372">
        <f t="shared" si="145"/>
        <v>202.74579692259283</v>
      </c>
      <c r="V372">
        <f t="shared" si="145"/>
        <v>146.61974085570006</v>
      </c>
      <c r="W372">
        <f t="shared" si="145"/>
        <v>116.60063041279604</v>
      </c>
      <c r="Y372" s="6">
        <f t="shared" si="134"/>
        <v>4232.0494546037135</v>
      </c>
      <c r="Z372">
        <f t="shared" si="135"/>
        <v>-435.35855579568215</v>
      </c>
    </row>
    <row r="373" spans="1:26" x14ac:dyDescent="0.25">
      <c r="A373" t="s">
        <v>54</v>
      </c>
      <c r="D373">
        <f t="shared" ref="D373:W373" si="146">D13*D157</f>
        <v>222.21808906070984</v>
      </c>
      <c r="E373">
        <f t="shared" si="146"/>
        <v>324.37101780521454</v>
      </c>
      <c r="F373">
        <f t="shared" si="146"/>
        <v>272.59456728654152</v>
      </c>
      <c r="G373">
        <f t="shared" si="146"/>
        <v>173.28940808577931</v>
      </c>
      <c r="H373">
        <f t="shared" si="146"/>
        <v>155.98126886873612</v>
      </c>
      <c r="I373">
        <f t="shared" si="146"/>
        <v>185.31251896802254</v>
      </c>
      <c r="J373">
        <f t="shared" si="146"/>
        <v>134.40333545058419</v>
      </c>
      <c r="K373">
        <f t="shared" si="146"/>
        <v>147.57008755723581</v>
      </c>
      <c r="L373">
        <f t="shared" si="146"/>
        <v>215.88837462362889</v>
      </c>
      <c r="M373">
        <f t="shared" si="146"/>
        <v>314.19074243365054</v>
      </c>
      <c r="N373">
        <f t="shared" si="146"/>
        <v>285.25202033031985</v>
      </c>
      <c r="O373">
        <f t="shared" si="146"/>
        <v>370.42503640739477</v>
      </c>
      <c r="P373">
        <f t="shared" si="146"/>
        <v>409.08351273701027</v>
      </c>
      <c r="Q373">
        <f t="shared" si="146"/>
        <v>310.07621638026529</v>
      </c>
      <c r="R373">
        <f t="shared" si="146"/>
        <v>125.96070387972085</v>
      </c>
      <c r="S373">
        <f t="shared" si="146"/>
        <v>157.47442054508295</v>
      </c>
      <c r="T373">
        <f t="shared" si="146"/>
        <v>168.9726685281268</v>
      </c>
      <c r="U373">
        <f t="shared" si="146"/>
        <v>174.17014783141065</v>
      </c>
      <c r="V373">
        <f t="shared" si="146"/>
        <v>100.62014006682509</v>
      </c>
      <c r="W373">
        <f t="shared" si="146"/>
        <v>173.41891198139209</v>
      </c>
      <c r="Y373" s="6">
        <f t="shared" si="134"/>
        <v>4421.2731888276503</v>
      </c>
      <c r="Z373">
        <f t="shared" si="135"/>
        <v>-374.88408527190944</v>
      </c>
    </row>
    <row r="374" spans="1:26" x14ac:dyDescent="0.25">
      <c r="A374" t="s">
        <v>55</v>
      </c>
      <c r="D374">
        <f t="shared" ref="D374:W374" si="147">D14*D158</f>
        <v>334.84941679875612</v>
      </c>
      <c r="E374">
        <f t="shared" si="147"/>
        <v>299.31038472680439</v>
      </c>
      <c r="F374">
        <f t="shared" si="147"/>
        <v>206.10525519599761</v>
      </c>
      <c r="G374">
        <f t="shared" si="147"/>
        <v>253.50649048052827</v>
      </c>
      <c r="H374">
        <f t="shared" si="147"/>
        <v>255.77001329206877</v>
      </c>
      <c r="I374">
        <f t="shared" si="147"/>
        <v>252.08076273348755</v>
      </c>
      <c r="J374">
        <f t="shared" si="147"/>
        <v>225.34256010011256</v>
      </c>
      <c r="K374">
        <f t="shared" si="147"/>
        <v>209.47641144834617</v>
      </c>
      <c r="L374">
        <f t="shared" si="147"/>
        <v>225.77356783491911</v>
      </c>
      <c r="M374">
        <f t="shared" si="147"/>
        <v>240.86255306268268</v>
      </c>
      <c r="N374">
        <f t="shared" si="147"/>
        <v>238.842756631171</v>
      </c>
      <c r="O374">
        <f t="shared" si="147"/>
        <v>137.3423426514297</v>
      </c>
      <c r="P374">
        <f t="shared" si="147"/>
        <v>198.930758127541</v>
      </c>
      <c r="Q374">
        <f t="shared" si="147"/>
        <v>279.8792453054819</v>
      </c>
      <c r="R374">
        <f t="shared" si="147"/>
        <v>173.56381402976174</v>
      </c>
      <c r="S374">
        <f t="shared" si="147"/>
        <v>250.81380882587013</v>
      </c>
      <c r="T374">
        <f t="shared" si="147"/>
        <v>155.67955669310908</v>
      </c>
      <c r="U374">
        <f t="shared" si="147"/>
        <v>150.07077603081351</v>
      </c>
      <c r="V374">
        <f t="shared" si="147"/>
        <v>317.83958584159637</v>
      </c>
      <c r="W374">
        <f t="shared" si="147"/>
        <v>253.85636252035368</v>
      </c>
      <c r="Y374" s="6">
        <f t="shared" si="134"/>
        <v>4659.8964223308321</v>
      </c>
      <c r="Z374">
        <f t="shared" si="135"/>
        <v>-378.73673747809818</v>
      </c>
    </row>
    <row r="375" spans="1:26" x14ac:dyDescent="0.25">
      <c r="A375" t="s">
        <v>56</v>
      </c>
      <c r="D375">
        <f t="shared" ref="D375:W375" si="148">D15*D159</f>
        <v>332.86389297373285</v>
      </c>
      <c r="E375">
        <f t="shared" si="148"/>
        <v>264.11327751013459</v>
      </c>
      <c r="F375">
        <f t="shared" si="148"/>
        <v>243.66717751830669</v>
      </c>
      <c r="G375">
        <f t="shared" si="148"/>
        <v>237.09668937535403</v>
      </c>
      <c r="H375">
        <f t="shared" si="148"/>
        <v>149.21775096836899</v>
      </c>
      <c r="I375">
        <f t="shared" si="148"/>
        <v>234.94809404742881</v>
      </c>
      <c r="J375">
        <f t="shared" si="148"/>
        <v>223.80226553866117</v>
      </c>
      <c r="K375">
        <f t="shared" si="148"/>
        <v>296.99755509279288</v>
      </c>
      <c r="L375">
        <f t="shared" si="148"/>
        <v>190.0728184034588</v>
      </c>
      <c r="M375">
        <f t="shared" si="148"/>
        <v>240.18011452761439</v>
      </c>
      <c r="N375">
        <f t="shared" si="148"/>
        <v>212.92931033239776</v>
      </c>
      <c r="O375">
        <f t="shared" si="148"/>
        <v>285.86332976693552</v>
      </c>
      <c r="P375">
        <f t="shared" si="148"/>
        <v>338.9680480043512</v>
      </c>
      <c r="Q375">
        <f t="shared" si="148"/>
        <v>197.56630989130286</v>
      </c>
      <c r="R375">
        <f t="shared" si="148"/>
        <v>169.97375267984884</v>
      </c>
      <c r="S375">
        <f t="shared" si="148"/>
        <v>160.68863231897362</v>
      </c>
      <c r="T375">
        <f t="shared" si="148"/>
        <v>111.89257504056843</v>
      </c>
      <c r="U375">
        <f t="shared" si="148"/>
        <v>96.060592754400318</v>
      </c>
      <c r="V375">
        <f t="shared" si="148"/>
        <v>377.68752604091702</v>
      </c>
      <c r="W375">
        <f t="shared" si="148"/>
        <v>242.45136439237928</v>
      </c>
      <c r="Y375" s="6">
        <f t="shared" si="134"/>
        <v>4607.0410771779279</v>
      </c>
      <c r="Z375">
        <f t="shared" si="135"/>
        <v>-399.44553646564776</v>
      </c>
    </row>
    <row r="376" spans="1:26" x14ac:dyDescent="0.25">
      <c r="A376" t="s">
        <v>57</v>
      </c>
      <c r="D376">
        <f t="shared" ref="D376:W376" si="149">D16*D160</f>
        <v>226.55562291143272</v>
      </c>
      <c r="E376">
        <f t="shared" si="149"/>
        <v>265.69510267232778</v>
      </c>
      <c r="F376">
        <f t="shared" si="149"/>
        <v>248.70474386543239</v>
      </c>
      <c r="G376">
        <f t="shared" si="149"/>
        <v>246.25176176082724</v>
      </c>
      <c r="H376">
        <f t="shared" si="149"/>
        <v>217.839115642699</v>
      </c>
      <c r="I376">
        <f t="shared" si="149"/>
        <v>257.21918818157741</v>
      </c>
      <c r="J376">
        <f t="shared" si="149"/>
        <v>312.66075156996203</v>
      </c>
      <c r="K376">
        <f t="shared" si="149"/>
        <v>244.14135675001822</v>
      </c>
      <c r="L376">
        <f t="shared" si="149"/>
        <v>253.31450145113678</v>
      </c>
      <c r="M376">
        <f t="shared" si="149"/>
        <v>288.20068713639586</v>
      </c>
      <c r="N376">
        <f t="shared" si="149"/>
        <v>298.08349042739275</v>
      </c>
      <c r="O376">
        <f t="shared" si="149"/>
        <v>292.16271063087515</v>
      </c>
      <c r="P376">
        <f t="shared" si="149"/>
        <v>297.12508890773103</v>
      </c>
      <c r="Q376">
        <f t="shared" si="149"/>
        <v>315.29321859772546</v>
      </c>
      <c r="R376">
        <f t="shared" si="149"/>
        <v>253.71986896138867</v>
      </c>
      <c r="S376">
        <f t="shared" si="149"/>
        <v>237.52793582191484</v>
      </c>
      <c r="T376">
        <f t="shared" si="149"/>
        <v>201.07297077883257</v>
      </c>
      <c r="U376">
        <f t="shared" si="149"/>
        <v>288.41196735276083</v>
      </c>
      <c r="V376">
        <f t="shared" si="149"/>
        <v>211.51360420890157</v>
      </c>
      <c r="W376">
        <f t="shared" si="149"/>
        <v>205.59493884015475</v>
      </c>
      <c r="Y376" s="6">
        <f t="shared" si="134"/>
        <v>5161.0886264694882</v>
      </c>
      <c r="Z376">
        <f t="shared" si="135"/>
        <v>-509.903734644108</v>
      </c>
    </row>
    <row r="377" spans="1:26" x14ac:dyDescent="0.25">
      <c r="A377" t="s">
        <v>58</v>
      </c>
      <c r="D377">
        <f t="shared" ref="D377:W377" si="150">D17*D161</f>
        <v>127.60841509654838</v>
      </c>
      <c r="E377">
        <f t="shared" si="150"/>
        <v>168.92682334830485</v>
      </c>
      <c r="F377">
        <f t="shared" si="150"/>
        <v>279.72357179890798</v>
      </c>
      <c r="G377">
        <f t="shared" si="150"/>
        <v>485.22557314235013</v>
      </c>
      <c r="H377">
        <f t="shared" si="150"/>
        <v>192.5618962081424</v>
      </c>
      <c r="I377">
        <f t="shared" si="150"/>
        <v>123.65667108591761</v>
      </c>
      <c r="J377">
        <f t="shared" si="150"/>
        <v>159.3411017216371</v>
      </c>
      <c r="K377">
        <f t="shared" si="150"/>
        <v>215.96324540419303</v>
      </c>
      <c r="L377">
        <f t="shared" si="150"/>
        <v>209.2216088167319</v>
      </c>
      <c r="M377">
        <f t="shared" si="150"/>
        <v>214.36685885821018</v>
      </c>
      <c r="N377">
        <f t="shared" si="150"/>
        <v>171.93800976094101</v>
      </c>
      <c r="O377">
        <f t="shared" si="150"/>
        <v>267.65980749626152</v>
      </c>
      <c r="P377">
        <f t="shared" si="150"/>
        <v>163.99652255634356</v>
      </c>
      <c r="Q377">
        <f t="shared" si="150"/>
        <v>158.16130735445785</v>
      </c>
      <c r="R377">
        <f t="shared" si="150"/>
        <v>149.86260300709984</v>
      </c>
      <c r="S377">
        <f t="shared" si="150"/>
        <v>192.81246380426634</v>
      </c>
      <c r="T377">
        <f t="shared" si="150"/>
        <v>242.51794545980306</v>
      </c>
      <c r="U377">
        <f t="shared" si="150"/>
        <v>101.12723188396524</v>
      </c>
      <c r="V377">
        <f t="shared" si="150"/>
        <v>97.803152638096222</v>
      </c>
      <c r="W377">
        <f t="shared" si="150"/>
        <v>207.67862321285307</v>
      </c>
      <c r="Y377" s="6">
        <f t="shared" si="134"/>
        <v>3930.1534326550318</v>
      </c>
      <c r="Z377">
        <f t="shared" si="135"/>
        <v>-301.49746008101971</v>
      </c>
    </row>
    <row r="378" spans="1:26" x14ac:dyDescent="0.25">
      <c r="A378" t="s">
        <v>59</v>
      </c>
      <c r="D378">
        <f t="shared" ref="D378:W378" si="151">D18*D162</f>
        <v>197.97800012811925</v>
      </c>
      <c r="E378">
        <f t="shared" si="151"/>
        <v>130.67255364511047</v>
      </c>
      <c r="F378">
        <f t="shared" si="151"/>
        <v>142.70399465399646</v>
      </c>
      <c r="G378">
        <f t="shared" si="151"/>
        <v>182.11791926385175</v>
      </c>
      <c r="H378">
        <f t="shared" si="151"/>
        <v>123.43463079703564</v>
      </c>
      <c r="I378">
        <f t="shared" si="151"/>
        <v>159.37983424608143</v>
      </c>
      <c r="J378">
        <f t="shared" si="151"/>
        <v>199.06840279274613</v>
      </c>
      <c r="K378">
        <f t="shared" si="151"/>
        <v>168.03570899821111</v>
      </c>
      <c r="L378">
        <f t="shared" si="151"/>
        <v>116.38586123935455</v>
      </c>
      <c r="M378">
        <f t="shared" si="151"/>
        <v>186.06038017654646</v>
      </c>
      <c r="N378">
        <f t="shared" si="151"/>
        <v>265.47787352457203</v>
      </c>
      <c r="O378">
        <f t="shared" si="151"/>
        <v>215.02989344155409</v>
      </c>
      <c r="P378">
        <f t="shared" si="151"/>
        <v>224.06910514282268</v>
      </c>
      <c r="Q378">
        <f t="shared" si="151"/>
        <v>150.21781633326904</v>
      </c>
      <c r="R378">
        <f t="shared" si="151"/>
        <v>174.28634873608203</v>
      </c>
      <c r="S378">
        <f t="shared" si="151"/>
        <v>255.16303838515449</v>
      </c>
      <c r="T378">
        <f t="shared" si="151"/>
        <v>192.13402187546689</v>
      </c>
      <c r="U378">
        <f t="shared" si="151"/>
        <v>195.88336304498426</v>
      </c>
      <c r="V378">
        <f t="shared" si="151"/>
        <v>216.58572670593875</v>
      </c>
      <c r="W378">
        <f t="shared" si="151"/>
        <v>174.57475301507387</v>
      </c>
      <c r="Y378" s="6">
        <f t="shared" si="134"/>
        <v>3669.2592261459708</v>
      </c>
      <c r="Z378">
        <f t="shared" si="135"/>
        <v>-407.67538343261185</v>
      </c>
    </row>
    <row r="379" spans="1:26" x14ac:dyDescent="0.25">
      <c r="A379" t="s">
        <v>60</v>
      </c>
      <c r="D379">
        <f t="shared" ref="D379:W379" si="152">D19*D163</f>
        <v>158.32124007594666</v>
      </c>
      <c r="E379">
        <f t="shared" si="152"/>
        <v>141.70334138607072</v>
      </c>
      <c r="F379">
        <f t="shared" si="152"/>
        <v>170.94087427232122</v>
      </c>
      <c r="G379">
        <f t="shared" si="152"/>
        <v>155.74894769459337</v>
      </c>
      <c r="H379">
        <f t="shared" si="152"/>
        <v>147.72365605160053</v>
      </c>
      <c r="I379">
        <f t="shared" si="152"/>
        <v>198.49303996296436</v>
      </c>
      <c r="J379">
        <f t="shared" si="152"/>
        <v>150.3844044483094</v>
      </c>
      <c r="K379">
        <f t="shared" si="152"/>
        <v>238.98148683526784</v>
      </c>
      <c r="L379">
        <f t="shared" si="152"/>
        <v>248.24186263048745</v>
      </c>
      <c r="M379">
        <f t="shared" si="152"/>
        <v>244.28552870020638</v>
      </c>
      <c r="N379">
        <f t="shared" si="152"/>
        <v>216.92323638465714</v>
      </c>
      <c r="O379">
        <f t="shared" si="152"/>
        <v>148.19300247806663</v>
      </c>
      <c r="P379">
        <f t="shared" si="152"/>
        <v>212.1340864940729</v>
      </c>
      <c r="Q379">
        <f t="shared" si="152"/>
        <v>258.84744617598983</v>
      </c>
      <c r="R379">
        <f t="shared" si="152"/>
        <v>181.98348607448105</v>
      </c>
      <c r="S379">
        <f t="shared" si="152"/>
        <v>180.94526166234905</v>
      </c>
      <c r="T379">
        <f t="shared" si="152"/>
        <v>226.79918481386886</v>
      </c>
      <c r="U379">
        <f t="shared" si="152"/>
        <v>224.61209853208194</v>
      </c>
      <c r="V379">
        <f t="shared" si="152"/>
        <v>80.257789018204093</v>
      </c>
      <c r="W379">
        <f t="shared" si="152"/>
        <v>128.73976581663385</v>
      </c>
      <c r="Y379" s="6">
        <f t="shared" si="134"/>
        <v>3714.259739508173</v>
      </c>
      <c r="Z379">
        <f t="shared" si="135"/>
        <v>-361.32659024344599</v>
      </c>
    </row>
    <row r="380" spans="1:26" x14ac:dyDescent="0.25">
      <c r="A380" t="s">
        <v>61</v>
      </c>
      <c r="D380">
        <f t="shared" ref="D380:W380" si="153">D20*D164</f>
        <v>258.83661299675668</v>
      </c>
      <c r="E380">
        <f t="shared" si="153"/>
        <v>266.28578132444994</v>
      </c>
      <c r="F380">
        <f t="shared" si="153"/>
        <v>263.16478617378942</v>
      </c>
      <c r="G380">
        <f t="shared" si="153"/>
        <v>194.93598524505532</v>
      </c>
      <c r="H380">
        <f t="shared" si="153"/>
        <v>203.42989081136011</v>
      </c>
      <c r="I380">
        <f t="shared" si="153"/>
        <v>195.09732300706281</v>
      </c>
      <c r="J380">
        <f t="shared" si="153"/>
        <v>239.87749971238671</v>
      </c>
      <c r="K380">
        <f t="shared" si="153"/>
        <v>205.1590666947188</v>
      </c>
      <c r="L380">
        <f t="shared" si="153"/>
        <v>176.78145729331439</v>
      </c>
      <c r="M380">
        <f t="shared" si="153"/>
        <v>247.12035761910428</v>
      </c>
      <c r="N380">
        <f t="shared" si="153"/>
        <v>244.25537044448208</v>
      </c>
      <c r="O380">
        <f t="shared" si="153"/>
        <v>315.23600828359673</v>
      </c>
      <c r="P380">
        <f t="shared" si="153"/>
        <v>287.85793800838286</v>
      </c>
      <c r="Q380">
        <f t="shared" si="153"/>
        <v>171.30638801898189</v>
      </c>
      <c r="R380">
        <f t="shared" si="153"/>
        <v>219.69505589699975</v>
      </c>
      <c r="S380">
        <f t="shared" si="153"/>
        <v>315.45164655122494</v>
      </c>
      <c r="T380">
        <f t="shared" si="153"/>
        <v>186.7647574292007</v>
      </c>
      <c r="U380">
        <f t="shared" si="153"/>
        <v>161.94430995272128</v>
      </c>
      <c r="V380">
        <f t="shared" si="153"/>
        <v>138.02122030913202</v>
      </c>
      <c r="W380">
        <f t="shared" si="153"/>
        <v>174.00065309243391</v>
      </c>
      <c r="Y380" s="6">
        <f t="shared" si="134"/>
        <v>4465.2221088651559</v>
      </c>
      <c r="Z380">
        <f t="shared" si="135"/>
        <v>-377.66295288743811</v>
      </c>
    </row>
    <row r="381" spans="1:26" x14ac:dyDescent="0.25">
      <c r="A381" t="s">
        <v>62</v>
      </c>
      <c r="D381">
        <f t="shared" ref="D381:W381" si="154">D21*D165</f>
        <v>168.30234287238477</v>
      </c>
      <c r="E381">
        <f t="shared" si="154"/>
        <v>132.32355691626665</v>
      </c>
      <c r="F381">
        <f t="shared" si="154"/>
        <v>190.86399105685251</v>
      </c>
      <c r="G381">
        <f t="shared" si="154"/>
        <v>184.77116787098473</v>
      </c>
      <c r="H381">
        <f t="shared" si="154"/>
        <v>200.88441497309762</v>
      </c>
      <c r="I381">
        <f t="shared" si="154"/>
        <v>196.67860161391204</v>
      </c>
      <c r="J381">
        <f t="shared" si="154"/>
        <v>182.67699902969264</v>
      </c>
      <c r="K381">
        <f t="shared" si="154"/>
        <v>223.55402867847542</v>
      </c>
      <c r="L381">
        <f t="shared" si="154"/>
        <v>211.97122841280802</v>
      </c>
      <c r="M381">
        <f t="shared" si="154"/>
        <v>194.32897635308521</v>
      </c>
      <c r="N381">
        <f t="shared" si="154"/>
        <v>222.86787973123404</v>
      </c>
      <c r="O381">
        <f t="shared" si="154"/>
        <v>228.31220937341087</v>
      </c>
      <c r="P381">
        <f t="shared" si="154"/>
        <v>140.63799209341656</v>
      </c>
      <c r="Q381">
        <f t="shared" si="154"/>
        <v>260.64619029072571</v>
      </c>
      <c r="R381">
        <f t="shared" si="154"/>
        <v>316.32688557171821</v>
      </c>
      <c r="S381">
        <f t="shared" si="154"/>
        <v>280.20462000540527</v>
      </c>
      <c r="T381">
        <f t="shared" si="154"/>
        <v>80.853288558581127</v>
      </c>
      <c r="U381">
        <f t="shared" si="154"/>
        <v>185.69370876006073</v>
      </c>
      <c r="V381">
        <f t="shared" si="154"/>
        <v>176.38787574076611</v>
      </c>
      <c r="W381">
        <f t="shared" si="154"/>
        <v>158.44424648733536</v>
      </c>
      <c r="Y381" s="6">
        <f t="shared" si="134"/>
        <v>3936.7302043902132</v>
      </c>
      <c r="Z381">
        <f t="shared" si="135"/>
        <v>-354.88393106825134</v>
      </c>
    </row>
    <row r="382" spans="1:26" x14ac:dyDescent="0.25">
      <c r="A382" t="s">
        <v>63</v>
      </c>
      <c r="D382">
        <f t="shared" ref="D382:W382" si="155">D22*D166</f>
        <v>201.28437799303603</v>
      </c>
      <c r="E382">
        <f t="shared" si="155"/>
        <v>186.10001665197672</v>
      </c>
      <c r="F382">
        <f t="shared" si="155"/>
        <v>210.54763762730639</v>
      </c>
      <c r="G382">
        <f t="shared" si="155"/>
        <v>196.4959040254079</v>
      </c>
      <c r="H382">
        <f t="shared" si="155"/>
        <v>279.6578224154909</v>
      </c>
      <c r="I382">
        <f t="shared" si="155"/>
        <v>207.24872856346303</v>
      </c>
      <c r="J382">
        <f t="shared" si="155"/>
        <v>221.56278715935414</v>
      </c>
      <c r="K382">
        <f t="shared" si="155"/>
        <v>218.01495283922776</v>
      </c>
      <c r="L382">
        <f t="shared" si="155"/>
        <v>253.33017805478246</v>
      </c>
      <c r="M382">
        <f t="shared" si="155"/>
        <v>395.5277689493675</v>
      </c>
      <c r="N382">
        <f t="shared" si="155"/>
        <v>212.97187826882941</v>
      </c>
      <c r="O382">
        <f t="shared" si="155"/>
        <v>335.0529802089938</v>
      </c>
      <c r="P382">
        <f t="shared" si="155"/>
        <v>201.26891111047337</v>
      </c>
      <c r="Q382">
        <f t="shared" si="155"/>
        <v>212.46617458521331</v>
      </c>
      <c r="R382">
        <f t="shared" si="155"/>
        <v>185.80520703492996</v>
      </c>
      <c r="S382">
        <f t="shared" si="155"/>
        <v>264.89130139813381</v>
      </c>
      <c r="T382">
        <f t="shared" si="155"/>
        <v>185.87998967891863</v>
      </c>
      <c r="U382">
        <f t="shared" si="155"/>
        <v>154.11724348795059</v>
      </c>
      <c r="V382">
        <f t="shared" si="155"/>
        <v>248.57859570014051</v>
      </c>
      <c r="W382">
        <f t="shared" si="155"/>
        <v>234.6394484605982</v>
      </c>
      <c r="Y382" s="6">
        <f t="shared" si="134"/>
        <v>4605.4419042135942</v>
      </c>
      <c r="Z382">
        <f t="shared" si="135"/>
        <v>-420.25905762489299</v>
      </c>
    </row>
    <row r="383" spans="1:26" x14ac:dyDescent="0.25">
      <c r="A383" t="s">
        <v>64</v>
      </c>
      <c r="D383">
        <f t="shared" ref="D383:W383" si="156">D23*D167</f>
        <v>224.36538636612391</v>
      </c>
      <c r="E383">
        <f t="shared" si="156"/>
        <v>221.0197660307729</v>
      </c>
      <c r="F383">
        <f t="shared" si="156"/>
        <v>216.76017892671328</v>
      </c>
      <c r="G383">
        <f t="shared" si="156"/>
        <v>195.34870110246999</v>
      </c>
      <c r="H383">
        <f t="shared" si="156"/>
        <v>198.28246424472317</v>
      </c>
      <c r="I383">
        <f t="shared" si="156"/>
        <v>245.87602800068461</v>
      </c>
      <c r="J383">
        <f t="shared" si="156"/>
        <v>219.00624332787643</v>
      </c>
      <c r="K383">
        <f t="shared" si="156"/>
        <v>247.45027839101178</v>
      </c>
      <c r="L383">
        <f t="shared" si="156"/>
        <v>273.29817285242098</v>
      </c>
      <c r="M383">
        <f t="shared" si="156"/>
        <v>239.79816474593648</v>
      </c>
      <c r="N383">
        <f t="shared" si="156"/>
        <v>183.93801177558055</v>
      </c>
      <c r="O383">
        <f t="shared" si="156"/>
        <v>234.17998807907267</v>
      </c>
      <c r="P383">
        <f t="shared" si="156"/>
        <v>176.10363301852217</v>
      </c>
      <c r="Q383">
        <f t="shared" si="156"/>
        <v>327.97399924174499</v>
      </c>
      <c r="R383">
        <f t="shared" si="156"/>
        <v>293.24413014264297</v>
      </c>
      <c r="S383">
        <f t="shared" si="156"/>
        <v>271.55932304680027</v>
      </c>
      <c r="T383">
        <f t="shared" si="156"/>
        <v>226.3263198400104</v>
      </c>
      <c r="U383">
        <f t="shared" si="156"/>
        <v>214.31892599889693</v>
      </c>
      <c r="V383">
        <f t="shared" si="156"/>
        <v>183.90565466340857</v>
      </c>
      <c r="W383">
        <f t="shared" si="156"/>
        <v>196.04225808947868</v>
      </c>
      <c r="Y383" s="6">
        <f t="shared" si="134"/>
        <v>4588.797627884891</v>
      </c>
      <c r="Z383">
        <f t="shared" si="135"/>
        <v>-406.55161249621801</v>
      </c>
    </row>
    <row r="384" spans="1:26" x14ac:dyDescent="0.25">
      <c r="A384" t="s">
        <v>65</v>
      </c>
      <c r="D384">
        <f t="shared" ref="D384:W384" si="157">D24*D168</f>
        <v>239.72711787182266</v>
      </c>
      <c r="E384">
        <f t="shared" si="157"/>
        <v>209.04660936154261</v>
      </c>
      <c r="F384">
        <f t="shared" si="157"/>
        <v>165.12276055560454</v>
      </c>
      <c r="G384">
        <f t="shared" si="157"/>
        <v>147.80657439597243</v>
      </c>
      <c r="H384">
        <f t="shared" si="157"/>
        <v>276.79897128897426</v>
      </c>
      <c r="I384">
        <f t="shared" si="157"/>
        <v>214.4925778657005</v>
      </c>
      <c r="J384">
        <f t="shared" si="157"/>
        <v>193.98573839855322</v>
      </c>
      <c r="K384">
        <f t="shared" si="157"/>
        <v>199.12288974531771</v>
      </c>
      <c r="L384">
        <f t="shared" si="157"/>
        <v>188.28278632181627</v>
      </c>
      <c r="M384">
        <f t="shared" si="157"/>
        <v>207.71574719816473</v>
      </c>
      <c r="N384">
        <f t="shared" si="157"/>
        <v>182.61876433977753</v>
      </c>
      <c r="O384">
        <f t="shared" si="157"/>
        <v>164.18265814680325</v>
      </c>
      <c r="P384">
        <f t="shared" si="157"/>
        <v>185.1461012412648</v>
      </c>
      <c r="Q384">
        <f t="shared" si="157"/>
        <v>210.87126309777724</v>
      </c>
      <c r="R384">
        <f t="shared" si="157"/>
        <v>93.155593239565292</v>
      </c>
      <c r="S384">
        <f t="shared" si="157"/>
        <v>113.90410378853881</v>
      </c>
      <c r="T384">
        <f t="shared" si="157"/>
        <v>142.35086194693093</v>
      </c>
      <c r="U384">
        <f t="shared" si="157"/>
        <v>111.17203855195166</v>
      </c>
      <c r="V384">
        <f t="shared" si="157"/>
        <v>120.46555050324238</v>
      </c>
      <c r="W384">
        <f t="shared" si="157"/>
        <v>110.89387337099372</v>
      </c>
      <c r="Y384" s="6">
        <f t="shared" si="134"/>
        <v>3476.8625812303144</v>
      </c>
      <c r="Z384">
        <f t="shared" si="135"/>
        <v>-286.68129213774671</v>
      </c>
    </row>
    <row r="385" spans="1:26" x14ac:dyDescent="0.25">
      <c r="A385" t="s">
        <v>66</v>
      </c>
      <c r="D385">
        <f t="shared" ref="D385:W385" si="158">D25*D169</f>
        <v>243.58371032696823</v>
      </c>
      <c r="E385">
        <f t="shared" si="158"/>
        <v>205.52495691622332</v>
      </c>
      <c r="F385">
        <f t="shared" si="158"/>
        <v>193.65090218502701</v>
      </c>
      <c r="G385">
        <f t="shared" si="158"/>
        <v>133.15659557402913</v>
      </c>
      <c r="H385">
        <f t="shared" si="158"/>
        <v>305.15317934643952</v>
      </c>
      <c r="I385">
        <f t="shared" si="158"/>
        <v>268.07853680301929</v>
      </c>
      <c r="J385">
        <f t="shared" si="158"/>
        <v>262.11025362054352</v>
      </c>
      <c r="K385">
        <f t="shared" si="158"/>
        <v>365.17885227520821</v>
      </c>
      <c r="L385">
        <f t="shared" si="158"/>
        <v>4.9894744639776842</v>
      </c>
      <c r="M385">
        <f t="shared" si="158"/>
        <v>191.4959949347585</v>
      </c>
      <c r="N385">
        <f t="shared" si="158"/>
        <v>246.79305516351005</v>
      </c>
      <c r="O385">
        <f t="shared" si="158"/>
        <v>148.40224774227346</v>
      </c>
      <c r="P385">
        <f t="shared" si="158"/>
        <v>172.45386723595502</v>
      </c>
      <c r="Q385">
        <f t="shared" si="158"/>
        <v>182.86907069265703</v>
      </c>
      <c r="R385">
        <f t="shared" si="158"/>
        <v>224.04906593735279</v>
      </c>
      <c r="S385">
        <f t="shared" si="158"/>
        <v>217.1377861104807</v>
      </c>
      <c r="T385">
        <f t="shared" si="158"/>
        <v>144.08793833132955</v>
      </c>
      <c r="U385">
        <f t="shared" si="158"/>
        <v>161.67703118923009</v>
      </c>
      <c r="V385">
        <f t="shared" si="158"/>
        <v>144.46850363818905</v>
      </c>
      <c r="W385">
        <f t="shared" si="158"/>
        <v>80.231369537831483</v>
      </c>
      <c r="Y385" s="6">
        <f t="shared" si="134"/>
        <v>3895.0923920250034</v>
      </c>
      <c r="Z385">
        <f t="shared" si="135"/>
        <v>-369.49939449284147</v>
      </c>
    </row>
    <row r="386" spans="1:26" x14ac:dyDescent="0.25">
      <c r="A386" t="s">
        <v>67</v>
      </c>
      <c r="D386">
        <f t="shared" ref="D386:W386" si="159">D26*D170</f>
        <v>167.1209515078354</v>
      </c>
      <c r="E386">
        <f t="shared" si="159"/>
        <v>200.92346676308404</v>
      </c>
      <c r="F386">
        <f t="shared" si="159"/>
        <v>214.3980763137271</v>
      </c>
      <c r="G386">
        <f t="shared" si="159"/>
        <v>211.21225682969475</v>
      </c>
      <c r="H386">
        <f t="shared" si="159"/>
        <v>256.9372522587978</v>
      </c>
      <c r="I386">
        <f t="shared" si="159"/>
        <v>238.93975137656253</v>
      </c>
      <c r="J386">
        <f t="shared" si="159"/>
        <v>169.13132746096508</v>
      </c>
      <c r="K386">
        <f t="shared" si="159"/>
        <v>261.24752757232216</v>
      </c>
      <c r="L386">
        <f t="shared" si="159"/>
        <v>231.88610545885754</v>
      </c>
      <c r="M386">
        <f t="shared" si="159"/>
        <v>243.0513827460033</v>
      </c>
      <c r="N386">
        <f t="shared" si="159"/>
        <v>224.60918202961656</v>
      </c>
      <c r="O386">
        <f t="shared" si="159"/>
        <v>240.62898721900322</v>
      </c>
      <c r="P386">
        <f t="shared" si="159"/>
        <v>205.37311652636066</v>
      </c>
      <c r="Q386">
        <f t="shared" si="159"/>
        <v>224.71335304934564</v>
      </c>
      <c r="R386">
        <f t="shared" si="159"/>
        <v>216.17259422895779</v>
      </c>
      <c r="S386">
        <f t="shared" si="159"/>
        <v>239.71687214936568</v>
      </c>
      <c r="T386">
        <f t="shared" si="159"/>
        <v>174.28401554371717</v>
      </c>
      <c r="U386">
        <f t="shared" si="159"/>
        <v>175.93893965533383</v>
      </c>
      <c r="V386">
        <f t="shared" si="159"/>
        <v>194.79393401880975</v>
      </c>
      <c r="W386">
        <f t="shared" si="159"/>
        <v>116.06738816600142</v>
      </c>
      <c r="Y386" s="6">
        <f t="shared" si="134"/>
        <v>4207.1464808743613</v>
      </c>
      <c r="Z386">
        <f t="shared" si="135"/>
        <v>-371.08805350916879</v>
      </c>
    </row>
    <row r="387" spans="1:26" x14ac:dyDescent="0.25">
      <c r="A387" t="s">
        <v>68</v>
      </c>
      <c r="D387">
        <f t="shared" ref="D387:W387" si="160">D27*D171</f>
        <v>303.18336102853368</v>
      </c>
      <c r="E387">
        <f t="shared" si="160"/>
        <v>419.6484916288332</v>
      </c>
      <c r="F387">
        <f t="shared" si="160"/>
        <v>489.48694005651504</v>
      </c>
      <c r="G387">
        <f t="shared" si="160"/>
        <v>540.20396641489879</v>
      </c>
      <c r="H387">
        <f t="shared" si="160"/>
        <v>356.96651361553899</v>
      </c>
      <c r="I387">
        <f t="shared" si="160"/>
        <v>354.90097664096874</v>
      </c>
      <c r="J387">
        <f t="shared" si="160"/>
        <v>310.88152784182017</v>
      </c>
      <c r="K387">
        <f t="shared" si="160"/>
        <v>435.99605021012877</v>
      </c>
      <c r="L387">
        <f t="shared" si="160"/>
        <v>403.30258267421726</v>
      </c>
      <c r="M387">
        <f t="shared" si="160"/>
        <v>216.75601356451895</v>
      </c>
      <c r="N387">
        <f t="shared" si="160"/>
        <v>296.36739928728446</v>
      </c>
      <c r="O387">
        <f t="shared" si="160"/>
        <v>294.58386764925763</v>
      </c>
      <c r="P387">
        <f t="shared" si="160"/>
        <v>234.45913707266416</v>
      </c>
      <c r="Q387">
        <f t="shared" si="160"/>
        <v>283.44561316379173</v>
      </c>
      <c r="R387">
        <f t="shared" si="160"/>
        <v>355.36385528871699</v>
      </c>
      <c r="S387">
        <f t="shared" si="160"/>
        <v>344.40957428238642</v>
      </c>
      <c r="T387">
        <f t="shared" si="160"/>
        <v>303.54845546003259</v>
      </c>
      <c r="U387">
        <f t="shared" si="160"/>
        <v>253.59496820142823</v>
      </c>
      <c r="V387">
        <f t="shared" si="160"/>
        <v>187.59230268009929</v>
      </c>
      <c r="W387">
        <f t="shared" si="160"/>
        <v>126.72853129346606</v>
      </c>
      <c r="Y387" s="6">
        <f t="shared" si="134"/>
        <v>6511.4201280551006</v>
      </c>
      <c r="Z387">
        <f t="shared" si="135"/>
        <v>-458.35751001025812</v>
      </c>
    </row>
    <row r="388" spans="1:26" x14ac:dyDescent="0.25">
      <c r="A388" t="s">
        <v>69</v>
      </c>
      <c r="D388">
        <f t="shared" ref="D388:W388" si="161">D28*D172</f>
        <v>131.261959440597</v>
      </c>
      <c r="E388">
        <f t="shared" si="161"/>
        <v>131.39389889454719</v>
      </c>
      <c r="F388">
        <f t="shared" si="161"/>
        <v>116.04615673086502</v>
      </c>
      <c r="G388">
        <f t="shared" si="161"/>
        <v>116.98635527219935</v>
      </c>
      <c r="H388">
        <f t="shared" si="161"/>
        <v>104.91579717463657</v>
      </c>
      <c r="I388">
        <f t="shared" si="161"/>
        <v>98.999527940650268</v>
      </c>
      <c r="J388">
        <f t="shared" si="161"/>
        <v>49.027868702486991</v>
      </c>
      <c r="K388">
        <f t="shared" si="161"/>
        <v>43.105751427443266</v>
      </c>
      <c r="L388">
        <f t="shared" si="161"/>
        <v>172.76127147310274</v>
      </c>
      <c r="M388">
        <f t="shared" si="161"/>
        <v>241.02149738858111</v>
      </c>
      <c r="N388">
        <f t="shared" si="161"/>
        <v>224.72255719807333</v>
      </c>
      <c r="O388">
        <f t="shared" si="161"/>
        <v>237.10728900354974</v>
      </c>
      <c r="P388">
        <f t="shared" si="161"/>
        <v>204.22140161918392</v>
      </c>
      <c r="Q388">
        <f t="shared" si="161"/>
        <v>784.55653378015484</v>
      </c>
      <c r="R388">
        <f t="shared" si="161"/>
        <v>209.06973246367116</v>
      </c>
      <c r="S388">
        <f t="shared" si="161"/>
        <v>181.88687648172296</v>
      </c>
      <c r="T388">
        <f t="shared" si="161"/>
        <v>172.84799141875678</v>
      </c>
      <c r="U388">
        <f t="shared" si="161"/>
        <v>225.73017704649726</v>
      </c>
      <c r="V388">
        <f t="shared" si="161"/>
        <v>147.45397995066224</v>
      </c>
      <c r="W388">
        <f t="shared" si="161"/>
        <v>159.9392746937456</v>
      </c>
      <c r="Y388" s="6">
        <f t="shared" si="134"/>
        <v>3753.0558981011282</v>
      </c>
      <c r="Z388">
        <f t="shared" si="135"/>
        <v>-422.83688944513534</v>
      </c>
    </row>
    <row r="389" spans="1:26" x14ac:dyDescent="0.25">
      <c r="Y389" s="6"/>
    </row>
    <row r="390" spans="1:26" x14ac:dyDescent="0.25">
      <c r="A390" t="s">
        <v>70</v>
      </c>
      <c r="D390">
        <f t="shared" ref="D390:W390" si="162">D30*D174</f>
        <v>215.04643163879601</v>
      </c>
      <c r="E390">
        <f t="shared" si="162"/>
        <v>194.46551637108143</v>
      </c>
      <c r="F390">
        <f t="shared" si="162"/>
        <v>207.44525857275619</v>
      </c>
      <c r="G390">
        <f t="shared" si="162"/>
        <v>197.21643519993472</v>
      </c>
      <c r="H390">
        <f t="shared" si="162"/>
        <v>237.83326662783264</v>
      </c>
      <c r="I390">
        <f t="shared" si="162"/>
        <v>226.41495489944</v>
      </c>
      <c r="J390">
        <f t="shared" si="162"/>
        <v>241.09264223500915</v>
      </c>
      <c r="K390">
        <f t="shared" si="162"/>
        <v>237.82802125560869</v>
      </c>
      <c r="L390">
        <f t="shared" si="162"/>
        <v>736.03767198382809</v>
      </c>
      <c r="M390">
        <f t="shared" si="162"/>
        <v>245.46912775047844</v>
      </c>
      <c r="N390">
        <f t="shared" si="162"/>
        <v>226.26716101260365</v>
      </c>
      <c r="O390">
        <f t="shared" si="162"/>
        <v>241.51520524718194</v>
      </c>
      <c r="P390">
        <f t="shared" si="162"/>
        <v>216.55827753467815</v>
      </c>
      <c r="Q390">
        <f t="shared" si="162"/>
        <v>347.07859702052048</v>
      </c>
      <c r="R390">
        <f t="shared" si="162"/>
        <v>239.89481837353085</v>
      </c>
      <c r="S390">
        <f t="shared" si="162"/>
        <v>243.14255991796165</v>
      </c>
      <c r="T390">
        <f t="shared" si="162"/>
        <v>141.26229196028598</v>
      </c>
      <c r="U390">
        <f t="shared" si="162"/>
        <v>205.44112625072646</v>
      </c>
      <c r="V390">
        <f t="shared" si="162"/>
        <v>157.06704022115673</v>
      </c>
      <c r="W390">
        <f t="shared" si="162"/>
        <v>165.50950960120934</v>
      </c>
      <c r="Y390" s="6">
        <f t="shared" si="134"/>
        <v>4922.5859136746212</v>
      </c>
      <c r="Z390">
        <f>SUMPRODUCT($D$394:$W$394,D390:W390)</f>
        <v>-386.06099089820532</v>
      </c>
    </row>
    <row r="391" spans="1:26" x14ac:dyDescent="0.25">
      <c r="A391" t="s">
        <v>313</v>
      </c>
      <c r="D391">
        <f t="shared" ref="D391:W391" si="163">D31*D175</f>
        <v>308.79021459402367</v>
      </c>
      <c r="E391">
        <f t="shared" si="163"/>
        <v>287.26995536556228</v>
      </c>
      <c r="F391">
        <f t="shared" si="163"/>
        <v>310.61910442987778</v>
      </c>
      <c r="G391">
        <f t="shared" si="163"/>
        <v>313.93041704408972</v>
      </c>
      <c r="H391">
        <f t="shared" si="163"/>
        <v>343.82908281864059</v>
      </c>
      <c r="I391">
        <f t="shared" si="163"/>
        <v>317.11216357805159</v>
      </c>
      <c r="J391">
        <f t="shared" si="163"/>
        <v>256.24473111832413</v>
      </c>
      <c r="K391">
        <f t="shared" si="163"/>
        <v>327.74854325989156</v>
      </c>
      <c r="L391">
        <f t="shared" si="163"/>
        <v>273.30186800512251</v>
      </c>
      <c r="M391">
        <f t="shared" si="163"/>
        <v>259.58056903069524</v>
      </c>
      <c r="N391">
        <f t="shared" si="163"/>
        <v>286.8031214649626</v>
      </c>
      <c r="O391">
        <f t="shared" si="163"/>
        <v>249.98630426367893</v>
      </c>
      <c r="P391">
        <f t="shared" si="163"/>
        <v>474.32000000000005</v>
      </c>
      <c r="Q391">
        <f t="shared" si="163"/>
        <v>431.2</v>
      </c>
      <c r="R391">
        <f t="shared" si="163"/>
        <v>546.4799999999999</v>
      </c>
      <c r="S391">
        <f t="shared" si="163"/>
        <v>273.54000000000002</v>
      </c>
      <c r="T391">
        <f t="shared" si="163"/>
        <v>146.85</v>
      </c>
      <c r="U391">
        <f t="shared" si="163"/>
        <v>209.50800000000001</v>
      </c>
      <c r="V391">
        <f t="shared" si="163"/>
        <v>156.81100000000004</v>
      </c>
      <c r="W391">
        <f t="shared" si="163"/>
        <v>130.78200000000001</v>
      </c>
      <c r="Y391" s="6">
        <f t="shared" si="134"/>
        <v>5904.707074972921</v>
      </c>
      <c r="Z391">
        <f>SUMPRODUCT($D$394:$W$394,D391:W391)</f>
        <v>-476.17955438730962</v>
      </c>
    </row>
    <row r="392" spans="1:26" x14ac:dyDescent="0.25">
      <c r="A392" t="s">
        <v>314</v>
      </c>
      <c r="D392">
        <f t="shared" ref="D392:W392" si="164">D32*D176</f>
        <v>132.61913793262246</v>
      </c>
      <c r="E392">
        <f t="shared" si="164"/>
        <v>292.65436950694863</v>
      </c>
      <c r="F392">
        <f t="shared" si="164"/>
        <v>222.38812618583268</v>
      </c>
      <c r="G392">
        <f t="shared" si="164"/>
        <v>203.3402356893578</v>
      </c>
      <c r="H392">
        <f t="shared" si="164"/>
        <v>310.04603646289405</v>
      </c>
      <c r="I392">
        <f t="shared" si="164"/>
        <v>201.94394544128605</v>
      </c>
      <c r="J392">
        <f t="shared" si="164"/>
        <v>184.83502732480207</v>
      </c>
      <c r="K392">
        <f t="shared" si="164"/>
        <v>183.06</v>
      </c>
      <c r="L392">
        <f t="shared" si="164"/>
        <v>339.68000000000006</v>
      </c>
      <c r="M392">
        <f t="shared" si="164"/>
        <v>387.03999999999996</v>
      </c>
      <c r="N392">
        <f t="shared" si="164"/>
        <v>254.56</v>
      </c>
      <c r="O392">
        <f t="shared" si="164"/>
        <v>199.26</v>
      </c>
      <c r="P392">
        <f t="shared" si="164"/>
        <v>209.69639598412866</v>
      </c>
      <c r="Q392">
        <f t="shared" si="164"/>
        <v>234.0577414206729</v>
      </c>
      <c r="R392">
        <f t="shared" si="164"/>
        <v>220.97084637345213</v>
      </c>
      <c r="S392">
        <f t="shared" si="164"/>
        <v>235.66394992971232</v>
      </c>
      <c r="T392">
        <f t="shared" si="164"/>
        <v>171.60539268707771</v>
      </c>
      <c r="U392">
        <f t="shared" si="164"/>
        <v>170.8380388139239</v>
      </c>
      <c r="V392">
        <f t="shared" si="164"/>
        <v>164.69516521044733</v>
      </c>
      <c r="W392">
        <f t="shared" si="164"/>
        <v>144.77740687761494</v>
      </c>
      <c r="Y392" s="6">
        <f t="shared" si="134"/>
        <v>4463.7318158407734</v>
      </c>
      <c r="Z392">
        <f>SUMPRODUCT($D$394:$W$394,D392:W392)</f>
        <v>-359.49745938904391</v>
      </c>
    </row>
    <row r="393" spans="1:26" x14ac:dyDescent="0.25">
      <c r="A393" t="s">
        <v>658</v>
      </c>
      <c r="D393">
        <f t="shared" ref="D393:W393" si="165">D33*D177</f>
        <v>415.89725086103658</v>
      </c>
      <c r="E393">
        <f t="shared" si="165"/>
        <v>307.27657191830042</v>
      </c>
      <c r="F393">
        <f t="shared" si="165"/>
        <v>407.28022750349618</v>
      </c>
      <c r="G393">
        <f t="shared" si="165"/>
        <v>418.20051279403481</v>
      </c>
      <c r="H393">
        <f t="shared" si="165"/>
        <v>312.45805412330594</v>
      </c>
      <c r="I393">
        <f t="shared" si="165"/>
        <v>231.15</v>
      </c>
      <c r="J393">
        <f t="shared" si="165"/>
        <v>237.11999999999998</v>
      </c>
      <c r="K393">
        <f t="shared" si="165"/>
        <v>270.83</v>
      </c>
      <c r="L393">
        <f t="shared" si="165"/>
        <v>201</v>
      </c>
      <c r="M393">
        <f t="shared" si="165"/>
        <v>229.08000000000004</v>
      </c>
      <c r="N393">
        <f t="shared" si="165"/>
        <v>219.12</v>
      </c>
      <c r="O393">
        <f t="shared" si="165"/>
        <v>238.58</v>
      </c>
      <c r="P393">
        <f t="shared" si="165"/>
        <v>216.91640816326526</v>
      </c>
      <c r="Q393">
        <f t="shared" si="165"/>
        <v>243.12244897959184</v>
      </c>
      <c r="R393">
        <f t="shared" si="165"/>
        <v>221.11904761904756</v>
      </c>
      <c r="S393">
        <f t="shared" si="165"/>
        <v>235.41047619047617</v>
      </c>
      <c r="T393">
        <f t="shared" si="165"/>
        <v>177.36325550894628</v>
      </c>
      <c r="U393">
        <f t="shared" si="165"/>
        <v>173.99121067569826</v>
      </c>
      <c r="V393">
        <f t="shared" si="165"/>
        <v>185.81544528298951</v>
      </c>
      <c r="W393">
        <f t="shared" si="165"/>
        <v>170.22233238248907</v>
      </c>
      <c r="Y393" s="6">
        <f t="shared" ref="Y393" si="166">SUM(D393:W393)</f>
        <v>5111.9532420026771</v>
      </c>
      <c r="Z393">
        <f>SUMPRODUCT($D$394:$W$394,D393:W393)</f>
        <v>-341.32980738281202</v>
      </c>
    </row>
    <row r="394" spans="1:26" x14ac:dyDescent="0.25">
      <c r="A394" s="2" t="s">
        <v>71</v>
      </c>
      <c r="D394" s="3">
        <f>CORREL($B$2:$B$28,D362:D388)</f>
        <v>4.61612775817924E-2</v>
      </c>
      <c r="E394" s="3">
        <f t="shared" ref="E394:W394" si="167">CORREL($B$2:$B$28,E362:E388)</f>
        <v>0.12522145273187205</v>
      </c>
      <c r="F394" s="3">
        <f t="shared" si="167"/>
        <v>0.15182706497345713</v>
      </c>
      <c r="G394" s="3">
        <f t="shared" si="167"/>
        <v>2.8637641204821596E-2</v>
      </c>
      <c r="H394" s="3">
        <f t="shared" si="167"/>
        <v>-6.087848442326451E-2</v>
      </c>
      <c r="I394" s="3">
        <f t="shared" si="167"/>
        <v>9.9329874848702884E-2</v>
      </c>
      <c r="J394" s="3">
        <f t="shared" si="167"/>
        <v>-0.2988223313528458</v>
      </c>
      <c r="K394" s="3">
        <f t="shared" si="167"/>
        <v>-0.12965827967762128</v>
      </c>
      <c r="L394" s="3">
        <f t="shared" si="167"/>
        <v>3.2755072718843592E-2</v>
      </c>
      <c r="M394" s="3">
        <f t="shared" si="167"/>
        <v>-4.0966317320711716E-2</v>
      </c>
      <c r="N394" s="3">
        <f t="shared" si="167"/>
        <v>-0.32258340567773475</v>
      </c>
      <c r="O394" s="3">
        <f t="shared" si="167"/>
        <v>-0.18078029062689457</v>
      </c>
      <c r="P394" s="3">
        <f t="shared" si="167"/>
        <v>-0.13888595941966833</v>
      </c>
      <c r="Q394" s="3">
        <f t="shared" si="167"/>
        <v>-0.1346809251538067</v>
      </c>
      <c r="R394" s="3">
        <f t="shared" si="167"/>
        <v>-9.1130305414771087E-2</v>
      </c>
      <c r="S394" s="3">
        <f t="shared" si="167"/>
        <v>3.2987163239716281E-2</v>
      </c>
      <c r="T394" s="3">
        <f t="shared" si="167"/>
        <v>-0.31528862362689125</v>
      </c>
      <c r="U394" s="3">
        <f t="shared" si="167"/>
        <v>-0.33107060608314098</v>
      </c>
      <c r="V394" s="3">
        <f t="shared" si="167"/>
        <v>-0.28724288655089608</v>
      </c>
      <c r="W394" s="3">
        <f t="shared" si="167"/>
        <v>-7.0581371021434594E-2</v>
      </c>
      <c r="X394" s="3"/>
    </row>
    <row r="397" spans="1:26" x14ac:dyDescent="0.25">
      <c r="D397" t="s">
        <v>140</v>
      </c>
      <c r="E397" t="s">
        <v>141</v>
      </c>
      <c r="F397" t="s">
        <v>142</v>
      </c>
      <c r="G397" t="s">
        <v>143</v>
      </c>
      <c r="H397" t="s">
        <v>144</v>
      </c>
      <c r="I397" t="s">
        <v>145</v>
      </c>
      <c r="J397" t="s">
        <v>146</v>
      </c>
      <c r="K397" t="s">
        <v>147</v>
      </c>
      <c r="L397" t="s">
        <v>326</v>
      </c>
      <c r="M397" t="s">
        <v>376</v>
      </c>
      <c r="N397" t="s">
        <v>377</v>
      </c>
      <c r="O397" t="s">
        <v>378</v>
      </c>
      <c r="P397" t="s">
        <v>478</v>
      </c>
      <c r="Q397" t="s">
        <v>479</v>
      </c>
      <c r="R397" t="s">
        <v>480</v>
      </c>
      <c r="S397" t="s">
        <v>481</v>
      </c>
      <c r="T397" t="s">
        <v>590</v>
      </c>
      <c r="U397" t="s">
        <v>591</v>
      </c>
      <c r="V397" t="s">
        <v>592</v>
      </c>
      <c r="W397" t="s">
        <v>593</v>
      </c>
      <c r="Y397" t="s">
        <v>148</v>
      </c>
      <c r="Z397" t="s">
        <v>149</v>
      </c>
    </row>
    <row r="398" spans="1:26" x14ac:dyDescent="0.25">
      <c r="A398" t="s">
        <v>43</v>
      </c>
      <c r="D398">
        <f t="shared" ref="D398:W398" si="168">D2*D182</f>
        <v>104.47382903514061</v>
      </c>
      <c r="E398">
        <f t="shared" si="168"/>
        <v>100.8351541626583</v>
      </c>
      <c r="F398">
        <f t="shared" si="168"/>
        <v>81.550530743903451</v>
      </c>
      <c r="G398">
        <f t="shared" si="168"/>
        <v>88.64469215570935</v>
      </c>
      <c r="H398">
        <f t="shared" si="168"/>
        <v>85.061049357041639</v>
      </c>
      <c r="I398">
        <f t="shared" si="168"/>
        <v>74.811918928262543</v>
      </c>
      <c r="J398">
        <f t="shared" si="168"/>
        <v>90.93494291883421</v>
      </c>
      <c r="K398">
        <f t="shared" si="168"/>
        <v>82.696473202985459</v>
      </c>
      <c r="L398">
        <f t="shared" si="168"/>
        <v>73.365728276828193</v>
      </c>
      <c r="M398">
        <f t="shared" si="168"/>
        <v>38.190908518211671</v>
      </c>
      <c r="N398">
        <f t="shared" si="168"/>
        <v>52.198790264647933</v>
      </c>
      <c r="O398">
        <f t="shared" si="168"/>
        <v>71.103274940897293</v>
      </c>
      <c r="P398">
        <f t="shared" si="168"/>
        <v>63.968392074532872</v>
      </c>
      <c r="Q398">
        <f t="shared" si="168"/>
        <v>60.329433184154126</v>
      </c>
      <c r="R398">
        <f t="shared" si="168"/>
        <v>57.376251444206773</v>
      </c>
      <c r="S398">
        <f t="shared" si="168"/>
        <v>74.037302486196992</v>
      </c>
      <c r="T398">
        <f t="shared" si="168"/>
        <v>67.352250260358758</v>
      </c>
      <c r="U398">
        <f t="shared" si="168"/>
        <v>54.395997911300455</v>
      </c>
      <c r="V398">
        <f t="shared" si="168"/>
        <v>90.307886334036937</v>
      </c>
      <c r="W398">
        <f t="shared" si="168"/>
        <v>83.277133118325722</v>
      </c>
      <c r="Y398" s="6">
        <f t="shared" ref="Y398:Y428" si="169">SUM(D398:W398)</f>
        <v>1494.9119393182332</v>
      </c>
      <c r="Z398">
        <f t="shared" ref="Z398:Z424" si="170">SUMPRODUCT($D$430:$W$430,D398:W398)</f>
        <v>-26.879772321701971</v>
      </c>
    </row>
    <row r="399" spans="1:26" x14ac:dyDescent="0.25">
      <c r="A399" t="s">
        <v>44</v>
      </c>
      <c r="D399">
        <f t="shared" ref="D399:W399" si="171">D3*D183</f>
        <v>72.254984443437579</v>
      </c>
      <c r="E399">
        <f t="shared" si="171"/>
        <v>71.431282072190641</v>
      </c>
      <c r="F399">
        <f t="shared" si="171"/>
        <v>95.353882890973608</v>
      </c>
      <c r="G399">
        <f t="shared" si="171"/>
        <v>57.221891316734038</v>
      </c>
      <c r="H399">
        <f t="shared" si="171"/>
        <v>67.523310084717593</v>
      </c>
      <c r="I399">
        <f t="shared" si="171"/>
        <v>56.498208767103364</v>
      </c>
      <c r="J399">
        <f t="shared" si="171"/>
        <v>50.032522348192117</v>
      </c>
      <c r="K399">
        <f t="shared" si="171"/>
        <v>36.050006530215661</v>
      </c>
      <c r="L399">
        <f t="shared" si="171"/>
        <v>51.19565760486298</v>
      </c>
      <c r="M399">
        <f t="shared" si="171"/>
        <v>54.318367212373559</v>
      </c>
      <c r="N399">
        <f t="shared" si="171"/>
        <v>82.941028533784305</v>
      </c>
      <c r="O399">
        <f t="shared" si="171"/>
        <v>75.01311000505568</v>
      </c>
      <c r="P399">
        <f t="shared" si="171"/>
        <v>49.06743692923412</v>
      </c>
      <c r="Q399">
        <f t="shared" si="171"/>
        <v>62.593688991645372</v>
      </c>
      <c r="R399">
        <f t="shared" si="171"/>
        <v>60.420877254669172</v>
      </c>
      <c r="S399">
        <f t="shared" si="171"/>
        <v>66.567167832647129</v>
      </c>
      <c r="T399">
        <f t="shared" si="171"/>
        <v>79.309293354093484</v>
      </c>
      <c r="U399">
        <f t="shared" si="171"/>
        <v>67.097942685648633</v>
      </c>
      <c r="V399">
        <f t="shared" si="171"/>
        <v>87.389383584001052</v>
      </c>
      <c r="W399">
        <f t="shared" si="171"/>
        <v>121.83228715797227</v>
      </c>
      <c r="Y399" s="6">
        <f t="shared" si="169"/>
        <v>1364.1123295995524</v>
      </c>
      <c r="Z399">
        <f t="shared" si="170"/>
        <v>-29.582789431586917</v>
      </c>
    </row>
    <row r="400" spans="1:26" x14ac:dyDescent="0.25">
      <c r="A400" t="s">
        <v>45</v>
      </c>
      <c r="D400">
        <f t="shared" ref="D400:W400" si="172">D4*D184</f>
        <v>77.870115745278937</v>
      </c>
      <c r="E400">
        <f t="shared" si="172"/>
        <v>55.514496416135358</v>
      </c>
      <c r="F400">
        <f t="shared" si="172"/>
        <v>53.860806875228626</v>
      </c>
      <c r="G400">
        <f t="shared" si="172"/>
        <v>68.20785428579984</v>
      </c>
      <c r="H400">
        <f t="shared" si="172"/>
        <v>88.781035450762332</v>
      </c>
      <c r="I400">
        <f t="shared" si="172"/>
        <v>58.816449360944212</v>
      </c>
      <c r="J400">
        <f t="shared" si="172"/>
        <v>62.873508118790937</v>
      </c>
      <c r="K400">
        <f t="shared" si="172"/>
        <v>75.63070240676636</v>
      </c>
      <c r="L400">
        <f t="shared" si="172"/>
        <v>70.766440780313886</v>
      </c>
      <c r="M400">
        <f t="shared" si="172"/>
        <v>59.933840597351107</v>
      </c>
      <c r="N400">
        <f t="shared" si="172"/>
        <v>70.311621058160824</v>
      </c>
      <c r="O400">
        <f t="shared" si="172"/>
        <v>64.697713029403516</v>
      </c>
      <c r="P400">
        <f t="shared" si="172"/>
        <v>55.182545554140816</v>
      </c>
      <c r="Q400">
        <f t="shared" si="172"/>
        <v>48.046154373773703</v>
      </c>
      <c r="R400">
        <f t="shared" si="172"/>
        <v>76.61268359821716</v>
      </c>
      <c r="S400">
        <f t="shared" si="172"/>
        <v>68.248646447075558</v>
      </c>
      <c r="T400">
        <f t="shared" si="172"/>
        <v>73.20841006076482</v>
      </c>
      <c r="U400">
        <f t="shared" si="172"/>
        <v>92.15178653140643</v>
      </c>
      <c r="V400">
        <f t="shared" si="172"/>
        <v>112.35455549779169</v>
      </c>
      <c r="W400">
        <f t="shared" si="172"/>
        <v>125.71542953961412</v>
      </c>
      <c r="Y400" s="6">
        <f t="shared" si="169"/>
        <v>1458.7847957277206</v>
      </c>
      <c r="Z400">
        <f t="shared" si="170"/>
        <v>-48.242553148826509</v>
      </c>
    </row>
    <row r="401" spans="1:26" x14ac:dyDescent="0.25">
      <c r="A401" t="s">
        <v>46</v>
      </c>
      <c r="D401">
        <f t="shared" ref="D401:W401" si="173">D5*D185</f>
        <v>96.762966298941379</v>
      </c>
      <c r="E401">
        <f t="shared" si="173"/>
        <v>80.65434070439396</v>
      </c>
      <c r="F401">
        <f t="shared" si="173"/>
        <v>77.097441012823069</v>
      </c>
      <c r="G401">
        <f t="shared" si="173"/>
        <v>66.837372023353794</v>
      </c>
      <c r="H401">
        <f t="shared" si="173"/>
        <v>60.654677097190486</v>
      </c>
      <c r="I401">
        <f t="shared" si="173"/>
        <v>68.230235074760373</v>
      </c>
      <c r="J401">
        <f t="shared" si="173"/>
        <v>70.247504208133364</v>
      </c>
      <c r="K401">
        <f t="shared" si="173"/>
        <v>84.979218354215689</v>
      </c>
      <c r="L401">
        <f t="shared" si="173"/>
        <v>73.071685094018093</v>
      </c>
      <c r="M401">
        <f t="shared" si="173"/>
        <v>65.932346486752365</v>
      </c>
      <c r="N401">
        <f t="shared" si="173"/>
        <v>58.196141533586513</v>
      </c>
      <c r="O401">
        <f t="shared" si="173"/>
        <v>59.887627631471709</v>
      </c>
      <c r="P401">
        <f t="shared" si="173"/>
        <v>53.537387086468122</v>
      </c>
      <c r="Q401">
        <f t="shared" si="173"/>
        <v>68.452460028027062</v>
      </c>
      <c r="R401">
        <f t="shared" si="173"/>
        <v>61.117319882506607</v>
      </c>
      <c r="S401">
        <f t="shared" si="173"/>
        <v>84.517842738439541</v>
      </c>
      <c r="T401">
        <f t="shared" si="173"/>
        <v>66.005329366246642</v>
      </c>
      <c r="U401">
        <f t="shared" si="173"/>
        <v>74.42859022382487</v>
      </c>
      <c r="V401">
        <f t="shared" si="173"/>
        <v>65.457285213591135</v>
      </c>
      <c r="W401">
        <f t="shared" si="173"/>
        <v>80.720756670177181</v>
      </c>
      <c r="Y401" s="6">
        <f t="shared" si="169"/>
        <v>1416.7885267289221</v>
      </c>
      <c r="Z401">
        <f t="shared" si="170"/>
        <v>-20.057664589622465</v>
      </c>
    </row>
    <row r="402" spans="1:26" x14ac:dyDescent="0.25">
      <c r="A402" t="s">
        <v>47</v>
      </c>
      <c r="D402">
        <f t="shared" ref="D402:W402" si="174">D6*D186</f>
        <v>107.79158875428458</v>
      </c>
      <c r="E402">
        <f t="shared" si="174"/>
        <v>97.784587326463651</v>
      </c>
      <c r="F402">
        <f t="shared" si="174"/>
        <v>95.332236703513615</v>
      </c>
      <c r="G402">
        <f t="shared" si="174"/>
        <v>110.46022255910731</v>
      </c>
      <c r="H402">
        <f t="shared" si="174"/>
        <v>71.891954394819905</v>
      </c>
      <c r="I402">
        <f t="shared" si="174"/>
        <v>78.585675182333176</v>
      </c>
      <c r="J402">
        <f t="shared" si="174"/>
        <v>77.616010330218714</v>
      </c>
      <c r="K402">
        <f t="shared" si="174"/>
        <v>78.945301992260326</v>
      </c>
      <c r="L402">
        <f t="shared" si="174"/>
        <v>63.536097854538063</v>
      </c>
      <c r="M402">
        <f t="shared" si="174"/>
        <v>69.749820859995992</v>
      </c>
      <c r="N402">
        <f t="shared" si="174"/>
        <v>69.654873083685956</v>
      </c>
      <c r="O402">
        <f t="shared" si="174"/>
        <v>74.07772002770156</v>
      </c>
      <c r="P402">
        <f t="shared" si="174"/>
        <v>85.029114577146572</v>
      </c>
      <c r="Q402">
        <f t="shared" si="174"/>
        <v>53.13151633203158</v>
      </c>
      <c r="R402">
        <f t="shared" si="174"/>
        <v>64.577462472652215</v>
      </c>
      <c r="S402">
        <f t="shared" si="174"/>
        <v>65.24113673867619</v>
      </c>
      <c r="T402">
        <f t="shared" si="174"/>
        <v>117.34675023758467</v>
      </c>
      <c r="U402">
        <f t="shared" si="174"/>
        <v>92.752974101382065</v>
      </c>
      <c r="V402">
        <f t="shared" si="174"/>
        <v>133.06959409266051</v>
      </c>
      <c r="W402">
        <f t="shared" si="174"/>
        <v>135.5809941451495</v>
      </c>
      <c r="Y402" s="6">
        <f t="shared" si="169"/>
        <v>1742.1556317662066</v>
      </c>
      <c r="Z402">
        <f t="shared" si="170"/>
        <v>-30.696796100954607</v>
      </c>
    </row>
    <row r="403" spans="1:26" x14ac:dyDescent="0.25">
      <c r="A403" t="s">
        <v>48</v>
      </c>
      <c r="D403">
        <f t="shared" ref="D403:W403" si="175">D7*D187</f>
        <v>130.21870684585105</v>
      </c>
      <c r="E403">
        <f t="shared" si="175"/>
        <v>117.87480163755687</v>
      </c>
      <c r="F403">
        <f t="shared" si="175"/>
        <v>117.01636233030877</v>
      </c>
      <c r="G403">
        <f t="shared" si="175"/>
        <v>137.49323327544013</v>
      </c>
      <c r="H403">
        <f t="shared" si="175"/>
        <v>112.09109362345532</v>
      </c>
      <c r="I403">
        <f t="shared" si="175"/>
        <v>97.38035663735846</v>
      </c>
      <c r="J403">
        <f t="shared" si="175"/>
        <v>93.23578267004703</v>
      </c>
      <c r="K403">
        <f t="shared" si="175"/>
        <v>100.77970081440036</v>
      </c>
      <c r="L403">
        <f t="shared" si="175"/>
        <v>75.256028269050645</v>
      </c>
      <c r="M403">
        <f t="shared" si="175"/>
        <v>51.024825493431628</v>
      </c>
      <c r="N403">
        <f t="shared" si="175"/>
        <v>54.216277796440068</v>
      </c>
      <c r="O403">
        <f t="shared" si="175"/>
        <v>51.138152849231112</v>
      </c>
      <c r="P403">
        <f t="shared" si="175"/>
        <v>92.634945863738466</v>
      </c>
      <c r="Q403">
        <f t="shared" si="175"/>
        <v>97.771196263241791</v>
      </c>
      <c r="R403">
        <f t="shared" si="175"/>
        <v>92.215012579356141</v>
      </c>
      <c r="S403">
        <f t="shared" si="175"/>
        <v>43.793118974614572</v>
      </c>
      <c r="T403">
        <f t="shared" si="175"/>
        <v>60.110912615974527</v>
      </c>
      <c r="U403">
        <f t="shared" si="175"/>
        <v>70.458330555766238</v>
      </c>
      <c r="V403">
        <f t="shared" si="175"/>
        <v>80.270716033486735</v>
      </c>
      <c r="W403">
        <f t="shared" si="175"/>
        <v>95.165894616450558</v>
      </c>
      <c r="Y403" s="6">
        <f t="shared" si="169"/>
        <v>1770.1454497452</v>
      </c>
      <c r="Z403">
        <f t="shared" si="170"/>
        <v>-29.086417012533087</v>
      </c>
    </row>
    <row r="404" spans="1:26" x14ac:dyDescent="0.25">
      <c r="A404" t="s">
        <v>49</v>
      </c>
      <c r="D404">
        <f t="shared" ref="D404:W404" si="176">D8*D188</f>
        <v>84.770262979120616</v>
      </c>
      <c r="E404">
        <f t="shared" si="176"/>
        <v>97.270799423825508</v>
      </c>
      <c r="F404">
        <f t="shared" si="176"/>
        <v>99.120619767690698</v>
      </c>
      <c r="G404">
        <f t="shared" si="176"/>
        <v>88.515962010352439</v>
      </c>
      <c r="H404">
        <f t="shared" si="176"/>
        <v>76.105949174942054</v>
      </c>
      <c r="I404">
        <f t="shared" si="176"/>
        <v>68.960523440413098</v>
      </c>
      <c r="J404">
        <f t="shared" si="176"/>
        <v>82.268907425823414</v>
      </c>
      <c r="K404">
        <f t="shared" si="176"/>
        <v>77.058117418803661</v>
      </c>
      <c r="L404">
        <f t="shared" si="176"/>
        <v>59.993563581190756</v>
      </c>
      <c r="M404">
        <f t="shared" si="176"/>
        <v>54.94972919805415</v>
      </c>
      <c r="N404">
        <f t="shared" si="176"/>
        <v>55.924828554673034</v>
      </c>
      <c r="O404">
        <f t="shared" si="176"/>
        <v>58.497002399644181</v>
      </c>
      <c r="P404">
        <f t="shared" si="176"/>
        <v>82.881385866633082</v>
      </c>
      <c r="Q404">
        <f t="shared" si="176"/>
        <v>71.890284795678198</v>
      </c>
      <c r="R404">
        <f t="shared" si="176"/>
        <v>90.985367544578949</v>
      </c>
      <c r="S404">
        <f t="shared" si="176"/>
        <v>73.704910016364749</v>
      </c>
      <c r="T404">
        <f t="shared" si="176"/>
        <v>66.918618425115412</v>
      </c>
      <c r="U404">
        <f t="shared" si="176"/>
        <v>88.721836034218114</v>
      </c>
      <c r="V404">
        <f t="shared" si="176"/>
        <v>89.565326501069947</v>
      </c>
      <c r="W404">
        <f t="shared" si="176"/>
        <v>92.64282772673954</v>
      </c>
      <c r="Y404" s="6">
        <f t="shared" si="169"/>
        <v>1560.7468222849316</v>
      </c>
      <c r="Z404">
        <f t="shared" si="170"/>
        <v>-32.154800250884136</v>
      </c>
    </row>
    <row r="405" spans="1:26" x14ac:dyDescent="0.25">
      <c r="A405" t="s">
        <v>50</v>
      </c>
      <c r="D405">
        <f t="shared" ref="D405:W405" si="177">D9*D189</f>
        <v>102.96511756651699</v>
      </c>
      <c r="E405">
        <f t="shared" si="177"/>
        <v>87.505555088524289</v>
      </c>
      <c r="F405">
        <f t="shared" si="177"/>
        <v>113.01840807101381</v>
      </c>
      <c r="G405">
        <f t="shared" si="177"/>
        <v>98.080074586255478</v>
      </c>
      <c r="H405">
        <f t="shared" si="177"/>
        <v>86.777721299655809</v>
      </c>
      <c r="I405">
        <f t="shared" si="177"/>
        <v>82.937761603682432</v>
      </c>
      <c r="J405">
        <f t="shared" si="177"/>
        <v>82.139820898956771</v>
      </c>
      <c r="K405">
        <f t="shared" si="177"/>
        <v>78.588706816604017</v>
      </c>
      <c r="L405">
        <f t="shared" si="177"/>
        <v>100.38150777012315</v>
      </c>
      <c r="M405">
        <f t="shared" si="177"/>
        <v>72.107173892685168</v>
      </c>
      <c r="N405">
        <f t="shared" si="177"/>
        <v>79.468307676502349</v>
      </c>
      <c r="O405">
        <f t="shared" si="177"/>
        <v>94.289090228663767</v>
      </c>
      <c r="P405">
        <f t="shared" si="177"/>
        <v>88.228624958902842</v>
      </c>
      <c r="Q405">
        <f t="shared" si="177"/>
        <v>91.546402259517734</v>
      </c>
      <c r="R405">
        <f t="shared" si="177"/>
        <v>85.702984921835522</v>
      </c>
      <c r="S405">
        <f t="shared" si="177"/>
        <v>80.218224257095457</v>
      </c>
      <c r="T405">
        <f t="shared" si="177"/>
        <v>78.897582484852094</v>
      </c>
      <c r="U405">
        <f t="shared" si="177"/>
        <v>77.167686482105779</v>
      </c>
      <c r="V405">
        <f t="shared" si="177"/>
        <v>109.44396296566875</v>
      </c>
      <c r="W405">
        <f t="shared" si="177"/>
        <v>100.07685022483993</v>
      </c>
      <c r="Y405" s="6">
        <f t="shared" si="169"/>
        <v>1789.541564054002</v>
      </c>
      <c r="Z405">
        <f t="shared" si="170"/>
        <v>-36.479678570647408</v>
      </c>
    </row>
    <row r="406" spans="1:26" x14ac:dyDescent="0.25">
      <c r="A406" t="s">
        <v>51</v>
      </c>
      <c r="D406">
        <f t="shared" ref="D406:W406" si="178">D10*D190</f>
        <v>97.115589602590333</v>
      </c>
      <c r="E406">
        <f t="shared" si="178"/>
        <v>117.89015143707984</v>
      </c>
      <c r="F406">
        <f t="shared" si="178"/>
        <v>93.734174053884402</v>
      </c>
      <c r="G406">
        <f t="shared" si="178"/>
        <v>134.87285693574964</v>
      </c>
      <c r="H406">
        <f t="shared" si="178"/>
        <v>83.143034944735732</v>
      </c>
      <c r="I406">
        <f t="shared" si="178"/>
        <v>81.858457989482133</v>
      </c>
      <c r="J406">
        <f t="shared" si="178"/>
        <v>89.869684414037167</v>
      </c>
      <c r="K406">
        <f t="shared" si="178"/>
        <v>61.671026682398349</v>
      </c>
      <c r="L406">
        <f t="shared" si="178"/>
        <v>84.674426960030104</v>
      </c>
      <c r="M406">
        <f t="shared" si="178"/>
        <v>67.968992512976257</v>
      </c>
      <c r="N406">
        <f t="shared" si="178"/>
        <v>70.019391535249923</v>
      </c>
      <c r="O406">
        <f t="shared" si="178"/>
        <v>75.255098759836898</v>
      </c>
      <c r="P406">
        <f t="shared" si="178"/>
        <v>107.93729433831219</v>
      </c>
      <c r="Q406">
        <f t="shared" si="178"/>
        <v>69.277338683185221</v>
      </c>
      <c r="R406">
        <f t="shared" si="178"/>
        <v>85.280732060124251</v>
      </c>
      <c r="S406">
        <f t="shared" si="178"/>
        <v>101.15419847408609</v>
      </c>
      <c r="T406">
        <f t="shared" si="178"/>
        <v>76.872454082149616</v>
      </c>
      <c r="U406">
        <f t="shared" si="178"/>
        <v>97.152022446098215</v>
      </c>
      <c r="V406">
        <f t="shared" si="178"/>
        <v>99.627777739907373</v>
      </c>
      <c r="W406">
        <f t="shared" si="178"/>
        <v>108.74160117785962</v>
      </c>
      <c r="Y406" s="6">
        <f t="shared" si="169"/>
        <v>1804.1163048297733</v>
      </c>
      <c r="Z406">
        <f t="shared" si="170"/>
        <v>-25.867146717432693</v>
      </c>
    </row>
    <row r="407" spans="1:26" x14ac:dyDescent="0.25">
      <c r="A407" t="s">
        <v>52</v>
      </c>
      <c r="D407">
        <f t="shared" ref="D407:W407" si="179">D11*D191</f>
        <v>100.56301439829898</v>
      </c>
      <c r="E407">
        <f t="shared" si="179"/>
        <v>104.27445488278084</v>
      </c>
      <c r="F407">
        <f t="shared" si="179"/>
        <v>96.528521691690884</v>
      </c>
      <c r="G407">
        <f t="shared" si="179"/>
        <v>81.878314292789369</v>
      </c>
      <c r="H407">
        <f t="shared" si="179"/>
        <v>84.607368291745161</v>
      </c>
      <c r="I407">
        <f t="shared" si="179"/>
        <v>98.155071613714924</v>
      </c>
      <c r="J407">
        <f t="shared" si="179"/>
        <v>53.634717195613945</v>
      </c>
      <c r="K407">
        <f t="shared" si="179"/>
        <v>60.028895169602642</v>
      </c>
      <c r="L407">
        <f t="shared" si="179"/>
        <v>65.159873614316183</v>
      </c>
      <c r="M407">
        <f t="shared" si="179"/>
        <v>62.453088847882022</v>
      </c>
      <c r="N407">
        <f t="shared" si="179"/>
        <v>38.029748420089817</v>
      </c>
      <c r="O407">
        <f t="shared" si="179"/>
        <v>56.184148917380107</v>
      </c>
      <c r="P407">
        <f t="shared" si="179"/>
        <v>68.29140982263047</v>
      </c>
      <c r="Q407">
        <f t="shared" si="179"/>
        <v>72.519644696179199</v>
      </c>
      <c r="R407">
        <f t="shared" si="179"/>
        <v>77.68812823805257</v>
      </c>
      <c r="S407">
        <f t="shared" si="179"/>
        <v>83.121826106661374</v>
      </c>
      <c r="T407">
        <f t="shared" si="179"/>
        <v>51.619439777389324</v>
      </c>
      <c r="U407">
        <f t="shared" si="179"/>
        <v>50.709936121886301</v>
      </c>
      <c r="V407">
        <f t="shared" si="179"/>
        <v>64.430096898694558</v>
      </c>
      <c r="W407">
        <f t="shared" si="179"/>
        <v>68.794506623429868</v>
      </c>
      <c r="Y407" s="6">
        <f t="shared" si="169"/>
        <v>1438.6722056208284</v>
      </c>
      <c r="Z407">
        <f t="shared" si="170"/>
        <v>7.7297514742444564</v>
      </c>
    </row>
    <row r="408" spans="1:26" x14ac:dyDescent="0.25">
      <c r="A408" t="s">
        <v>53</v>
      </c>
      <c r="D408">
        <f t="shared" ref="D408:W408" si="180">D12*D192</f>
        <v>83.311078184312407</v>
      </c>
      <c r="E408">
        <f t="shared" si="180"/>
        <v>89.641114843861629</v>
      </c>
      <c r="F408">
        <f t="shared" si="180"/>
        <v>87.085639402957582</v>
      </c>
      <c r="G408">
        <f t="shared" si="180"/>
        <v>78.582906982287767</v>
      </c>
      <c r="H408">
        <f t="shared" si="180"/>
        <v>65.294422440986168</v>
      </c>
      <c r="I408">
        <f t="shared" si="180"/>
        <v>62.726783306094063</v>
      </c>
      <c r="J408">
        <f t="shared" si="180"/>
        <v>80.514002511309542</v>
      </c>
      <c r="K408">
        <f t="shared" si="180"/>
        <v>82.83389040481002</v>
      </c>
      <c r="L408">
        <f t="shared" si="180"/>
        <v>71.567302132503116</v>
      </c>
      <c r="M408">
        <f t="shared" si="180"/>
        <v>72.191752455595491</v>
      </c>
      <c r="N408">
        <f t="shared" si="180"/>
        <v>67.686369530472021</v>
      </c>
      <c r="O408">
        <f t="shared" si="180"/>
        <v>69.362221744310588</v>
      </c>
      <c r="P408">
        <f t="shared" si="180"/>
        <v>70.851969437402204</v>
      </c>
      <c r="Q408">
        <f t="shared" si="180"/>
        <v>49.538928933070828</v>
      </c>
      <c r="R408">
        <f t="shared" si="180"/>
        <v>65.904129283483471</v>
      </c>
      <c r="S408">
        <f t="shared" si="180"/>
        <v>63.786799022167749</v>
      </c>
      <c r="T408">
        <f t="shared" si="180"/>
        <v>98.173405978137694</v>
      </c>
      <c r="U408">
        <f t="shared" si="180"/>
        <v>75.506661643646055</v>
      </c>
      <c r="V408">
        <f t="shared" si="180"/>
        <v>88.987321136594801</v>
      </c>
      <c r="W408">
        <f t="shared" si="180"/>
        <v>78.956165405778492</v>
      </c>
      <c r="Y408" s="6">
        <f t="shared" si="169"/>
        <v>1502.5028647797815</v>
      </c>
      <c r="Z408">
        <f t="shared" si="170"/>
        <v>-32.201656439097768</v>
      </c>
    </row>
    <row r="409" spans="1:26" x14ac:dyDescent="0.25">
      <c r="A409" t="s">
        <v>54</v>
      </c>
      <c r="D409">
        <f t="shared" ref="D409:W409" si="181">D13*D193</f>
        <v>102.90591230506521</v>
      </c>
      <c r="E409">
        <f t="shared" si="181"/>
        <v>88.370173413338335</v>
      </c>
      <c r="F409">
        <f t="shared" si="181"/>
        <v>92.093304978430112</v>
      </c>
      <c r="G409">
        <f t="shared" si="181"/>
        <v>70.590871465616019</v>
      </c>
      <c r="H409">
        <f t="shared" si="181"/>
        <v>64.979579801707118</v>
      </c>
      <c r="I409">
        <f t="shared" si="181"/>
        <v>61.706502048863271</v>
      </c>
      <c r="J409">
        <f t="shared" si="181"/>
        <v>43.620653524478605</v>
      </c>
      <c r="K409">
        <f t="shared" si="181"/>
        <v>51.124431716844079</v>
      </c>
      <c r="L409">
        <f t="shared" si="181"/>
        <v>54.959252213351583</v>
      </c>
      <c r="M409">
        <f t="shared" si="181"/>
        <v>58.771334944319563</v>
      </c>
      <c r="N409">
        <f t="shared" si="181"/>
        <v>44.455443783037197</v>
      </c>
      <c r="O409">
        <f t="shared" si="181"/>
        <v>57.209860629780586</v>
      </c>
      <c r="P409">
        <f t="shared" si="181"/>
        <v>57.673951042176142</v>
      </c>
      <c r="Q409">
        <f t="shared" si="181"/>
        <v>66.322774807210479</v>
      </c>
      <c r="R409">
        <f t="shared" si="181"/>
        <v>44.075076299527858</v>
      </c>
      <c r="S409">
        <f t="shared" si="181"/>
        <v>59.110000896880294</v>
      </c>
      <c r="T409">
        <f t="shared" si="181"/>
        <v>63.276086435448029</v>
      </c>
      <c r="U409">
        <f t="shared" si="181"/>
        <v>77.330243606744176</v>
      </c>
      <c r="V409">
        <f t="shared" si="181"/>
        <v>61.581858800180505</v>
      </c>
      <c r="W409">
        <f t="shared" si="181"/>
        <v>76.525030246893152</v>
      </c>
      <c r="Y409" s="6">
        <f t="shared" si="169"/>
        <v>1296.6823429598921</v>
      </c>
      <c r="Z409">
        <f t="shared" si="170"/>
        <v>-1.7774266958977005</v>
      </c>
    </row>
    <row r="410" spans="1:26" x14ac:dyDescent="0.25">
      <c r="A410" t="s">
        <v>55</v>
      </c>
      <c r="D410">
        <f t="shared" ref="D410:W410" si="182">D14*D194</f>
        <v>107.90529398917411</v>
      </c>
      <c r="E410">
        <f t="shared" si="182"/>
        <v>112.27965482380317</v>
      </c>
      <c r="F410">
        <f t="shared" si="182"/>
        <v>88.988686787337244</v>
      </c>
      <c r="G410">
        <f t="shared" si="182"/>
        <v>91.968586027150025</v>
      </c>
      <c r="H410">
        <f t="shared" si="182"/>
        <v>63.75648753775404</v>
      </c>
      <c r="I410">
        <f t="shared" si="182"/>
        <v>64.748947392218966</v>
      </c>
      <c r="J410">
        <f t="shared" si="182"/>
        <v>59.077137956092734</v>
      </c>
      <c r="K410">
        <f t="shared" si="182"/>
        <v>59.714769781238836</v>
      </c>
      <c r="L410">
        <f t="shared" si="182"/>
        <v>60.32382696602177</v>
      </c>
      <c r="M410">
        <f t="shared" si="182"/>
        <v>64.715442964031141</v>
      </c>
      <c r="N410">
        <f t="shared" si="182"/>
        <v>76.791850985854737</v>
      </c>
      <c r="O410">
        <f t="shared" si="182"/>
        <v>53.406769779284659</v>
      </c>
      <c r="P410">
        <f t="shared" si="182"/>
        <v>52.86367608147664</v>
      </c>
      <c r="Q410">
        <f t="shared" si="182"/>
        <v>71.199228455795108</v>
      </c>
      <c r="R410">
        <f t="shared" si="182"/>
        <v>68.54193328449999</v>
      </c>
      <c r="S410">
        <f t="shared" si="182"/>
        <v>80.781154195870016</v>
      </c>
      <c r="T410">
        <f t="shared" si="182"/>
        <v>63.153559292904028</v>
      </c>
      <c r="U410">
        <f t="shared" si="182"/>
        <v>63.291802538478194</v>
      </c>
      <c r="V410">
        <f t="shared" si="182"/>
        <v>82.292870515194863</v>
      </c>
      <c r="W410">
        <f t="shared" si="182"/>
        <v>83.607005187636872</v>
      </c>
      <c r="Y410" s="6">
        <f t="shared" si="169"/>
        <v>1469.4086845418169</v>
      </c>
      <c r="Z410">
        <f t="shared" si="170"/>
        <v>-9.7234720998876156</v>
      </c>
    </row>
    <row r="411" spans="1:26" x14ac:dyDescent="0.25">
      <c r="A411" t="s">
        <v>56</v>
      </c>
      <c r="D411">
        <f t="shared" ref="D411:W411" si="183">D15*D195</f>
        <v>132.17575094361206</v>
      </c>
      <c r="E411">
        <f t="shared" si="183"/>
        <v>95.315842390827967</v>
      </c>
      <c r="F411">
        <f t="shared" si="183"/>
        <v>86.492642486169345</v>
      </c>
      <c r="G411">
        <f t="shared" si="183"/>
        <v>77.062055653637287</v>
      </c>
      <c r="H411">
        <f t="shared" si="183"/>
        <v>63.367949763785525</v>
      </c>
      <c r="I411">
        <f t="shared" si="183"/>
        <v>75.638882500305883</v>
      </c>
      <c r="J411">
        <f t="shared" si="183"/>
        <v>64.804845794032786</v>
      </c>
      <c r="K411">
        <f t="shared" si="183"/>
        <v>75.398617639253516</v>
      </c>
      <c r="L411">
        <f t="shared" si="183"/>
        <v>65.498917758459399</v>
      </c>
      <c r="M411">
        <f t="shared" si="183"/>
        <v>69.190747617479275</v>
      </c>
      <c r="N411">
        <f t="shared" si="183"/>
        <v>55.446687545361684</v>
      </c>
      <c r="O411">
        <f t="shared" si="183"/>
        <v>71.472951545915109</v>
      </c>
      <c r="P411">
        <f t="shared" si="183"/>
        <v>75.864939974662747</v>
      </c>
      <c r="Q411">
        <f t="shared" si="183"/>
        <v>57.558738284058769</v>
      </c>
      <c r="R411">
        <f t="shared" si="183"/>
        <v>82.430602318598616</v>
      </c>
      <c r="S411">
        <f t="shared" si="183"/>
        <v>75.995908719783472</v>
      </c>
      <c r="T411">
        <f t="shared" si="183"/>
        <v>77.796113508376237</v>
      </c>
      <c r="U411">
        <f t="shared" si="183"/>
        <v>85.379573995043472</v>
      </c>
      <c r="V411">
        <f t="shared" si="183"/>
        <v>71.443265410807129</v>
      </c>
      <c r="W411">
        <f t="shared" si="183"/>
        <v>88.203119258663875</v>
      </c>
      <c r="Y411" s="6">
        <f t="shared" si="169"/>
        <v>1546.5381531088342</v>
      </c>
      <c r="Z411">
        <f t="shared" si="170"/>
        <v>-7.9873209949866606</v>
      </c>
    </row>
    <row r="412" spans="1:26" x14ac:dyDescent="0.25">
      <c r="A412" t="s">
        <v>57</v>
      </c>
      <c r="D412">
        <f t="shared" ref="D412:W412" si="184">D16*D196</f>
        <v>102.39338797193622</v>
      </c>
      <c r="E412">
        <f t="shared" si="184"/>
        <v>109.86660957563956</v>
      </c>
      <c r="F412">
        <f t="shared" si="184"/>
        <v>93.320740377416527</v>
      </c>
      <c r="G412">
        <f t="shared" si="184"/>
        <v>77.291976584039531</v>
      </c>
      <c r="H412">
        <f t="shared" si="184"/>
        <v>66.959497274923308</v>
      </c>
      <c r="I412">
        <f t="shared" si="184"/>
        <v>65.990158606764297</v>
      </c>
      <c r="J412">
        <f t="shared" si="184"/>
        <v>91.43501139341474</v>
      </c>
      <c r="K412">
        <f t="shared" si="184"/>
        <v>61.8426574531669</v>
      </c>
      <c r="L412">
        <f t="shared" si="184"/>
        <v>55.719393611036914</v>
      </c>
      <c r="M412">
        <f t="shared" si="184"/>
        <v>67.88420868365435</v>
      </c>
      <c r="N412">
        <f t="shared" si="184"/>
        <v>70.243288536102185</v>
      </c>
      <c r="O412">
        <f t="shared" si="184"/>
        <v>55.44513907968004</v>
      </c>
      <c r="P412">
        <f t="shared" si="184"/>
        <v>76.816243961940074</v>
      </c>
      <c r="Q412">
        <f t="shared" si="184"/>
        <v>73.062927594455928</v>
      </c>
      <c r="R412">
        <f t="shared" si="184"/>
        <v>60.734828022575556</v>
      </c>
      <c r="S412">
        <f t="shared" si="184"/>
        <v>46.399284809939736</v>
      </c>
      <c r="T412">
        <f t="shared" si="184"/>
        <v>74.178237673167899</v>
      </c>
      <c r="U412">
        <f t="shared" si="184"/>
        <v>85.374654431859156</v>
      </c>
      <c r="V412">
        <f t="shared" si="184"/>
        <v>42.294085943207776</v>
      </c>
      <c r="W412">
        <f t="shared" si="184"/>
        <v>92.018378264377162</v>
      </c>
      <c r="Y412" s="6">
        <f t="shared" si="169"/>
        <v>1469.2707098492979</v>
      </c>
      <c r="Z412">
        <f t="shared" si="170"/>
        <v>-29.263344297692374</v>
      </c>
    </row>
    <row r="413" spans="1:26" x14ac:dyDescent="0.25">
      <c r="A413" t="s">
        <v>58</v>
      </c>
      <c r="D413">
        <f t="shared" ref="D413:W413" si="185">D17*D197</f>
        <v>84.646799536650363</v>
      </c>
      <c r="E413">
        <f t="shared" si="185"/>
        <v>93.929476538955925</v>
      </c>
      <c r="F413">
        <f t="shared" si="185"/>
        <v>87.761545834782837</v>
      </c>
      <c r="G413">
        <f t="shared" si="185"/>
        <v>82.308614936400716</v>
      </c>
      <c r="H413">
        <f t="shared" si="185"/>
        <v>67.04269085384513</v>
      </c>
      <c r="I413">
        <f t="shared" si="185"/>
        <v>48.542939074122714</v>
      </c>
      <c r="J413">
        <f t="shared" si="185"/>
        <v>60.395777948905163</v>
      </c>
      <c r="K413">
        <f t="shared" si="185"/>
        <v>64.839625822205136</v>
      </c>
      <c r="L413">
        <f t="shared" si="185"/>
        <v>57.965176891530973</v>
      </c>
      <c r="M413">
        <f t="shared" si="185"/>
        <v>54.442129401575819</v>
      </c>
      <c r="N413">
        <f t="shared" si="185"/>
        <v>49.561219430411874</v>
      </c>
      <c r="O413">
        <f t="shared" si="185"/>
        <v>57.479969781450642</v>
      </c>
      <c r="P413">
        <f t="shared" si="185"/>
        <v>45.57508442881371</v>
      </c>
      <c r="Q413">
        <f t="shared" si="185"/>
        <v>40.757962271052094</v>
      </c>
      <c r="R413">
        <f t="shared" si="185"/>
        <v>54.35960874091527</v>
      </c>
      <c r="S413">
        <f t="shared" si="185"/>
        <v>64.542515363623011</v>
      </c>
      <c r="T413">
        <f t="shared" si="185"/>
        <v>89.729517248526022</v>
      </c>
      <c r="U413">
        <f t="shared" si="185"/>
        <v>47.511816534918545</v>
      </c>
      <c r="V413">
        <f t="shared" si="185"/>
        <v>54.280523497779946</v>
      </c>
      <c r="W413">
        <f t="shared" si="185"/>
        <v>98.492697125151039</v>
      </c>
      <c r="Y413" s="6">
        <f t="shared" si="169"/>
        <v>1304.1656912616172</v>
      </c>
      <c r="Z413">
        <f t="shared" si="170"/>
        <v>-11.075508337544614</v>
      </c>
    </row>
    <row r="414" spans="1:26" x14ac:dyDescent="0.25">
      <c r="A414" t="s">
        <v>59</v>
      </c>
      <c r="D414">
        <f t="shared" ref="D414:W414" si="186">D18*D198</f>
        <v>118.78401822274267</v>
      </c>
      <c r="E414">
        <f t="shared" si="186"/>
        <v>81.963048241195352</v>
      </c>
      <c r="F414">
        <f t="shared" si="186"/>
        <v>74.084704445700638</v>
      </c>
      <c r="G414">
        <f t="shared" si="186"/>
        <v>83.254588284630984</v>
      </c>
      <c r="H414">
        <f t="shared" si="186"/>
        <v>59.324691279577308</v>
      </c>
      <c r="I414">
        <f t="shared" si="186"/>
        <v>67.214302335082792</v>
      </c>
      <c r="J414">
        <f t="shared" si="186"/>
        <v>69.106337870127732</v>
      </c>
      <c r="K414">
        <f t="shared" si="186"/>
        <v>60.040338476711739</v>
      </c>
      <c r="L414">
        <f t="shared" si="186"/>
        <v>40.330365979823263</v>
      </c>
      <c r="M414">
        <f t="shared" si="186"/>
        <v>54.728669873699666</v>
      </c>
      <c r="N414">
        <f t="shared" si="186"/>
        <v>64.613615760697925</v>
      </c>
      <c r="O414">
        <f t="shared" si="186"/>
        <v>53.019584408330466</v>
      </c>
      <c r="P414">
        <f t="shared" si="186"/>
        <v>48.890480738436558</v>
      </c>
      <c r="Q414">
        <f t="shared" si="186"/>
        <v>41.651321709096365</v>
      </c>
      <c r="R414">
        <f t="shared" si="186"/>
        <v>34.180203072492965</v>
      </c>
      <c r="S414">
        <f t="shared" si="186"/>
        <v>67.645417622569681</v>
      </c>
      <c r="T414">
        <f t="shared" si="186"/>
        <v>82.115666523552505</v>
      </c>
      <c r="U414">
        <f t="shared" si="186"/>
        <v>82.323089254932256</v>
      </c>
      <c r="V414">
        <f t="shared" si="186"/>
        <v>75.010797521393599</v>
      </c>
      <c r="W414">
        <f t="shared" si="186"/>
        <v>70.214858458981084</v>
      </c>
      <c r="Y414" s="6">
        <f t="shared" si="169"/>
        <v>1328.4961000797757</v>
      </c>
      <c r="Z414">
        <f t="shared" si="170"/>
        <v>-12.88838741873619</v>
      </c>
    </row>
    <row r="415" spans="1:26" x14ac:dyDescent="0.25">
      <c r="A415" t="s">
        <v>60</v>
      </c>
      <c r="D415">
        <f t="shared" ref="D415:W415" si="187">D19*D199</f>
        <v>76.135763989771803</v>
      </c>
      <c r="E415">
        <f t="shared" si="187"/>
        <v>70.835788582570274</v>
      </c>
      <c r="F415">
        <f t="shared" si="187"/>
        <v>74.105755840608467</v>
      </c>
      <c r="G415">
        <f t="shared" si="187"/>
        <v>59.792870796979805</v>
      </c>
      <c r="H415">
        <f t="shared" si="187"/>
        <v>56.85829393448779</v>
      </c>
      <c r="I415">
        <f t="shared" si="187"/>
        <v>54.295043212472976</v>
      </c>
      <c r="J415">
        <f t="shared" si="187"/>
        <v>60.909964309383142</v>
      </c>
      <c r="K415">
        <f t="shared" si="187"/>
        <v>83.887562086355729</v>
      </c>
      <c r="L415">
        <f t="shared" si="187"/>
        <v>62.318514239361363</v>
      </c>
      <c r="M415">
        <f t="shared" si="187"/>
        <v>57.327136171481698</v>
      </c>
      <c r="N415">
        <f t="shared" si="187"/>
        <v>49.737828114484337</v>
      </c>
      <c r="O415">
        <f t="shared" si="187"/>
        <v>44.738185140978629</v>
      </c>
      <c r="P415">
        <f t="shared" si="187"/>
        <v>66.975760670891873</v>
      </c>
      <c r="Q415">
        <f t="shared" si="187"/>
        <v>66.269876160447694</v>
      </c>
      <c r="R415">
        <f t="shared" si="187"/>
        <v>58.487319400153666</v>
      </c>
      <c r="S415">
        <f t="shared" si="187"/>
        <v>60.706169267893543</v>
      </c>
      <c r="T415">
        <f t="shared" si="187"/>
        <v>85.529089084293119</v>
      </c>
      <c r="U415">
        <f t="shared" si="187"/>
        <v>98.451577418194077</v>
      </c>
      <c r="V415">
        <f t="shared" si="187"/>
        <v>55.498709391904079</v>
      </c>
      <c r="W415">
        <f t="shared" si="187"/>
        <v>74.428395293857932</v>
      </c>
      <c r="Y415" s="6">
        <f t="shared" si="169"/>
        <v>1317.2896031065723</v>
      </c>
      <c r="Z415">
        <f t="shared" si="170"/>
        <v>-27.597057667968272</v>
      </c>
    </row>
    <row r="416" spans="1:26" x14ac:dyDescent="0.25">
      <c r="A416" t="s">
        <v>61</v>
      </c>
      <c r="D416">
        <f t="shared" ref="D416:W416" si="188">D20*D200</f>
        <v>116.22623395718554</v>
      </c>
      <c r="E416">
        <f t="shared" si="188"/>
        <v>117.99945813317186</v>
      </c>
      <c r="F416">
        <f t="shared" si="188"/>
        <v>100.31540619201158</v>
      </c>
      <c r="G416">
        <f t="shared" si="188"/>
        <v>68.2317099963971</v>
      </c>
      <c r="H416">
        <f t="shared" si="188"/>
        <v>80.487845928201054</v>
      </c>
      <c r="I416">
        <f t="shared" si="188"/>
        <v>81.799565542039346</v>
      </c>
      <c r="J416">
        <f t="shared" si="188"/>
        <v>79.894436169204539</v>
      </c>
      <c r="K416">
        <f t="shared" si="188"/>
        <v>63.270218567514902</v>
      </c>
      <c r="L416">
        <f t="shared" si="188"/>
        <v>43.806871220330734</v>
      </c>
      <c r="M416">
        <f t="shared" si="188"/>
        <v>53.587283952118895</v>
      </c>
      <c r="N416">
        <f t="shared" si="188"/>
        <v>63.24671910959232</v>
      </c>
      <c r="O416">
        <f t="shared" si="188"/>
        <v>68.037590241266287</v>
      </c>
      <c r="P416">
        <f t="shared" si="188"/>
        <v>64.749365890723581</v>
      </c>
      <c r="Q416">
        <f t="shared" si="188"/>
        <v>62.711597388965011</v>
      </c>
      <c r="R416">
        <f t="shared" si="188"/>
        <v>62.151236276662388</v>
      </c>
      <c r="S416">
        <f t="shared" si="188"/>
        <v>81.046133484165551</v>
      </c>
      <c r="T416">
        <f t="shared" si="188"/>
        <v>89.677369988851567</v>
      </c>
      <c r="U416">
        <f t="shared" si="188"/>
        <v>71.094356867948534</v>
      </c>
      <c r="V416">
        <f t="shared" si="188"/>
        <v>63.373491322489393</v>
      </c>
      <c r="W416">
        <f t="shared" si="188"/>
        <v>97.698423063655014</v>
      </c>
      <c r="Y416" s="6">
        <f t="shared" si="169"/>
        <v>1529.4053132924951</v>
      </c>
      <c r="Z416">
        <f t="shared" si="170"/>
        <v>-11.396484765777231</v>
      </c>
    </row>
    <row r="417" spans="1:26" x14ac:dyDescent="0.25">
      <c r="A417" t="s">
        <v>62</v>
      </c>
      <c r="D417">
        <f t="shared" ref="D417:W417" si="189">D21*D201</f>
        <v>85.455063351553306</v>
      </c>
      <c r="E417">
        <f t="shared" si="189"/>
        <v>65.824119347082402</v>
      </c>
      <c r="F417">
        <f t="shared" si="189"/>
        <v>84.259749995492399</v>
      </c>
      <c r="G417">
        <f t="shared" si="189"/>
        <v>90.227106932416618</v>
      </c>
      <c r="H417">
        <f t="shared" si="189"/>
        <v>82.45276264182381</v>
      </c>
      <c r="I417">
        <f t="shared" si="189"/>
        <v>73.833135181200561</v>
      </c>
      <c r="J417">
        <f t="shared" si="189"/>
        <v>57.611802819125359</v>
      </c>
      <c r="K417">
        <f t="shared" si="189"/>
        <v>66.514324740449226</v>
      </c>
      <c r="L417">
        <f t="shared" si="189"/>
        <v>58.837988887334603</v>
      </c>
      <c r="M417">
        <f t="shared" si="189"/>
        <v>51.351460295363353</v>
      </c>
      <c r="N417">
        <f t="shared" si="189"/>
        <v>57.399054990225537</v>
      </c>
      <c r="O417">
        <f t="shared" si="189"/>
        <v>50.955309403987748</v>
      </c>
      <c r="P417">
        <f t="shared" si="189"/>
        <v>33.63460811590587</v>
      </c>
      <c r="Q417">
        <f t="shared" si="189"/>
        <v>59.379045472618344</v>
      </c>
      <c r="R417">
        <f t="shared" si="189"/>
        <v>88.655855054949711</v>
      </c>
      <c r="S417">
        <f t="shared" si="189"/>
        <v>74.089616476508198</v>
      </c>
      <c r="T417">
        <f t="shared" si="189"/>
        <v>53.995174773774565</v>
      </c>
      <c r="U417">
        <f t="shared" si="189"/>
        <v>97.148520558909013</v>
      </c>
      <c r="V417">
        <f t="shared" si="189"/>
        <v>78.272532700949142</v>
      </c>
      <c r="W417">
        <f t="shared" si="189"/>
        <v>90.65463346328518</v>
      </c>
      <c r="Y417" s="6">
        <f t="shared" si="169"/>
        <v>1400.5518652029548</v>
      </c>
      <c r="Z417">
        <f t="shared" si="170"/>
        <v>-25.450112543804202</v>
      </c>
    </row>
    <row r="418" spans="1:26" x14ac:dyDescent="0.25">
      <c r="A418" t="s">
        <v>63</v>
      </c>
      <c r="D418">
        <f t="shared" ref="D418:W418" si="190">D22*D202</f>
        <v>96.176786168316752</v>
      </c>
      <c r="E418">
        <f t="shared" si="190"/>
        <v>87.854697269044593</v>
      </c>
      <c r="F418">
        <f t="shared" si="190"/>
        <v>88.013068395677138</v>
      </c>
      <c r="G418">
        <f t="shared" si="190"/>
        <v>85.350014510065705</v>
      </c>
      <c r="H418">
        <f t="shared" si="190"/>
        <v>59.237063844255957</v>
      </c>
      <c r="I418">
        <f t="shared" si="190"/>
        <v>60.236045229944928</v>
      </c>
      <c r="J418">
        <f t="shared" si="190"/>
        <v>63.630466535942936</v>
      </c>
      <c r="K418">
        <f t="shared" si="190"/>
        <v>59.497294321466974</v>
      </c>
      <c r="L418">
        <f t="shared" si="190"/>
        <v>63.171307832478711</v>
      </c>
      <c r="M418">
        <f t="shared" si="190"/>
        <v>49.111542365665755</v>
      </c>
      <c r="N418">
        <f t="shared" si="190"/>
        <v>60.607467416410856</v>
      </c>
      <c r="O418">
        <f t="shared" si="190"/>
        <v>78.611664448208003</v>
      </c>
      <c r="P418">
        <f t="shared" si="190"/>
        <v>57.500515484557738</v>
      </c>
      <c r="Q418">
        <f t="shared" si="190"/>
        <v>66.739512144838088</v>
      </c>
      <c r="R418">
        <f t="shared" si="190"/>
        <v>74.53312362585541</v>
      </c>
      <c r="S418">
        <f t="shared" si="190"/>
        <v>91.684937356614171</v>
      </c>
      <c r="T418">
        <f t="shared" si="190"/>
        <v>94.031278135141207</v>
      </c>
      <c r="U418">
        <f t="shared" si="190"/>
        <v>77.738691129463916</v>
      </c>
      <c r="V418">
        <f t="shared" si="190"/>
        <v>81.617318508708053</v>
      </c>
      <c r="W418">
        <f t="shared" si="190"/>
        <v>90.263688703357388</v>
      </c>
      <c r="Y418" s="6">
        <f t="shared" si="169"/>
        <v>1485.6064834260142</v>
      </c>
      <c r="Z418">
        <f t="shared" si="170"/>
        <v>-15.81233600458998</v>
      </c>
    </row>
    <row r="419" spans="1:26" x14ac:dyDescent="0.25">
      <c r="A419" t="s">
        <v>64</v>
      </c>
      <c r="D419">
        <f t="shared" ref="D419:W419" si="191">D23*D203</f>
        <v>102.54355309298052</v>
      </c>
      <c r="E419">
        <f t="shared" si="191"/>
        <v>96.94435123423348</v>
      </c>
      <c r="F419">
        <f t="shared" si="191"/>
        <v>96.194795288345659</v>
      </c>
      <c r="G419">
        <f t="shared" si="191"/>
        <v>79.934422012720177</v>
      </c>
      <c r="H419">
        <f t="shared" si="191"/>
        <v>75.585114971577156</v>
      </c>
      <c r="I419">
        <f t="shared" si="191"/>
        <v>63.345994871656913</v>
      </c>
      <c r="J419">
        <f t="shared" si="191"/>
        <v>69.26077037273798</v>
      </c>
      <c r="K419">
        <f t="shared" si="191"/>
        <v>77.42413698010759</v>
      </c>
      <c r="L419">
        <f t="shared" si="191"/>
        <v>80.070930440781524</v>
      </c>
      <c r="M419">
        <f t="shared" si="191"/>
        <v>57.305047035689519</v>
      </c>
      <c r="N419">
        <f t="shared" si="191"/>
        <v>44.069091197391614</v>
      </c>
      <c r="O419">
        <f t="shared" si="191"/>
        <v>63.266171772797691</v>
      </c>
      <c r="P419">
        <f t="shared" si="191"/>
        <v>45.060485206333482</v>
      </c>
      <c r="Q419">
        <f t="shared" si="191"/>
        <v>73.842720789561199</v>
      </c>
      <c r="R419">
        <f t="shared" si="191"/>
        <v>81.702151770933312</v>
      </c>
      <c r="S419">
        <f t="shared" si="191"/>
        <v>91.584379942667283</v>
      </c>
      <c r="T419">
        <f t="shared" si="191"/>
        <v>101.64441279050328</v>
      </c>
      <c r="U419">
        <f t="shared" si="191"/>
        <v>93.644520029378697</v>
      </c>
      <c r="V419">
        <f t="shared" si="191"/>
        <v>73.594969801242314</v>
      </c>
      <c r="W419">
        <f t="shared" si="191"/>
        <v>87.229627981271278</v>
      </c>
      <c r="Y419" s="6">
        <f t="shared" si="169"/>
        <v>1554.2476475829108</v>
      </c>
      <c r="Z419">
        <f t="shared" si="170"/>
        <v>-11.199269577174414</v>
      </c>
    </row>
    <row r="420" spans="1:26" x14ac:dyDescent="0.25">
      <c r="A420" t="s">
        <v>65</v>
      </c>
      <c r="D420">
        <f t="shared" ref="D420:W420" si="192">D24*D204</f>
        <v>112.89758368501987</v>
      </c>
      <c r="E420">
        <f t="shared" si="192"/>
        <v>118.37666960209184</v>
      </c>
      <c r="F420">
        <f t="shared" si="192"/>
        <v>99.01045376562594</v>
      </c>
      <c r="G420">
        <f t="shared" si="192"/>
        <v>83.960698915452383</v>
      </c>
      <c r="H420">
        <f t="shared" si="192"/>
        <v>88.980784373078947</v>
      </c>
      <c r="I420">
        <f t="shared" si="192"/>
        <v>63.448306784044291</v>
      </c>
      <c r="J420">
        <f t="shared" si="192"/>
        <v>58.416490132528764</v>
      </c>
      <c r="K420">
        <f t="shared" si="192"/>
        <v>74.819526722339631</v>
      </c>
      <c r="L420">
        <f t="shared" si="192"/>
        <v>60.019473107013795</v>
      </c>
      <c r="M420">
        <f t="shared" si="192"/>
        <v>54.62152006079593</v>
      </c>
      <c r="N420">
        <f t="shared" si="192"/>
        <v>54.895496153671708</v>
      </c>
      <c r="O420">
        <f t="shared" si="192"/>
        <v>52.580090088861354</v>
      </c>
      <c r="P420">
        <f t="shared" si="192"/>
        <v>46.206563534578301</v>
      </c>
      <c r="Q420">
        <f t="shared" si="192"/>
        <v>49.042225350451531</v>
      </c>
      <c r="R420">
        <f t="shared" si="192"/>
        <v>41.829356360262153</v>
      </c>
      <c r="S420">
        <f t="shared" si="192"/>
        <v>65.743850170138572</v>
      </c>
      <c r="T420">
        <f t="shared" si="192"/>
        <v>73.382909308076762</v>
      </c>
      <c r="U420">
        <f t="shared" si="192"/>
        <v>82.064897467074914</v>
      </c>
      <c r="V420">
        <f t="shared" si="192"/>
        <v>65.710460128691253</v>
      </c>
      <c r="W420">
        <f t="shared" si="192"/>
        <v>84.595464974980203</v>
      </c>
      <c r="Y420" s="6">
        <f t="shared" si="169"/>
        <v>1430.602820684778</v>
      </c>
      <c r="Z420">
        <f t="shared" si="170"/>
        <v>-7.5482680279000549</v>
      </c>
    </row>
    <row r="421" spans="1:26" x14ac:dyDescent="0.25">
      <c r="A421" t="s">
        <v>66</v>
      </c>
      <c r="D421">
        <f t="shared" ref="D421:W421" si="193">D25*D205</f>
        <v>132.87927052129368</v>
      </c>
      <c r="E421">
        <f t="shared" si="193"/>
        <v>116.88730597024434</v>
      </c>
      <c r="F421">
        <f t="shared" si="193"/>
        <v>80.143798530740582</v>
      </c>
      <c r="G421">
        <f t="shared" si="193"/>
        <v>66.044920520938874</v>
      </c>
      <c r="H421">
        <f t="shared" si="193"/>
        <v>74.479851915883344</v>
      </c>
      <c r="I421">
        <f t="shared" si="193"/>
        <v>92.254436227123762</v>
      </c>
      <c r="J421">
        <f t="shared" si="193"/>
        <v>86.707608178054045</v>
      </c>
      <c r="K421">
        <f t="shared" si="193"/>
        <v>106.21208288951041</v>
      </c>
      <c r="L421">
        <f t="shared" si="193"/>
        <v>1.319867250357361</v>
      </c>
      <c r="M421">
        <f t="shared" si="193"/>
        <v>60.342221373217946</v>
      </c>
      <c r="N421">
        <f t="shared" si="193"/>
        <v>65.154722542567782</v>
      </c>
      <c r="O421">
        <f t="shared" si="193"/>
        <v>41.323003186438356</v>
      </c>
      <c r="P421">
        <f t="shared" si="193"/>
        <v>55.795186578898225</v>
      </c>
      <c r="Q421">
        <f t="shared" si="193"/>
        <v>67.138003193580531</v>
      </c>
      <c r="R421">
        <f t="shared" si="193"/>
        <v>74.682569903702728</v>
      </c>
      <c r="S421">
        <f t="shared" si="193"/>
        <v>80.260133468717186</v>
      </c>
      <c r="T421">
        <f t="shared" si="193"/>
        <v>75.661771327800494</v>
      </c>
      <c r="U421">
        <f t="shared" si="193"/>
        <v>103.32961585702024</v>
      </c>
      <c r="V421">
        <f t="shared" si="193"/>
        <v>85.866377350819647</v>
      </c>
      <c r="W421">
        <f t="shared" si="193"/>
        <v>73.81176116530861</v>
      </c>
      <c r="Y421" s="6">
        <f t="shared" si="169"/>
        <v>1540.2945079522178</v>
      </c>
      <c r="Z421">
        <f t="shared" si="170"/>
        <v>-21.855141740273829</v>
      </c>
    </row>
    <row r="422" spans="1:26" x14ac:dyDescent="0.25">
      <c r="A422" t="s">
        <v>67</v>
      </c>
      <c r="D422">
        <f t="shared" ref="D422:W422" si="194">D26*D206</f>
        <v>98.335857729262386</v>
      </c>
      <c r="E422">
        <f t="shared" si="194"/>
        <v>80.64839230662281</v>
      </c>
      <c r="F422">
        <f t="shared" si="194"/>
        <v>56.999366583648069</v>
      </c>
      <c r="G422">
        <f t="shared" si="194"/>
        <v>78.596374355595543</v>
      </c>
      <c r="H422">
        <f t="shared" si="194"/>
        <v>86.295974000112722</v>
      </c>
      <c r="I422">
        <f t="shared" si="194"/>
        <v>72.594627603516074</v>
      </c>
      <c r="J422">
        <f t="shared" si="194"/>
        <v>48.990802558602475</v>
      </c>
      <c r="K422">
        <f t="shared" si="194"/>
        <v>63.055089798054389</v>
      </c>
      <c r="L422">
        <f t="shared" si="194"/>
        <v>65.825358672103604</v>
      </c>
      <c r="M422">
        <f t="shared" si="194"/>
        <v>55.725076374792557</v>
      </c>
      <c r="N422">
        <f t="shared" si="194"/>
        <v>57.197034302552545</v>
      </c>
      <c r="O422">
        <f t="shared" si="194"/>
        <v>60.357613862772418</v>
      </c>
      <c r="P422">
        <f t="shared" si="194"/>
        <v>52.735963729145773</v>
      </c>
      <c r="Q422">
        <f t="shared" si="194"/>
        <v>58.923329262078013</v>
      </c>
      <c r="R422">
        <f t="shared" si="194"/>
        <v>63.672882374778737</v>
      </c>
      <c r="S422">
        <f t="shared" si="194"/>
        <v>75.69913160346546</v>
      </c>
      <c r="T422">
        <f t="shared" si="194"/>
        <v>82.592594537081339</v>
      </c>
      <c r="U422">
        <f t="shared" si="194"/>
        <v>83.422532972289531</v>
      </c>
      <c r="V422">
        <f t="shared" si="194"/>
        <v>100.51344859546026</v>
      </c>
      <c r="W422">
        <f t="shared" si="194"/>
        <v>99.555876292914434</v>
      </c>
      <c r="Y422" s="6">
        <f t="shared" si="169"/>
        <v>1441.7373275148491</v>
      </c>
      <c r="Z422">
        <f t="shared" si="170"/>
        <v>-18.155438248528032</v>
      </c>
    </row>
    <row r="423" spans="1:26" x14ac:dyDescent="0.25">
      <c r="A423" t="s">
        <v>68</v>
      </c>
      <c r="D423">
        <f t="shared" ref="D423:W423" si="195">D27*D207</f>
        <v>132.17575094361206</v>
      </c>
      <c r="E423">
        <f t="shared" si="195"/>
        <v>95.315842390827967</v>
      </c>
      <c r="F423">
        <f t="shared" si="195"/>
        <v>86.492642486169345</v>
      </c>
      <c r="G423">
        <f t="shared" si="195"/>
        <v>77.062055653637287</v>
      </c>
      <c r="H423">
        <f t="shared" si="195"/>
        <v>63.367949763785525</v>
      </c>
      <c r="I423">
        <f t="shared" si="195"/>
        <v>75.638882500305883</v>
      </c>
      <c r="J423">
        <f t="shared" si="195"/>
        <v>64.804845794032786</v>
      </c>
      <c r="K423">
        <f t="shared" si="195"/>
        <v>75.398617639253516</v>
      </c>
      <c r="L423">
        <f t="shared" si="195"/>
        <v>86.868741915419989</v>
      </c>
      <c r="M423">
        <f t="shared" si="195"/>
        <v>57.121928305994963</v>
      </c>
      <c r="N423">
        <f t="shared" si="195"/>
        <v>67.077418989059595</v>
      </c>
      <c r="O423">
        <f t="shared" si="195"/>
        <v>60.908199504265539</v>
      </c>
      <c r="P423">
        <f t="shared" si="195"/>
        <v>70.662030379883333</v>
      </c>
      <c r="Q423">
        <f t="shared" si="195"/>
        <v>79.949590126905051</v>
      </c>
      <c r="R423">
        <f t="shared" si="195"/>
        <v>97.792716456602335</v>
      </c>
      <c r="S423">
        <f t="shared" si="195"/>
        <v>92.725964908400073</v>
      </c>
      <c r="T423">
        <f t="shared" si="195"/>
        <v>89.006415487308615</v>
      </c>
      <c r="U423">
        <f t="shared" si="195"/>
        <v>97.48031071732342</v>
      </c>
      <c r="V423">
        <f t="shared" si="195"/>
        <v>94.937849915854031</v>
      </c>
      <c r="W423">
        <f t="shared" si="195"/>
        <v>111.66807935969597</v>
      </c>
      <c r="Y423" s="6">
        <f t="shared" si="169"/>
        <v>1676.4558332383374</v>
      </c>
      <c r="Z423">
        <f t="shared" si="170"/>
        <v>-14.160470954623815</v>
      </c>
    </row>
    <row r="424" spans="1:26" x14ac:dyDescent="0.25">
      <c r="A424" t="s">
        <v>69</v>
      </c>
      <c r="D424">
        <f t="shared" ref="D424:W424" si="196">D28*D208</f>
        <v>62.619303242549705</v>
      </c>
      <c r="E424">
        <f t="shared" si="196"/>
        <v>67.631142411465802</v>
      </c>
      <c r="F424">
        <f t="shared" si="196"/>
        <v>60.354759527030907</v>
      </c>
      <c r="G424">
        <f t="shared" si="196"/>
        <v>49.409409188909088</v>
      </c>
      <c r="H424">
        <f t="shared" si="196"/>
        <v>43.636619489283603</v>
      </c>
      <c r="I424">
        <f t="shared" si="196"/>
        <v>34.213198260365196</v>
      </c>
      <c r="J424">
        <f t="shared" si="196"/>
        <v>15.285719395391611</v>
      </c>
      <c r="K424">
        <f t="shared" si="196"/>
        <v>11.312334868764188</v>
      </c>
      <c r="L424">
        <f t="shared" si="196"/>
        <v>56.061318010675869</v>
      </c>
      <c r="M424">
        <f t="shared" si="196"/>
        <v>58.075063742154661</v>
      </c>
      <c r="N424">
        <f t="shared" si="196"/>
        <v>60.125107051394828</v>
      </c>
      <c r="O424">
        <f t="shared" si="196"/>
        <v>49.884798325567445</v>
      </c>
      <c r="P424">
        <f t="shared" si="196"/>
        <v>58.037644309152235</v>
      </c>
      <c r="Q424">
        <f t="shared" si="196"/>
        <v>44.127451021681829</v>
      </c>
      <c r="R424">
        <f t="shared" si="196"/>
        <v>51.13375749349354</v>
      </c>
      <c r="S424">
        <f t="shared" si="196"/>
        <v>63.634213822782144</v>
      </c>
      <c r="T424">
        <f t="shared" si="196"/>
        <v>75.718169373720798</v>
      </c>
      <c r="U424">
        <f t="shared" si="196"/>
        <v>94.75217411725454</v>
      </c>
      <c r="V424">
        <f t="shared" si="196"/>
        <v>74.69553181481588</v>
      </c>
      <c r="W424">
        <f t="shared" si="196"/>
        <v>91.97378670988455</v>
      </c>
      <c r="Y424" s="6">
        <f t="shared" si="169"/>
        <v>1122.6815021763384</v>
      </c>
      <c r="Z424">
        <f t="shared" si="170"/>
        <v>-7.1985432070813662</v>
      </c>
    </row>
    <row r="425" spans="1:26" x14ac:dyDescent="0.25">
      <c r="Y425" s="6"/>
    </row>
    <row r="426" spans="1:26" x14ac:dyDescent="0.25">
      <c r="A426" t="s">
        <v>70</v>
      </c>
      <c r="D426">
        <f t="shared" ref="D426:W426" si="197">D30*D210</f>
        <v>110.13972446534856</v>
      </c>
      <c r="E426">
        <f t="shared" si="197"/>
        <v>93.519444867173533</v>
      </c>
      <c r="F426">
        <f t="shared" si="197"/>
        <v>103.11826300032575</v>
      </c>
      <c r="G426">
        <f t="shared" si="197"/>
        <v>93.233488589993385</v>
      </c>
      <c r="H426">
        <f t="shared" si="197"/>
        <v>82.798060757399142</v>
      </c>
      <c r="I426">
        <f t="shared" si="197"/>
        <v>86.315536125360993</v>
      </c>
      <c r="J426">
        <f t="shared" si="197"/>
        <v>90.332037093317936</v>
      </c>
      <c r="K426">
        <f t="shared" si="197"/>
        <v>67.550599215776899</v>
      </c>
      <c r="L426">
        <f t="shared" si="197"/>
        <v>63.413886232442081</v>
      </c>
      <c r="M426">
        <f t="shared" si="197"/>
        <v>56.434762833863481</v>
      </c>
      <c r="N426">
        <f t="shared" si="197"/>
        <v>58.990311780844799</v>
      </c>
      <c r="O426">
        <f t="shared" si="197"/>
        <v>59.558909391757545</v>
      </c>
      <c r="P426">
        <f t="shared" si="197"/>
        <v>59.712683913840777</v>
      </c>
      <c r="Q426">
        <f t="shared" si="197"/>
        <v>69.218854475484932</v>
      </c>
      <c r="R426">
        <f t="shared" si="197"/>
        <v>72.607509583472662</v>
      </c>
      <c r="S426">
        <f t="shared" si="197"/>
        <v>79.957709378577263</v>
      </c>
      <c r="T426">
        <f t="shared" si="197"/>
        <v>63.972302930858902</v>
      </c>
      <c r="U426">
        <f t="shared" si="197"/>
        <v>100.91227448183287</v>
      </c>
      <c r="V426">
        <f t="shared" si="197"/>
        <v>72.618448087048407</v>
      </c>
      <c r="W426">
        <f t="shared" si="197"/>
        <v>101.44383166573537</v>
      </c>
      <c r="Y426" s="6">
        <f t="shared" si="169"/>
        <v>1585.848638870455</v>
      </c>
      <c r="Z426">
        <f>SUMPRODUCT($D$430:$W$430,D426:W426)</f>
        <v>-24.261524082858596</v>
      </c>
    </row>
    <row r="427" spans="1:26" x14ac:dyDescent="0.25">
      <c r="A427" t="s">
        <v>313</v>
      </c>
      <c r="D427">
        <f t="shared" ref="D427:W427" si="198">D31*D211</f>
        <v>138.10872457955961</v>
      </c>
      <c r="E427">
        <f t="shared" si="198"/>
        <v>108.08787016281245</v>
      </c>
      <c r="F427">
        <f t="shared" si="198"/>
        <v>90.055352409655839</v>
      </c>
      <c r="G427">
        <f t="shared" si="198"/>
        <v>97.110787521858313</v>
      </c>
      <c r="H427">
        <f t="shared" si="198"/>
        <v>103.46102663860735</v>
      </c>
      <c r="I427">
        <f t="shared" si="198"/>
        <v>93.574875595417126</v>
      </c>
      <c r="J427">
        <f t="shared" si="198"/>
        <v>80.025200396218708</v>
      </c>
      <c r="K427">
        <f t="shared" si="198"/>
        <v>38.074981015288841</v>
      </c>
      <c r="L427">
        <f t="shared" si="198"/>
        <v>75.140084766263044</v>
      </c>
      <c r="M427">
        <f t="shared" si="198"/>
        <v>75.525652213757979</v>
      </c>
      <c r="N427">
        <f t="shared" si="198"/>
        <v>68.873849697673279</v>
      </c>
      <c r="O427">
        <f t="shared" si="198"/>
        <v>66.809691984119965</v>
      </c>
      <c r="P427">
        <f t="shared" si="198"/>
        <v>76.56</v>
      </c>
      <c r="Q427">
        <f t="shared" si="198"/>
        <v>70.069999999999993</v>
      </c>
      <c r="R427">
        <f t="shared" si="198"/>
        <v>99.36</v>
      </c>
      <c r="S427">
        <f t="shared" si="198"/>
        <v>53.580000000000005</v>
      </c>
      <c r="T427">
        <f t="shared" si="198"/>
        <v>64.349999999999994</v>
      </c>
      <c r="U427">
        <f t="shared" si="198"/>
        <v>77.73599999999999</v>
      </c>
      <c r="V427">
        <f t="shared" si="198"/>
        <v>82.182100000000005</v>
      </c>
      <c r="W427">
        <f t="shared" si="198"/>
        <v>84.179400000000015</v>
      </c>
      <c r="Y427" s="6">
        <f t="shared" si="169"/>
        <v>1642.8655969812321</v>
      </c>
      <c r="Z427">
        <f>SUMPRODUCT($D$430:$W$430,D427:W427)</f>
        <v>-13.375628229526249</v>
      </c>
    </row>
    <row r="428" spans="1:26" x14ac:dyDescent="0.25">
      <c r="A428" t="s">
        <v>314</v>
      </c>
      <c r="D428">
        <f t="shared" ref="D428:W428" si="199">D32*D212</f>
        <v>63.057039925734735</v>
      </c>
      <c r="E428">
        <f t="shared" si="199"/>
        <v>119.45809973812968</v>
      </c>
      <c r="F428">
        <f t="shared" si="199"/>
        <v>76.119202756909345</v>
      </c>
      <c r="G428">
        <f t="shared" si="199"/>
        <v>102.42449310422649</v>
      </c>
      <c r="H428">
        <f t="shared" si="199"/>
        <v>106.39400323792461</v>
      </c>
      <c r="I428">
        <f t="shared" si="199"/>
        <v>83.440256483050689</v>
      </c>
      <c r="J428">
        <f t="shared" si="199"/>
        <v>65.992983947983845</v>
      </c>
      <c r="K428">
        <f t="shared" si="199"/>
        <v>57.51</v>
      </c>
      <c r="L428">
        <f t="shared" si="199"/>
        <v>65.12</v>
      </c>
      <c r="M428">
        <f t="shared" si="199"/>
        <v>63.139999999999993</v>
      </c>
      <c r="N428">
        <f t="shared" si="199"/>
        <v>70.52</v>
      </c>
      <c r="O428">
        <f t="shared" si="199"/>
        <v>68.06</v>
      </c>
      <c r="P428">
        <f t="shared" si="199"/>
        <v>54.880699999005174</v>
      </c>
      <c r="Q428">
        <f t="shared" si="199"/>
        <v>62.730502099404951</v>
      </c>
      <c r="R428">
        <f t="shared" si="199"/>
        <v>69.99814958644717</v>
      </c>
      <c r="S428">
        <f t="shared" si="199"/>
        <v>77.824012112438211</v>
      </c>
      <c r="T428">
        <f t="shared" si="199"/>
        <v>84.997806739254969</v>
      </c>
      <c r="U428">
        <f t="shared" si="199"/>
        <v>84.51436368294388</v>
      </c>
      <c r="V428">
        <f t="shared" si="199"/>
        <v>82.700879040086221</v>
      </c>
      <c r="W428">
        <f t="shared" si="199"/>
        <v>86.093231346859966</v>
      </c>
      <c r="Y428" s="6">
        <f t="shared" si="169"/>
        <v>1544.9757238003997</v>
      </c>
      <c r="Z428">
        <f>SUMPRODUCT($D$430:$W$430,D428:W428)</f>
        <v>-26.02596069773184</v>
      </c>
    </row>
    <row r="429" spans="1:26" x14ac:dyDescent="0.25">
      <c r="A429" t="s">
        <v>658</v>
      </c>
      <c r="D429">
        <f t="shared" ref="D429:W429" si="200">D33*D213</f>
        <v>131.13858820291162</v>
      </c>
      <c r="E429">
        <f t="shared" si="200"/>
        <v>119.2496547701743</v>
      </c>
      <c r="F429">
        <f t="shared" si="200"/>
        <v>117.80809004933934</v>
      </c>
      <c r="G429">
        <f t="shared" si="200"/>
        <v>101.22276896179972</v>
      </c>
      <c r="H429">
        <f t="shared" si="200"/>
        <v>67.078707325936236</v>
      </c>
      <c r="I429">
        <f t="shared" si="200"/>
        <v>61.639999999999993</v>
      </c>
      <c r="J429">
        <f t="shared" si="200"/>
        <v>64.740000000000009</v>
      </c>
      <c r="K429">
        <f t="shared" si="200"/>
        <v>62.779999999999994</v>
      </c>
      <c r="L429">
        <f t="shared" si="200"/>
        <v>54.269999999999996</v>
      </c>
      <c r="M429">
        <f t="shared" si="200"/>
        <v>57.27000000000001</v>
      </c>
      <c r="N429">
        <f t="shared" si="200"/>
        <v>57.27000000000001</v>
      </c>
      <c r="O429">
        <f t="shared" si="200"/>
        <v>60.830000000000005</v>
      </c>
      <c r="P429">
        <f t="shared" si="200"/>
        <v>47.043102540062321</v>
      </c>
      <c r="Q429">
        <f t="shared" si="200"/>
        <v>75.889225292575034</v>
      </c>
      <c r="R429">
        <f t="shared" si="200"/>
        <v>52.489432124049294</v>
      </c>
      <c r="S429">
        <f t="shared" si="200"/>
        <v>79.090476190476181</v>
      </c>
      <c r="T429">
        <f t="shared" si="200"/>
        <v>82.329583672152083</v>
      </c>
      <c r="U429">
        <f t="shared" si="200"/>
        <v>84.076504130969113</v>
      </c>
      <c r="V429">
        <f t="shared" si="200"/>
        <v>71.280792107845187</v>
      </c>
      <c r="W429">
        <f t="shared" si="200"/>
        <v>86.773726012496269</v>
      </c>
      <c r="Y429" s="6">
        <f t="shared" ref="Y429" si="201">SUM(D429:W429)</f>
        <v>1534.2706513807868</v>
      </c>
      <c r="Z429">
        <f>SUMPRODUCT($D$430:$W$430,D429:W429)</f>
        <v>0.48723894054304395</v>
      </c>
    </row>
    <row r="430" spans="1:26" x14ac:dyDescent="0.25">
      <c r="A430" s="2" t="s">
        <v>71</v>
      </c>
      <c r="D430" s="3">
        <f>CORREL($B$2:$B$28,D398:D424)</f>
        <v>0.23500149351838731</v>
      </c>
      <c r="E430" s="3">
        <f t="shared" ref="E430:W430" si="202">CORREL($B$2:$B$28,E398:E424)</f>
        <v>0.17109618658888323</v>
      </c>
      <c r="F430" s="3">
        <f t="shared" si="202"/>
        <v>9.6891139934387985E-2</v>
      </c>
      <c r="G430" s="3">
        <f t="shared" si="202"/>
        <v>1.981218504671952E-2</v>
      </c>
      <c r="H430" s="3">
        <f t="shared" si="202"/>
        <v>-0.13681089444882807</v>
      </c>
      <c r="I430" s="3">
        <f t="shared" si="202"/>
        <v>0.16245431411337491</v>
      </c>
      <c r="J430" s="3">
        <f t="shared" si="202"/>
        <v>-0.35627881204818507</v>
      </c>
      <c r="K430" s="3">
        <f t="shared" si="202"/>
        <v>-0.2092924029903887</v>
      </c>
      <c r="L430" s="3">
        <f t="shared" si="202"/>
        <v>3.3186686488392209E-2</v>
      </c>
      <c r="M430" s="3">
        <f t="shared" si="202"/>
        <v>0.1217735445020285</v>
      </c>
      <c r="N430" s="3">
        <f t="shared" si="202"/>
        <v>-0.35122981841215906</v>
      </c>
      <c r="O430" s="3">
        <f t="shared" si="202"/>
        <v>-0.12245520213052589</v>
      </c>
      <c r="P430" s="3">
        <f t="shared" si="202"/>
        <v>-5.0652760475432775E-2</v>
      </c>
      <c r="Q430" s="3">
        <f t="shared" si="202"/>
        <v>-7.2778815227245289E-2</v>
      </c>
      <c r="R430" s="3">
        <f t="shared" si="202"/>
        <v>-3.4373617030049194E-2</v>
      </c>
      <c r="S430" s="3">
        <f t="shared" si="202"/>
        <v>0.20303062347171794</v>
      </c>
      <c r="T430" s="3">
        <f t="shared" si="202"/>
        <v>7.0665685623418489E-2</v>
      </c>
      <c r="U430" s="3">
        <f t="shared" si="202"/>
        <v>-0.12816557347565072</v>
      </c>
      <c r="V430" s="3">
        <f t="shared" si="202"/>
        <v>-6.7838676171849216E-2</v>
      </c>
      <c r="W430" s="3">
        <f t="shared" si="202"/>
        <v>-7.549122324053717E-2</v>
      </c>
      <c r="X430" s="3"/>
    </row>
    <row r="433" spans="1:26" x14ac:dyDescent="0.25">
      <c r="D433" t="s">
        <v>150</v>
      </c>
      <c r="E433" t="s">
        <v>151</v>
      </c>
      <c r="F433" t="s">
        <v>152</v>
      </c>
      <c r="G433" t="s">
        <v>153</v>
      </c>
      <c r="H433" t="s">
        <v>154</v>
      </c>
      <c r="I433" t="s">
        <v>155</v>
      </c>
      <c r="J433" t="s">
        <v>156</v>
      </c>
      <c r="K433" t="s">
        <v>157</v>
      </c>
      <c r="L433" t="s">
        <v>327</v>
      </c>
      <c r="M433" t="s">
        <v>379</v>
      </c>
      <c r="N433" t="s">
        <v>380</v>
      </c>
      <c r="O433" t="s">
        <v>381</v>
      </c>
      <c r="P433" t="s">
        <v>482</v>
      </c>
      <c r="Q433" t="s">
        <v>483</v>
      </c>
      <c r="R433" t="s">
        <v>484</v>
      </c>
      <c r="S433" t="s">
        <v>485</v>
      </c>
      <c r="T433" t="s">
        <v>594</v>
      </c>
      <c r="U433" t="s">
        <v>595</v>
      </c>
      <c r="V433" t="s">
        <v>596</v>
      </c>
      <c r="W433" t="s">
        <v>597</v>
      </c>
      <c r="Y433" t="s">
        <v>158</v>
      </c>
      <c r="Z433" t="s">
        <v>159</v>
      </c>
    </row>
    <row r="434" spans="1:26" x14ac:dyDescent="0.25">
      <c r="A434" t="s">
        <v>43</v>
      </c>
      <c r="D434">
        <f t="shared" ref="D434:W434" si="203">D2*D218</f>
        <v>79.12831899752392</v>
      </c>
      <c r="E434">
        <f t="shared" si="203"/>
        <v>73.71456500275734</v>
      </c>
      <c r="F434">
        <f t="shared" si="203"/>
        <v>65.61741955713714</v>
      </c>
      <c r="G434">
        <f t="shared" si="203"/>
        <v>86.729077043690779</v>
      </c>
      <c r="H434">
        <f t="shared" si="203"/>
        <v>74.280317434653725</v>
      </c>
      <c r="I434">
        <f t="shared" si="203"/>
        <v>63.905115616940506</v>
      </c>
      <c r="J434">
        <f t="shared" si="203"/>
        <v>100.98203508205825</v>
      </c>
      <c r="K434">
        <f t="shared" si="203"/>
        <v>69.682835096381666</v>
      </c>
      <c r="L434">
        <f t="shared" si="203"/>
        <v>67.27242669367044</v>
      </c>
      <c r="M434">
        <f t="shared" si="203"/>
        <v>34.093055111852841</v>
      </c>
      <c r="N434">
        <f t="shared" si="203"/>
        <v>51.435588532594451</v>
      </c>
      <c r="O434">
        <f t="shared" si="203"/>
        <v>65.096566997822947</v>
      </c>
      <c r="P434">
        <f t="shared" si="203"/>
        <v>69.371656335069062</v>
      </c>
      <c r="Q434">
        <f t="shared" si="203"/>
        <v>61.845589229346587</v>
      </c>
      <c r="R434">
        <f t="shared" si="203"/>
        <v>58.981733470778302</v>
      </c>
      <c r="S434">
        <f t="shared" si="203"/>
        <v>70.531513089621839</v>
      </c>
      <c r="T434">
        <f t="shared" si="203"/>
        <v>50.614411070716905</v>
      </c>
      <c r="U434">
        <f t="shared" si="203"/>
        <v>55.174343108196588</v>
      </c>
      <c r="V434">
        <f t="shared" si="203"/>
        <v>99.329975446104939</v>
      </c>
      <c r="W434">
        <f t="shared" si="203"/>
        <v>55.78447701273474</v>
      </c>
      <c r="Y434" s="6">
        <f t="shared" ref="Y434:Y464" si="204">SUM(D434:W434)</f>
        <v>1353.5710199296529</v>
      </c>
      <c r="Z434">
        <f t="shared" ref="Z434:Z460" si="205">SUMPRODUCT($D$466:$W$466,D434:W434)</f>
        <v>-144.57413649378407</v>
      </c>
    </row>
    <row r="435" spans="1:26" x14ac:dyDescent="0.25">
      <c r="A435" t="s">
        <v>44</v>
      </c>
      <c r="D435">
        <f t="shared" ref="D435:W435" si="206">D3*D219</f>
        <v>65.079835798794406</v>
      </c>
      <c r="E435">
        <f t="shared" si="206"/>
        <v>65.779176212891429</v>
      </c>
      <c r="F435">
        <f t="shared" si="206"/>
        <v>95.105425103359636</v>
      </c>
      <c r="G435">
        <f t="shared" si="206"/>
        <v>68.628099415424288</v>
      </c>
      <c r="H435">
        <f t="shared" si="206"/>
        <v>68.622010870210673</v>
      </c>
      <c r="I435">
        <f t="shared" si="206"/>
        <v>61.828912874736339</v>
      </c>
      <c r="J435">
        <f t="shared" si="206"/>
        <v>46.462183846629522</v>
      </c>
      <c r="K435">
        <f t="shared" si="206"/>
        <v>43.952643647448895</v>
      </c>
      <c r="L435">
        <f t="shared" si="206"/>
        <v>47.243783934323787</v>
      </c>
      <c r="M435">
        <f t="shared" si="206"/>
        <v>65.277157717028217</v>
      </c>
      <c r="N435">
        <f t="shared" si="206"/>
        <v>84.884083785758349</v>
      </c>
      <c r="O435">
        <f t="shared" si="206"/>
        <v>60.483872420325099</v>
      </c>
      <c r="P435">
        <f t="shared" si="206"/>
        <v>43.596708544739123</v>
      </c>
      <c r="Q435">
        <f t="shared" si="206"/>
        <v>46.153835418400305</v>
      </c>
      <c r="R435">
        <f t="shared" si="206"/>
        <v>63.763865129574889</v>
      </c>
      <c r="S435">
        <f t="shared" si="206"/>
        <v>65.604176950874447</v>
      </c>
      <c r="T435">
        <f t="shared" si="206"/>
        <v>78.489208196116323</v>
      </c>
      <c r="U435">
        <f t="shared" si="206"/>
        <v>64.36127432437425</v>
      </c>
      <c r="V435">
        <f t="shared" si="206"/>
        <v>86.486738193934528</v>
      </c>
      <c r="W435">
        <f t="shared" si="206"/>
        <v>97.211045592376209</v>
      </c>
      <c r="Y435" s="6">
        <f t="shared" si="204"/>
        <v>1319.0140379773206</v>
      </c>
      <c r="Z435">
        <f t="shared" si="205"/>
        <v>-125.23331421109879</v>
      </c>
    </row>
    <row r="436" spans="1:26" x14ac:dyDescent="0.25">
      <c r="A436" t="s">
        <v>45</v>
      </c>
      <c r="D436">
        <f t="shared" ref="D436:W436" si="207">D4*D220</f>
        <v>74.737788142058164</v>
      </c>
      <c r="E436">
        <f t="shared" si="207"/>
        <v>39.458840049366017</v>
      </c>
      <c r="F436">
        <f t="shared" si="207"/>
        <v>44.849431767743347</v>
      </c>
      <c r="G436">
        <f t="shared" si="207"/>
        <v>108.32050277677733</v>
      </c>
      <c r="H436">
        <f t="shared" si="207"/>
        <v>98.907904554502139</v>
      </c>
      <c r="I436">
        <f t="shared" si="207"/>
        <v>76.389459847083728</v>
      </c>
      <c r="J436">
        <f t="shared" si="207"/>
        <v>55.478552610343051</v>
      </c>
      <c r="K436">
        <f t="shared" si="207"/>
        <v>58.003783099497454</v>
      </c>
      <c r="L436">
        <f t="shared" si="207"/>
        <v>66.657905205486372</v>
      </c>
      <c r="M436">
        <f t="shared" si="207"/>
        <v>51.258871038421375</v>
      </c>
      <c r="N436">
        <f t="shared" si="207"/>
        <v>73.540854331124038</v>
      </c>
      <c r="O436">
        <f t="shared" si="207"/>
        <v>71.125673003717424</v>
      </c>
      <c r="P436">
        <f t="shared" si="207"/>
        <v>34.954827218200904</v>
      </c>
      <c r="Q436">
        <f t="shared" si="207"/>
        <v>50.517614560906701</v>
      </c>
      <c r="R436">
        <f t="shared" si="207"/>
        <v>80.838542522646463</v>
      </c>
      <c r="S436">
        <f t="shared" si="207"/>
        <v>82.919180142583315</v>
      </c>
      <c r="T436">
        <f t="shared" si="207"/>
        <v>135.08548254093483</v>
      </c>
      <c r="U436">
        <f t="shared" si="207"/>
        <v>111.99865364474108</v>
      </c>
      <c r="V436">
        <f t="shared" si="207"/>
        <v>91.252580294016454</v>
      </c>
      <c r="W436">
        <f t="shared" si="207"/>
        <v>118.7246723113807</v>
      </c>
      <c r="Y436" s="6">
        <f t="shared" si="204"/>
        <v>1525.0211196615312</v>
      </c>
      <c r="Z436">
        <f t="shared" si="205"/>
        <v>-156.54665717710444</v>
      </c>
    </row>
    <row r="437" spans="1:26" x14ac:dyDescent="0.25">
      <c r="A437" t="s">
        <v>46</v>
      </c>
      <c r="D437">
        <f t="shared" ref="D437:W437" si="208">D5*D221</f>
        <v>74.401160580048398</v>
      </c>
      <c r="E437">
        <f t="shared" si="208"/>
        <v>62.240936678131611</v>
      </c>
      <c r="F437">
        <f t="shared" si="208"/>
        <v>70.445208327015735</v>
      </c>
      <c r="G437">
        <f t="shared" si="208"/>
        <v>65.785817050427539</v>
      </c>
      <c r="H437">
        <f t="shared" si="208"/>
        <v>62.11201714625637</v>
      </c>
      <c r="I437">
        <f t="shared" si="208"/>
        <v>58.394396889349316</v>
      </c>
      <c r="J437">
        <f t="shared" si="208"/>
        <v>67.107002669567137</v>
      </c>
      <c r="K437">
        <f t="shared" si="208"/>
        <v>88.85669289948062</v>
      </c>
      <c r="L437">
        <f t="shared" si="208"/>
        <v>102.73261445256026</v>
      </c>
      <c r="M437">
        <f t="shared" si="208"/>
        <v>75.257393048682786</v>
      </c>
      <c r="N437">
        <f t="shared" si="208"/>
        <v>44.144841951938375</v>
      </c>
      <c r="O437">
        <f t="shared" si="208"/>
        <v>71.170542554710266</v>
      </c>
      <c r="P437">
        <f t="shared" si="208"/>
        <v>52.744672776291132</v>
      </c>
      <c r="Q437">
        <f t="shared" si="208"/>
        <v>68.596962548894822</v>
      </c>
      <c r="R437">
        <f t="shared" si="208"/>
        <v>45.512755142901817</v>
      </c>
      <c r="S437">
        <f t="shared" si="208"/>
        <v>85.249825999841278</v>
      </c>
      <c r="T437">
        <f t="shared" si="208"/>
        <v>57.222031196738534</v>
      </c>
      <c r="U437">
        <f t="shared" si="208"/>
        <v>53.703993052204169</v>
      </c>
      <c r="V437">
        <f t="shared" si="208"/>
        <v>60.76784028334378</v>
      </c>
      <c r="W437">
        <f t="shared" si="208"/>
        <v>73.238318020931629</v>
      </c>
      <c r="Y437" s="6">
        <f t="shared" si="204"/>
        <v>1339.6850232693155</v>
      </c>
      <c r="Z437">
        <f t="shared" si="205"/>
        <v>-126.31526766335813</v>
      </c>
    </row>
    <row r="438" spans="1:26" x14ac:dyDescent="0.25">
      <c r="A438" t="s">
        <v>47</v>
      </c>
      <c r="D438">
        <f t="shared" ref="D438:W438" si="209">D6*D222</f>
        <v>109.64325167662039</v>
      </c>
      <c r="E438">
        <f t="shared" si="209"/>
        <v>103.73168255902932</v>
      </c>
      <c r="F438">
        <f t="shared" si="209"/>
        <v>82.550925352423249</v>
      </c>
      <c r="G438">
        <f t="shared" si="209"/>
        <v>111.33848070960208</v>
      </c>
      <c r="H438">
        <f t="shared" si="209"/>
        <v>78.582265505585312</v>
      </c>
      <c r="I438">
        <f t="shared" si="209"/>
        <v>70.373006471886328</v>
      </c>
      <c r="J438">
        <f t="shared" si="209"/>
        <v>77.718835929881081</v>
      </c>
      <c r="K438">
        <f t="shared" si="209"/>
        <v>78.433381285177703</v>
      </c>
      <c r="L438">
        <f t="shared" si="209"/>
        <v>64.063039999503616</v>
      </c>
      <c r="M438">
        <f t="shared" si="209"/>
        <v>80.641493646931693</v>
      </c>
      <c r="N438">
        <f t="shared" si="209"/>
        <v>84.00575729760024</v>
      </c>
      <c r="O438">
        <f t="shared" si="209"/>
        <v>86.834374130136425</v>
      </c>
      <c r="P438">
        <f t="shared" si="209"/>
        <v>96.903571609437321</v>
      </c>
      <c r="Q438">
        <f t="shared" si="209"/>
        <v>63.62705307124309</v>
      </c>
      <c r="R438">
        <f t="shared" si="209"/>
        <v>75.904781871813114</v>
      </c>
      <c r="S438">
        <f t="shared" si="209"/>
        <v>73.952150461035643</v>
      </c>
      <c r="T438">
        <f t="shared" si="209"/>
        <v>217.28192825890747</v>
      </c>
      <c r="U438">
        <f t="shared" si="209"/>
        <v>168.92061520114481</v>
      </c>
      <c r="V438">
        <f t="shared" si="209"/>
        <v>90.885365389607728</v>
      </c>
      <c r="W438">
        <f t="shared" si="209"/>
        <v>119.0144350938339</v>
      </c>
      <c r="Y438" s="6">
        <f t="shared" si="204"/>
        <v>1934.4063955214006</v>
      </c>
      <c r="Z438">
        <f t="shared" si="205"/>
        <v>-183.13812575400129</v>
      </c>
    </row>
    <row r="439" spans="1:26" x14ac:dyDescent="0.25">
      <c r="A439" t="s">
        <v>48</v>
      </c>
      <c r="D439">
        <f t="shared" ref="D439:W439" si="210">D7*D223</f>
        <v>147.21704563979688</v>
      </c>
      <c r="E439">
        <f t="shared" si="210"/>
        <v>150.9878818647953</v>
      </c>
      <c r="F439">
        <f t="shared" si="210"/>
        <v>160.53683258854676</v>
      </c>
      <c r="G439">
        <f t="shared" si="210"/>
        <v>168.3626777756798</v>
      </c>
      <c r="H439">
        <f t="shared" si="210"/>
        <v>164.70766982048042</v>
      </c>
      <c r="I439">
        <f t="shared" si="210"/>
        <v>159.33096822255709</v>
      </c>
      <c r="J439">
        <f t="shared" si="210"/>
        <v>196.48305927496074</v>
      </c>
      <c r="K439">
        <f t="shared" si="210"/>
        <v>169.01245162077106</v>
      </c>
      <c r="L439">
        <f t="shared" si="210"/>
        <v>94.295445414875005</v>
      </c>
      <c r="M439">
        <f t="shared" si="210"/>
        <v>54.098552121589336</v>
      </c>
      <c r="N439">
        <f t="shared" si="210"/>
        <v>75.195203167567044</v>
      </c>
      <c r="O439">
        <f t="shared" si="210"/>
        <v>56.827186710538321</v>
      </c>
      <c r="P439">
        <f t="shared" si="210"/>
        <v>99.905305008193409</v>
      </c>
      <c r="Q439">
        <f t="shared" si="210"/>
        <v>80.062527490179605</v>
      </c>
      <c r="R439">
        <f t="shared" si="210"/>
        <v>76.086643323349435</v>
      </c>
      <c r="S439">
        <f t="shared" si="210"/>
        <v>32.53719700642754</v>
      </c>
      <c r="T439">
        <f t="shared" si="210"/>
        <v>60.829453486188036</v>
      </c>
      <c r="U439">
        <f t="shared" si="210"/>
        <v>53.484312080556982</v>
      </c>
      <c r="V439">
        <f t="shared" si="210"/>
        <v>72.647249700800899</v>
      </c>
      <c r="W439">
        <f t="shared" si="210"/>
        <v>72.628234314535106</v>
      </c>
      <c r="Y439" s="6">
        <f t="shared" si="204"/>
        <v>2145.2358966323886</v>
      </c>
      <c r="Z439">
        <f t="shared" si="205"/>
        <v>-192.20143932373205</v>
      </c>
    </row>
    <row r="440" spans="1:26" x14ac:dyDescent="0.25">
      <c r="A440" t="s">
        <v>49</v>
      </c>
      <c r="D440">
        <f t="shared" ref="D440:W440" si="211">D8*D224</f>
        <v>67.663576386985284</v>
      </c>
      <c r="E440">
        <f t="shared" si="211"/>
        <v>84.60646951581414</v>
      </c>
      <c r="F440">
        <f t="shared" si="211"/>
        <v>98.39977703108714</v>
      </c>
      <c r="G440">
        <f t="shared" si="211"/>
        <v>77.217571701945218</v>
      </c>
      <c r="H440">
        <f t="shared" si="211"/>
        <v>63.238565002114555</v>
      </c>
      <c r="I440">
        <f t="shared" si="211"/>
        <v>67.104317858697144</v>
      </c>
      <c r="J440">
        <f t="shared" si="211"/>
        <v>76.600654359339345</v>
      </c>
      <c r="K440">
        <f t="shared" si="211"/>
        <v>82.570086545795988</v>
      </c>
      <c r="L440">
        <f t="shared" si="211"/>
        <v>53.583866330123499</v>
      </c>
      <c r="M440">
        <f t="shared" si="211"/>
        <v>65.206311134361457</v>
      </c>
      <c r="N440">
        <f t="shared" si="211"/>
        <v>66.89416682777744</v>
      </c>
      <c r="O440">
        <f t="shared" si="211"/>
        <v>71.059313803953685</v>
      </c>
      <c r="P440">
        <f t="shared" si="211"/>
        <v>112.3917581293617</v>
      </c>
      <c r="Q440">
        <f t="shared" si="211"/>
        <v>83.221365365610396</v>
      </c>
      <c r="R440">
        <f t="shared" si="211"/>
        <v>108.9439511112852</v>
      </c>
      <c r="S440">
        <f t="shared" si="211"/>
        <v>86.289598220801267</v>
      </c>
      <c r="T440">
        <f t="shared" si="211"/>
        <v>60.244362608174825</v>
      </c>
      <c r="U440">
        <f t="shared" si="211"/>
        <v>90.392991240135217</v>
      </c>
      <c r="V440">
        <f t="shared" si="211"/>
        <v>93.698072995490847</v>
      </c>
      <c r="W440">
        <f t="shared" si="211"/>
        <v>61.099245042223735</v>
      </c>
      <c r="Y440" s="6">
        <f t="shared" si="204"/>
        <v>1570.4260212110783</v>
      </c>
      <c r="Z440">
        <f t="shared" si="205"/>
        <v>-161.95740335080674</v>
      </c>
    </row>
    <row r="441" spans="1:26" x14ac:dyDescent="0.25">
      <c r="A441" t="s">
        <v>50</v>
      </c>
      <c r="D441">
        <f t="shared" ref="D441:W441" si="212">D9*D225</f>
        <v>87.507281005596738</v>
      </c>
      <c r="E441">
        <f t="shared" si="212"/>
        <v>87.266549196496925</v>
      </c>
      <c r="F441">
        <f t="shared" si="212"/>
        <v>6.8560408049674066</v>
      </c>
      <c r="G441">
        <f t="shared" si="212"/>
        <v>94.455434886611144</v>
      </c>
      <c r="H441">
        <f t="shared" si="212"/>
        <v>100.32221994487378</v>
      </c>
      <c r="I441">
        <f t="shared" si="212"/>
        <v>80.29647489987542</v>
      </c>
      <c r="J441">
        <f t="shared" si="212"/>
        <v>79.757652949015835</v>
      </c>
      <c r="K441">
        <f t="shared" si="212"/>
        <v>78.745802030776062</v>
      </c>
      <c r="L441">
        <f t="shared" si="212"/>
        <v>96.372357563628015</v>
      </c>
      <c r="M441">
        <f t="shared" si="212"/>
        <v>85.615578493954104</v>
      </c>
      <c r="N441">
        <f t="shared" si="212"/>
        <v>172.39621970482347</v>
      </c>
      <c r="O441">
        <f t="shared" si="212"/>
        <v>196.16944460497726</v>
      </c>
      <c r="P441">
        <f t="shared" si="212"/>
        <v>246.15284114816845</v>
      </c>
      <c r="Q441">
        <f t="shared" si="212"/>
        <v>266.07343597322961</v>
      </c>
      <c r="R441">
        <f t="shared" si="212"/>
        <v>31.84368306468334</v>
      </c>
      <c r="S441">
        <f t="shared" si="212"/>
        <v>34.198012457800381</v>
      </c>
      <c r="T441">
        <f t="shared" si="212"/>
        <v>118.91582288933603</v>
      </c>
      <c r="U441">
        <f t="shared" si="212"/>
        <v>65.615025922672416</v>
      </c>
      <c r="V441">
        <f t="shared" si="212"/>
        <v>114.78886771280406</v>
      </c>
      <c r="W441">
        <f t="shared" si="212"/>
        <v>77.619956394410167</v>
      </c>
      <c r="Y441" s="6">
        <f t="shared" si="204"/>
        <v>2120.9687016487005</v>
      </c>
      <c r="Z441">
        <f t="shared" si="205"/>
        <v>-310.92786456052289</v>
      </c>
    </row>
    <row r="442" spans="1:26" x14ac:dyDescent="0.25">
      <c r="A442" t="s">
        <v>51</v>
      </c>
      <c r="D442">
        <f t="shared" ref="D442:W442" si="213">D10*D226</f>
        <v>131.14809303672283</v>
      </c>
      <c r="E442">
        <f t="shared" si="213"/>
        <v>227.41583155259855</v>
      </c>
      <c r="F442">
        <f t="shared" si="213"/>
        <v>157.82504812447101</v>
      </c>
      <c r="G442">
        <f t="shared" si="213"/>
        <v>136.74577311010674</v>
      </c>
      <c r="H442">
        <f t="shared" si="213"/>
        <v>117.18500533163402</v>
      </c>
      <c r="I442">
        <f t="shared" si="213"/>
        <v>80.618833918778762</v>
      </c>
      <c r="J442">
        <f t="shared" si="213"/>
        <v>190.55715981120116</v>
      </c>
      <c r="K442">
        <f t="shared" si="213"/>
        <v>208.24129354738889</v>
      </c>
      <c r="L442">
        <f t="shared" si="213"/>
        <v>187.67994810480764</v>
      </c>
      <c r="M442">
        <f t="shared" si="213"/>
        <v>181.30575188967245</v>
      </c>
      <c r="N442">
        <f t="shared" si="213"/>
        <v>122.61833308634463</v>
      </c>
      <c r="O442">
        <f t="shared" si="213"/>
        <v>140.68504824543422</v>
      </c>
      <c r="P442">
        <f t="shared" si="213"/>
        <v>213.23985787267969</v>
      </c>
      <c r="Q442">
        <f t="shared" si="213"/>
        <v>174.27621991952839</v>
      </c>
      <c r="R442">
        <f t="shared" si="213"/>
        <v>207.57423941608519</v>
      </c>
      <c r="S442">
        <f t="shared" si="213"/>
        <v>212.02704979437874</v>
      </c>
      <c r="T442">
        <f t="shared" si="213"/>
        <v>215.91506196812315</v>
      </c>
      <c r="U442">
        <f t="shared" si="213"/>
        <v>176.32035364794351</v>
      </c>
      <c r="V442">
        <f t="shared" si="213"/>
        <v>187.43015189826642</v>
      </c>
      <c r="W442">
        <f t="shared" si="213"/>
        <v>154.98813273244704</v>
      </c>
      <c r="Y442" s="6">
        <f t="shared" si="204"/>
        <v>3423.7971870086135</v>
      </c>
      <c r="Z442">
        <f t="shared" si="205"/>
        <v>-352.89587984779274</v>
      </c>
    </row>
    <row r="443" spans="1:26" x14ac:dyDescent="0.25">
      <c r="A443" t="s">
        <v>52</v>
      </c>
      <c r="D443">
        <f t="shared" ref="D443:W443" si="214">D11*D227</f>
        <v>87.17565818394759</v>
      </c>
      <c r="E443">
        <f t="shared" si="214"/>
        <v>87.575817811909801</v>
      </c>
      <c r="F443">
        <f t="shared" si="214"/>
        <v>78.764594831996547</v>
      </c>
      <c r="G443">
        <f t="shared" si="214"/>
        <v>75.047915047519581</v>
      </c>
      <c r="H443">
        <f t="shared" si="214"/>
        <v>83.294727290633404</v>
      </c>
      <c r="I443">
        <f t="shared" si="214"/>
        <v>103.40097802069617</v>
      </c>
      <c r="J443">
        <f t="shared" si="214"/>
        <v>44.252005949484641</v>
      </c>
      <c r="K443">
        <f t="shared" si="214"/>
        <v>53.908775422993848</v>
      </c>
      <c r="L443">
        <f t="shared" si="214"/>
        <v>73.010647915394927</v>
      </c>
      <c r="M443">
        <f t="shared" si="214"/>
        <v>64.721854092996523</v>
      </c>
      <c r="N443">
        <f t="shared" si="214"/>
        <v>34.102973483397946</v>
      </c>
      <c r="O443">
        <f t="shared" si="214"/>
        <v>49.755073680352034</v>
      </c>
      <c r="P443">
        <f t="shared" si="214"/>
        <v>70.622833571837972</v>
      </c>
      <c r="Q443">
        <f t="shared" si="214"/>
        <v>61.737509926173736</v>
      </c>
      <c r="R443">
        <f t="shared" si="214"/>
        <v>73.750676271364981</v>
      </c>
      <c r="S443">
        <f t="shared" si="214"/>
        <v>66.444828477199081</v>
      </c>
      <c r="T443">
        <f t="shared" si="214"/>
        <v>37.727342854406459</v>
      </c>
      <c r="U443">
        <f t="shared" si="214"/>
        <v>44.989767638538368</v>
      </c>
      <c r="V443">
        <f t="shared" si="214"/>
        <v>42.419735715187365</v>
      </c>
      <c r="W443">
        <f t="shared" si="214"/>
        <v>67.099103807861226</v>
      </c>
      <c r="Y443" s="6">
        <f t="shared" si="204"/>
        <v>1299.8028199938922</v>
      </c>
      <c r="Z443">
        <f t="shared" si="205"/>
        <v>-95.879268398809032</v>
      </c>
    </row>
    <row r="444" spans="1:26" x14ac:dyDescent="0.25">
      <c r="A444" t="s">
        <v>53</v>
      </c>
      <c r="D444">
        <f t="shared" ref="D444:W444" si="215">D12*D228</f>
        <v>62.911660190992677</v>
      </c>
      <c r="E444">
        <f t="shared" si="215"/>
        <v>64.654316090288461</v>
      </c>
      <c r="F444">
        <f t="shared" si="215"/>
        <v>58.900633608747206</v>
      </c>
      <c r="G444">
        <f t="shared" si="215"/>
        <v>70.939505138258596</v>
      </c>
      <c r="H444">
        <f t="shared" si="215"/>
        <v>63.229317298477156</v>
      </c>
      <c r="I444">
        <f t="shared" si="215"/>
        <v>55.033434911152199</v>
      </c>
      <c r="J444">
        <f t="shared" si="215"/>
        <v>80.538516920218981</v>
      </c>
      <c r="K444">
        <f t="shared" si="215"/>
        <v>83.316240777730869</v>
      </c>
      <c r="L444">
        <f t="shared" si="215"/>
        <v>79.397054324848142</v>
      </c>
      <c r="M444">
        <f t="shared" si="215"/>
        <v>66.971051303531198</v>
      </c>
      <c r="N444">
        <f t="shared" si="215"/>
        <v>58.011745631242952</v>
      </c>
      <c r="O444">
        <f t="shared" si="215"/>
        <v>51.325290530854005</v>
      </c>
      <c r="P444">
        <f t="shared" si="215"/>
        <v>70.770220188405716</v>
      </c>
      <c r="Q444">
        <f t="shared" si="215"/>
        <v>37.99757688833958</v>
      </c>
      <c r="R444">
        <f t="shared" si="215"/>
        <v>53.901813412267686</v>
      </c>
      <c r="S444">
        <f t="shared" si="215"/>
        <v>61.533967028191178</v>
      </c>
      <c r="T444">
        <f t="shared" si="215"/>
        <v>85.507298502206169</v>
      </c>
      <c r="U444">
        <f t="shared" si="215"/>
        <v>70.867920086392388</v>
      </c>
      <c r="V444">
        <f t="shared" si="215"/>
        <v>64.040441310884034</v>
      </c>
      <c r="W444">
        <f t="shared" si="215"/>
        <v>49.799257021325417</v>
      </c>
      <c r="Y444" s="6">
        <f t="shared" si="204"/>
        <v>1289.6472611643546</v>
      </c>
      <c r="Z444">
        <f t="shared" si="205"/>
        <v>-131.45059586100098</v>
      </c>
    </row>
    <row r="445" spans="1:26" x14ac:dyDescent="0.25">
      <c r="A445" t="s">
        <v>54</v>
      </c>
      <c r="D445">
        <f t="shared" ref="D445:W445" si="216">D13*D229</f>
        <v>86.038971311245334</v>
      </c>
      <c r="E445">
        <f t="shared" si="216"/>
        <v>94.359033323580647</v>
      </c>
      <c r="F445">
        <f t="shared" si="216"/>
        <v>89.063790098625432</v>
      </c>
      <c r="G445">
        <f t="shared" si="216"/>
        <v>55.168300581922402</v>
      </c>
      <c r="H445">
        <f t="shared" si="216"/>
        <v>50.440361520339266</v>
      </c>
      <c r="I445">
        <f t="shared" si="216"/>
        <v>55.150321177687815</v>
      </c>
      <c r="J445">
        <f t="shared" si="216"/>
        <v>40.174007295685804</v>
      </c>
      <c r="K445">
        <f t="shared" si="216"/>
        <v>47.984233029626402</v>
      </c>
      <c r="L445">
        <f t="shared" si="216"/>
        <v>62.362511527471867</v>
      </c>
      <c r="M445">
        <f t="shared" si="216"/>
        <v>86.755997611973129</v>
      </c>
      <c r="N445">
        <f t="shared" si="216"/>
        <v>71.369755359762138</v>
      </c>
      <c r="O445">
        <f t="shared" si="216"/>
        <v>86.894323164927584</v>
      </c>
      <c r="P445">
        <f t="shared" si="216"/>
        <v>103.97902694495313</v>
      </c>
      <c r="Q445">
        <f t="shared" si="216"/>
        <v>76.941664824772033</v>
      </c>
      <c r="R445">
        <f t="shared" si="216"/>
        <v>33.812908970502562</v>
      </c>
      <c r="S445">
        <f t="shared" si="216"/>
        <v>47.347773227915745</v>
      </c>
      <c r="T445">
        <f t="shared" si="216"/>
        <v>59.816623088433872</v>
      </c>
      <c r="U445">
        <f t="shared" si="216"/>
        <v>69.43278996607053</v>
      </c>
      <c r="V445">
        <f t="shared" si="216"/>
        <v>41.398993109845399</v>
      </c>
      <c r="W445">
        <f t="shared" si="216"/>
        <v>69.736765167153578</v>
      </c>
      <c r="Y445" s="6">
        <f t="shared" si="204"/>
        <v>1328.2281513024948</v>
      </c>
      <c r="Z445">
        <f t="shared" si="205"/>
        <v>-117.50010118745435</v>
      </c>
    </row>
    <row r="446" spans="1:26" x14ac:dyDescent="0.25">
      <c r="A446" t="s">
        <v>55</v>
      </c>
      <c r="D446">
        <f t="shared" ref="D446:W446" si="217">D14*D230</f>
        <v>116.91785802787959</v>
      </c>
      <c r="E446">
        <f t="shared" si="217"/>
        <v>115.97238358750317</v>
      </c>
      <c r="F446">
        <f t="shared" si="217"/>
        <v>68.361230350527435</v>
      </c>
      <c r="G446">
        <f t="shared" si="217"/>
        <v>79.311711681240183</v>
      </c>
      <c r="H446">
        <f t="shared" si="217"/>
        <v>69.1706020755921</v>
      </c>
      <c r="I446">
        <f t="shared" si="217"/>
        <v>64.414500375879001</v>
      </c>
      <c r="J446">
        <f t="shared" si="217"/>
        <v>55.54449915671804</v>
      </c>
      <c r="K446">
        <f t="shared" si="217"/>
        <v>49.86284021959834</v>
      </c>
      <c r="L446">
        <f t="shared" si="217"/>
        <v>52.750673622582987</v>
      </c>
      <c r="M446">
        <f t="shared" si="217"/>
        <v>66.818748398531525</v>
      </c>
      <c r="N446">
        <f t="shared" si="217"/>
        <v>69.81869474703629</v>
      </c>
      <c r="O446">
        <f t="shared" si="217"/>
        <v>30.252946157537636</v>
      </c>
      <c r="P446">
        <f t="shared" si="217"/>
        <v>47.160564704542821</v>
      </c>
      <c r="Q446">
        <f t="shared" si="217"/>
        <v>76.902135283510603</v>
      </c>
      <c r="R446">
        <f t="shared" si="217"/>
        <v>53.636603238150229</v>
      </c>
      <c r="S446">
        <f t="shared" si="217"/>
        <v>68.833410430295316</v>
      </c>
      <c r="T446">
        <f t="shared" si="217"/>
        <v>41.3842213129291</v>
      </c>
      <c r="U446">
        <f t="shared" si="217"/>
        <v>48.856589915147353</v>
      </c>
      <c r="V446">
        <f t="shared" si="217"/>
        <v>107.03721925355146</v>
      </c>
      <c r="W446">
        <f t="shared" si="217"/>
        <v>89.452505849157646</v>
      </c>
      <c r="Y446" s="6">
        <f t="shared" si="204"/>
        <v>1372.4599383879111</v>
      </c>
      <c r="Z446">
        <f t="shared" si="205"/>
        <v>-120.53819253933825</v>
      </c>
    </row>
    <row r="447" spans="1:26" x14ac:dyDescent="0.25">
      <c r="A447" t="s">
        <v>56</v>
      </c>
      <c r="D447">
        <f t="shared" ref="D447:W447" si="218">D15*D231</f>
        <v>130.02199764357889</v>
      </c>
      <c r="E447">
        <f t="shared" si="218"/>
        <v>90.287073519556671</v>
      </c>
      <c r="F447">
        <f t="shared" si="218"/>
        <v>79.816477607763872</v>
      </c>
      <c r="G447">
        <f t="shared" si="218"/>
        <v>81.565780258361428</v>
      </c>
      <c r="H447">
        <f t="shared" si="218"/>
        <v>50.837009603125416</v>
      </c>
      <c r="I447">
        <f t="shared" si="218"/>
        <v>81.816507227002091</v>
      </c>
      <c r="J447">
        <f t="shared" si="218"/>
        <v>69.753796055319512</v>
      </c>
      <c r="K447">
        <f t="shared" si="218"/>
        <v>83.951577793432989</v>
      </c>
      <c r="L447">
        <f t="shared" si="218"/>
        <v>58.103171017088385</v>
      </c>
      <c r="M447">
        <f t="shared" si="218"/>
        <v>62.397150618620657</v>
      </c>
      <c r="N447">
        <f t="shared" si="218"/>
        <v>50.311982050144231</v>
      </c>
      <c r="O447">
        <f t="shared" si="218"/>
        <v>81.510312027000737</v>
      </c>
      <c r="P447">
        <f t="shared" si="218"/>
        <v>81.510075621888163</v>
      </c>
      <c r="Q447">
        <f t="shared" si="218"/>
        <v>48.348978037076783</v>
      </c>
      <c r="R447">
        <f t="shared" si="218"/>
        <v>61.779948127161219</v>
      </c>
      <c r="S447">
        <f t="shared" si="218"/>
        <v>64.035328728092736</v>
      </c>
      <c r="T447">
        <f t="shared" si="218"/>
        <v>46.588383725980357</v>
      </c>
      <c r="U447">
        <f t="shared" si="218"/>
        <v>48.538324925419872</v>
      </c>
      <c r="V447">
        <f t="shared" si="218"/>
        <v>87.596835880226166</v>
      </c>
      <c r="W447">
        <f t="shared" si="218"/>
        <v>83.009207135462574</v>
      </c>
      <c r="Y447" s="6">
        <f t="shared" si="204"/>
        <v>1441.7799176023025</v>
      </c>
      <c r="Z447">
        <f t="shared" si="205"/>
        <v>-125.01394039140737</v>
      </c>
    </row>
    <row r="448" spans="1:26" x14ac:dyDescent="0.25">
      <c r="A448" t="s">
        <v>57</v>
      </c>
      <c r="D448">
        <f t="shared" ref="D448:W448" si="219">D16*D232</f>
        <v>99.021881843960458</v>
      </c>
      <c r="E448">
        <f t="shared" si="219"/>
        <v>105.44878676376266</v>
      </c>
      <c r="F448">
        <f t="shared" si="219"/>
        <v>98.182690900430217</v>
      </c>
      <c r="G448">
        <f t="shared" si="219"/>
        <v>86.036756302095043</v>
      </c>
      <c r="H448">
        <f t="shared" si="219"/>
        <v>78.053241012203287</v>
      </c>
      <c r="I448">
        <f t="shared" si="219"/>
        <v>79.373587757719292</v>
      </c>
      <c r="J448">
        <f t="shared" si="219"/>
        <v>94.776496384759881</v>
      </c>
      <c r="K448">
        <f t="shared" si="219"/>
        <v>73.806914109074114</v>
      </c>
      <c r="L448">
        <f t="shared" si="219"/>
        <v>74.218798371215811</v>
      </c>
      <c r="M448">
        <f t="shared" si="219"/>
        <v>87.535365044593632</v>
      </c>
      <c r="N448">
        <f t="shared" si="219"/>
        <v>81.150895092203129</v>
      </c>
      <c r="O448">
        <f t="shared" si="219"/>
        <v>74.761489868389177</v>
      </c>
      <c r="P448">
        <f t="shared" si="219"/>
        <v>84.053236879455227</v>
      </c>
      <c r="Q448">
        <f t="shared" si="219"/>
        <v>83.45212741565814</v>
      </c>
      <c r="R448">
        <f t="shared" si="219"/>
        <v>63.382405339727327</v>
      </c>
      <c r="S448">
        <f t="shared" si="219"/>
        <v>64.067310945771126</v>
      </c>
      <c r="T448">
        <f t="shared" si="219"/>
        <v>63.807370958484611</v>
      </c>
      <c r="U448">
        <f t="shared" si="219"/>
        <v>112.75484576294546</v>
      </c>
      <c r="V448">
        <f t="shared" si="219"/>
        <v>69.305788481207117</v>
      </c>
      <c r="W448">
        <f t="shared" si="219"/>
        <v>74.879851313606494</v>
      </c>
      <c r="Y448" s="6">
        <f t="shared" si="204"/>
        <v>1648.0698405472622</v>
      </c>
      <c r="Z448">
        <f t="shared" si="205"/>
        <v>-156.27760575352599</v>
      </c>
    </row>
    <row r="449" spans="1:26" x14ac:dyDescent="0.25">
      <c r="A449" t="s">
        <v>58</v>
      </c>
      <c r="D449">
        <f t="shared" ref="D449:W449" si="220">D17*D233</f>
        <v>54.876643573588112</v>
      </c>
      <c r="E449">
        <f t="shared" si="220"/>
        <v>68.568250652890129</v>
      </c>
      <c r="F449">
        <f t="shared" si="220"/>
        <v>115.422168768406</v>
      </c>
      <c r="G449">
        <f t="shared" si="220"/>
        <v>169.92079254199098</v>
      </c>
      <c r="H449">
        <f t="shared" si="220"/>
        <v>59.031462192690867</v>
      </c>
      <c r="I449">
        <f t="shared" si="220"/>
        <v>41.788383472984009</v>
      </c>
      <c r="J449">
        <f t="shared" si="220"/>
        <v>52.752957791419547</v>
      </c>
      <c r="K449">
        <f t="shared" si="220"/>
        <v>66.323146578874173</v>
      </c>
      <c r="L449">
        <f t="shared" si="220"/>
        <v>64.687876194138255</v>
      </c>
      <c r="M449">
        <f t="shared" si="220"/>
        <v>51.629842063503915</v>
      </c>
      <c r="N449">
        <f t="shared" si="220"/>
        <v>44.756400774784055</v>
      </c>
      <c r="O449">
        <f t="shared" si="220"/>
        <v>75.479376923437584</v>
      </c>
      <c r="P449">
        <f t="shared" si="220"/>
        <v>44.744566305000994</v>
      </c>
      <c r="Q449">
        <f t="shared" si="220"/>
        <v>44.2189486035155</v>
      </c>
      <c r="R449">
        <f t="shared" si="220"/>
        <v>46.58720925317148</v>
      </c>
      <c r="S449">
        <f t="shared" si="220"/>
        <v>60.40358010312373</v>
      </c>
      <c r="T449">
        <f t="shared" si="220"/>
        <v>83.730771966958983</v>
      </c>
      <c r="U449">
        <f t="shared" si="220"/>
        <v>36.498012219913321</v>
      </c>
      <c r="V449">
        <f t="shared" si="220"/>
        <v>40.154802208771095</v>
      </c>
      <c r="W449">
        <f t="shared" si="220"/>
        <v>90.765975825434225</v>
      </c>
      <c r="Y449" s="6">
        <f t="shared" si="204"/>
        <v>1312.3411680145971</v>
      </c>
      <c r="Z449">
        <f t="shared" si="205"/>
        <v>-106.49538071703012</v>
      </c>
    </row>
    <row r="450" spans="1:26" x14ac:dyDescent="0.25">
      <c r="A450" t="s">
        <v>59</v>
      </c>
      <c r="D450">
        <f t="shared" ref="D450:W450" si="221">D18*D234</f>
        <v>90.54901366847281</v>
      </c>
      <c r="E450">
        <f t="shared" si="221"/>
        <v>50.601227611928486</v>
      </c>
      <c r="F450">
        <f t="shared" si="221"/>
        <v>57.60300017450605</v>
      </c>
      <c r="G450">
        <f t="shared" si="221"/>
        <v>72.054357161819652</v>
      </c>
      <c r="H450">
        <f t="shared" si="221"/>
        <v>42.100203951798704</v>
      </c>
      <c r="I450">
        <f t="shared" si="221"/>
        <v>56.721664008473937</v>
      </c>
      <c r="J450">
        <f t="shared" si="221"/>
        <v>63.529963397414591</v>
      </c>
      <c r="K450">
        <f t="shared" si="221"/>
        <v>52.011925660395882</v>
      </c>
      <c r="L450">
        <f t="shared" si="221"/>
        <v>34.070138685301018</v>
      </c>
      <c r="M450">
        <f t="shared" si="221"/>
        <v>54.730729802879416</v>
      </c>
      <c r="N450">
        <f t="shared" si="221"/>
        <v>75.057512038788587</v>
      </c>
      <c r="O450">
        <f t="shared" si="221"/>
        <v>50.488689438650162</v>
      </c>
      <c r="P450">
        <f t="shared" si="221"/>
        <v>53.853281658219608</v>
      </c>
      <c r="Q450">
        <f t="shared" si="221"/>
        <v>39.975139479962195</v>
      </c>
      <c r="R450">
        <f t="shared" si="221"/>
        <v>37.476331003560553</v>
      </c>
      <c r="S450">
        <f t="shared" si="221"/>
        <v>83.377488999064951</v>
      </c>
      <c r="T450">
        <f t="shared" si="221"/>
        <v>64.679308371489398</v>
      </c>
      <c r="U450">
        <f t="shared" si="221"/>
        <v>69.513690818814482</v>
      </c>
      <c r="V450">
        <f t="shared" si="221"/>
        <v>78.04652897614146</v>
      </c>
      <c r="W450">
        <f t="shared" si="221"/>
        <v>73.256377479621648</v>
      </c>
      <c r="Y450" s="6">
        <f t="shared" si="204"/>
        <v>1199.6965723873036</v>
      </c>
      <c r="Z450">
        <f t="shared" si="205"/>
        <v>-120.02238237299281</v>
      </c>
    </row>
    <row r="451" spans="1:26" x14ac:dyDescent="0.25">
      <c r="A451" t="s">
        <v>60</v>
      </c>
      <c r="D451">
        <f t="shared" ref="D451:W451" si="222">D19*D235</f>
        <v>71.904442133212967</v>
      </c>
      <c r="E451">
        <f t="shared" si="222"/>
        <v>57.853729960407364</v>
      </c>
      <c r="F451">
        <f t="shared" si="222"/>
        <v>62.11750730182527</v>
      </c>
      <c r="G451">
        <f t="shared" si="222"/>
        <v>58.958797764212939</v>
      </c>
      <c r="H451">
        <f t="shared" si="222"/>
        <v>50.838925474998916</v>
      </c>
      <c r="I451">
        <f t="shared" si="222"/>
        <v>65.152855772913043</v>
      </c>
      <c r="J451">
        <f t="shared" si="222"/>
        <v>55.443491655648607</v>
      </c>
      <c r="K451">
        <f t="shared" si="222"/>
        <v>76.618590932283752</v>
      </c>
      <c r="L451">
        <f t="shared" si="222"/>
        <v>57.667485638976444</v>
      </c>
      <c r="M451">
        <f t="shared" si="222"/>
        <v>58.959803626514891</v>
      </c>
      <c r="N451">
        <f t="shared" si="222"/>
        <v>60.451078928259832</v>
      </c>
      <c r="O451">
        <f t="shared" si="222"/>
        <v>46.192716702172646</v>
      </c>
      <c r="P451">
        <f t="shared" si="222"/>
        <v>65.948029445393999</v>
      </c>
      <c r="Q451">
        <f t="shared" si="222"/>
        <v>62.76552281371373</v>
      </c>
      <c r="R451">
        <f t="shared" si="222"/>
        <v>56.050584573992069</v>
      </c>
      <c r="S451">
        <f t="shared" si="222"/>
        <v>52.749523423980506</v>
      </c>
      <c r="T451">
        <f t="shared" si="222"/>
        <v>69.488642599057528</v>
      </c>
      <c r="U451">
        <f t="shared" si="222"/>
        <v>80.854880936514675</v>
      </c>
      <c r="V451">
        <f t="shared" si="222"/>
        <v>30.518200450128376</v>
      </c>
      <c r="W451">
        <f t="shared" si="222"/>
        <v>52.371919687136689</v>
      </c>
      <c r="Y451" s="6">
        <f t="shared" si="204"/>
        <v>1192.9067298213442</v>
      </c>
      <c r="Z451">
        <f t="shared" si="205"/>
        <v>-113.00411192040707</v>
      </c>
    </row>
    <row r="452" spans="1:26" x14ac:dyDescent="0.25">
      <c r="A452" t="s">
        <v>61</v>
      </c>
      <c r="D452">
        <f t="shared" ref="D452:W452" si="223">D20*D236</f>
        <v>107.41816376350486</v>
      </c>
      <c r="E452">
        <f t="shared" si="223"/>
        <v>106.95813398160514</v>
      </c>
      <c r="F452">
        <f t="shared" si="223"/>
        <v>90.957486040181053</v>
      </c>
      <c r="G452">
        <f t="shared" si="223"/>
        <v>61.419117223615473</v>
      </c>
      <c r="H452">
        <f t="shared" si="223"/>
        <v>67.411395229384468</v>
      </c>
      <c r="I452">
        <f t="shared" si="223"/>
        <v>67.645500971205195</v>
      </c>
      <c r="J452">
        <f t="shared" si="223"/>
        <v>65.746590231148858</v>
      </c>
      <c r="K452">
        <f t="shared" si="223"/>
        <v>53.67013150810422</v>
      </c>
      <c r="L452">
        <f t="shared" si="223"/>
        <v>42.075465185755675</v>
      </c>
      <c r="M452">
        <f t="shared" si="223"/>
        <v>63.139006510978795</v>
      </c>
      <c r="N452">
        <f t="shared" si="223"/>
        <v>74.130542062078661</v>
      </c>
      <c r="O452">
        <f t="shared" si="223"/>
        <v>84.900373770873671</v>
      </c>
      <c r="P452">
        <f t="shared" si="223"/>
        <v>69.802050924962103</v>
      </c>
      <c r="Q452">
        <f t="shared" si="223"/>
        <v>43.064544563458888</v>
      </c>
      <c r="R452">
        <f t="shared" si="223"/>
        <v>62.66578021215124</v>
      </c>
      <c r="S452">
        <f t="shared" si="223"/>
        <v>105.69809301904226</v>
      </c>
      <c r="T452">
        <f t="shared" si="223"/>
        <v>72.265715824427105</v>
      </c>
      <c r="U452">
        <f t="shared" si="223"/>
        <v>64.597321805357936</v>
      </c>
      <c r="V452">
        <f t="shared" si="223"/>
        <v>63.111173157204227</v>
      </c>
      <c r="W452">
        <f t="shared" si="223"/>
        <v>91.570164499850264</v>
      </c>
      <c r="Y452" s="6">
        <f t="shared" si="204"/>
        <v>1458.2467504848901</v>
      </c>
      <c r="Z452">
        <f t="shared" si="205"/>
        <v>-121.3112328614059</v>
      </c>
    </row>
    <row r="453" spans="1:26" x14ac:dyDescent="0.25">
      <c r="A453" t="s">
        <v>62</v>
      </c>
      <c r="D453">
        <f t="shared" ref="D453:W453" si="224">D21*D237</f>
        <v>66.14540940112586</v>
      </c>
      <c r="E453">
        <f t="shared" si="224"/>
        <v>50.467766578422712</v>
      </c>
      <c r="F453">
        <f t="shared" si="224"/>
        <v>75.457701731673907</v>
      </c>
      <c r="G453">
        <f t="shared" si="224"/>
        <v>72.69974034302497</v>
      </c>
      <c r="H453">
        <f t="shared" si="224"/>
        <v>70.230108078682349</v>
      </c>
      <c r="I453">
        <f t="shared" si="224"/>
        <v>65.069324204600392</v>
      </c>
      <c r="J453">
        <f t="shared" si="224"/>
        <v>59.226373412749787</v>
      </c>
      <c r="K453">
        <f t="shared" si="224"/>
        <v>66.841118120444861</v>
      </c>
      <c r="L453">
        <f t="shared" si="224"/>
        <v>60.567632985585732</v>
      </c>
      <c r="M453">
        <f t="shared" si="224"/>
        <v>46.122788962534031</v>
      </c>
      <c r="N453">
        <f t="shared" si="224"/>
        <v>58.312153075372869</v>
      </c>
      <c r="O453">
        <f t="shared" si="224"/>
        <v>50.548997690878714</v>
      </c>
      <c r="P453">
        <f t="shared" si="224"/>
        <v>32.645095998088173</v>
      </c>
      <c r="Q453">
        <f t="shared" si="224"/>
        <v>60.102227800783361</v>
      </c>
      <c r="R453">
        <f t="shared" si="224"/>
        <v>96.676746491743671</v>
      </c>
      <c r="S453">
        <f t="shared" si="224"/>
        <v>81.56403390095987</v>
      </c>
      <c r="T453">
        <f t="shared" si="224"/>
        <v>18.791937159925943</v>
      </c>
      <c r="U453">
        <f t="shared" si="224"/>
        <v>72.836129802424225</v>
      </c>
      <c r="V453">
        <f t="shared" si="224"/>
        <v>61.350642504070386</v>
      </c>
      <c r="W453">
        <f t="shared" si="224"/>
        <v>68.549164978435812</v>
      </c>
      <c r="Y453" s="6">
        <f t="shared" si="204"/>
        <v>1234.2050932215277</v>
      </c>
      <c r="Z453">
        <f t="shared" si="205"/>
        <v>-118.00325739173414</v>
      </c>
    </row>
    <row r="454" spans="1:26" x14ac:dyDescent="0.25">
      <c r="A454" t="s">
        <v>63</v>
      </c>
      <c r="D454">
        <f t="shared" ref="D454:W454" si="225">D22*D238</f>
        <v>78.746803337836795</v>
      </c>
      <c r="E454">
        <f t="shared" si="225"/>
        <v>71.135225708118213</v>
      </c>
      <c r="F454">
        <f t="shared" si="225"/>
        <v>80.046607783793448</v>
      </c>
      <c r="G454">
        <f t="shared" si="225"/>
        <v>74.67368302081772</v>
      </c>
      <c r="H454">
        <f t="shared" si="225"/>
        <v>79.710028771074192</v>
      </c>
      <c r="I454">
        <f t="shared" si="225"/>
        <v>65.373954941914093</v>
      </c>
      <c r="J454">
        <f t="shared" si="225"/>
        <v>65.79374345276976</v>
      </c>
      <c r="K454">
        <f t="shared" si="225"/>
        <v>55.454546715724938</v>
      </c>
      <c r="L454">
        <f t="shared" si="225"/>
        <v>69.44257126314271</v>
      </c>
      <c r="M454">
        <f t="shared" si="225"/>
        <v>47.945307158267468</v>
      </c>
      <c r="N454">
        <f t="shared" si="225"/>
        <v>30.582544778845442</v>
      </c>
      <c r="O454">
        <f t="shared" si="225"/>
        <v>50.421250939941814</v>
      </c>
      <c r="P454">
        <f t="shared" si="225"/>
        <v>25.237287654702886</v>
      </c>
      <c r="Q454">
        <f t="shared" si="225"/>
        <v>35.353595513044347</v>
      </c>
      <c r="R454">
        <f t="shared" si="225"/>
        <v>66.719063226786446</v>
      </c>
      <c r="S454">
        <f t="shared" si="225"/>
        <v>92.39412751046271</v>
      </c>
      <c r="T454">
        <f t="shared" si="225"/>
        <v>79.623234098991531</v>
      </c>
      <c r="U454">
        <f t="shared" si="225"/>
        <v>60.705601853735814</v>
      </c>
      <c r="V454">
        <f t="shared" si="225"/>
        <v>78.868216126532914</v>
      </c>
      <c r="W454">
        <f t="shared" si="225"/>
        <v>86.338001018101565</v>
      </c>
      <c r="Y454" s="6">
        <f t="shared" si="204"/>
        <v>1294.5653948746044</v>
      </c>
      <c r="Z454">
        <f t="shared" si="205"/>
        <v>-105.49816447177469</v>
      </c>
    </row>
    <row r="455" spans="1:26" x14ac:dyDescent="0.25">
      <c r="A455" t="s">
        <v>64</v>
      </c>
      <c r="D455">
        <f t="shared" ref="D455:W455" si="226">D23*D239</f>
        <v>90.199717897858733</v>
      </c>
      <c r="E455">
        <f t="shared" si="226"/>
        <v>84.03505969636899</v>
      </c>
      <c r="F455">
        <f t="shared" si="226"/>
        <v>80.020765266005512</v>
      </c>
      <c r="G455">
        <f t="shared" si="226"/>
        <v>62.523486541539071</v>
      </c>
      <c r="H455">
        <f t="shared" si="226"/>
        <v>62.40446983453522</v>
      </c>
      <c r="I455">
        <f t="shared" si="226"/>
        <v>65.428395655567954</v>
      </c>
      <c r="J455">
        <f t="shared" si="226"/>
        <v>63.25242517569616</v>
      </c>
      <c r="K455">
        <f t="shared" si="226"/>
        <v>74.361368165101894</v>
      </c>
      <c r="L455">
        <f t="shared" si="226"/>
        <v>75.448565697953498</v>
      </c>
      <c r="M455">
        <f t="shared" si="226"/>
        <v>58.292866436284037</v>
      </c>
      <c r="N455">
        <f t="shared" si="226"/>
        <v>46.856418489424954</v>
      </c>
      <c r="O455">
        <f t="shared" si="226"/>
        <v>62.272464486550049</v>
      </c>
      <c r="P455">
        <f t="shared" si="226"/>
        <v>50.697887193478742</v>
      </c>
      <c r="Q455">
        <f t="shared" si="226"/>
        <v>105.63249858874697</v>
      </c>
      <c r="R455">
        <f t="shared" si="226"/>
        <v>81.062592734047598</v>
      </c>
      <c r="S455">
        <f t="shared" si="226"/>
        <v>74.674508777358824</v>
      </c>
      <c r="T455">
        <f t="shared" si="226"/>
        <v>80.935777388501421</v>
      </c>
      <c r="U455">
        <f t="shared" si="226"/>
        <v>70.644739530725403</v>
      </c>
      <c r="V455">
        <f t="shared" si="226"/>
        <v>66.300803314934285</v>
      </c>
      <c r="W455">
        <f t="shared" si="226"/>
        <v>74.954391398910133</v>
      </c>
      <c r="Y455" s="6">
        <f t="shared" si="204"/>
        <v>1429.9992022695897</v>
      </c>
      <c r="Z455">
        <f t="shared" si="205"/>
        <v>-130.91680122230684</v>
      </c>
    </row>
    <row r="456" spans="1:26" x14ac:dyDescent="0.25">
      <c r="A456" t="s">
        <v>65</v>
      </c>
      <c r="D456">
        <f t="shared" ref="D456:W456" si="227">D24*D240</f>
        <v>97.395597741850352</v>
      </c>
      <c r="E456">
        <f t="shared" si="227"/>
        <v>85.938921096315099</v>
      </c>
      <c r="F456">
        <f t="shared" si="227"/>
        <v>61.462561959431874</v>
      </c>
      <c r="G456">
        <f t="shared" si="227"/>
        <v>51.040386902818994</v>
      </c>
      <c r="H456">
        <f t="shared" si="227"/>
        <v>84.385068041641844</v>
      </c>
      <c r="I456">
        <f t="shared" si="227"/>
        <v>57.858688106297322</v>
      </c>
      <c r="J456">
        <f t="shared" si="227"/>
        <v>45.676397599772358</v>
      </c>
      <c r="K456">
        <f t="shared" si="227"/>
        <v>57.80906883529174</v>
      </c>
      <c r="L456">
        <f t="shared" si="227"/>
        <v>48.064458398809016</v>
      </c>
      <c r="M456">
        <f t="shared" si="227"/>
        <v>57.364022301816334</v>
      </c>
      <c r="N456">
        <f t="shared" si="227"/>
        <v>43.747219257851555</v>
      </c>
      <c r="O456">
        <f t="shared" si="227"/>
        <v>41.014912581217146</v>
      </c>
      <c r="P456">
        <f t="shared" si="227"/>
        <v>36.810247931169833</v>
      </c>
      <c r="Q456">
        <f t="shared" si="227"/>
        <v>39.98229433992099</v>
      </c>
      <c r="R456">
        <f t="shared" si="227"/>
        <v>14.542472578061311</v>
      </c>
      <c r="S456">
        <f t="shared" si="227"/>
        <v>37.521998368747511</v>
      </c>
      <c r="T456">
        <f t="shared" si="227"/>
        <v>46.328522333798482</v>
      </c>
      <c r="U456">
        <f t="shared" si="227"/>
        <v>43.828875202528074</v>
      </c>
      <c r="V456">
        <f t="shared" si="227"/>
        <v>45.780349569592488</v>
      </c>
      <c r="W456">
        <f t="shared" si="227"/>
        <v>45.348145875573991</v>
      </c>
      <c r="Y456" s="6">
        <f t="shared" si="204"/>
        <v>1041.900209022506</v>
      </c>
      <c r="Z456">
        <f t="shared" si="205"/>
        <v>-80.763010335636238</v>
      </c>
    </row>
    <row r="457" spans="1:26" x14ac:dyDescent="0.25">
      <c r="A457" t="s">
        <v>66</v>
      </c>
      <c r="D457">
        <f t="shared" ref="D457:W457" si="228">D25*D241</f>
        <v>98.982212608059172</v>
      </c>
      <c r="E457">
        <f t="shared" si="228"/>
        <v>83.516829310429372</v>
      </c>
      <c r="F457">
        <f t="shared" si="228"/>
        <v>65.94789447868709</v>
      </c>
      <c r="G457">
        <f t="shared" si="228"/>
        <v>43.845712540039408</v>
      </c>
      <c r="H457">
        <f t="shared" si="228"/>
        <v>74.367291879568882</v>
      </c>
      <c r="I457">
        <f t="shared" si="228"/>
        <v>96.487684781282454</v>
      </c>
      <c r="J457">
        <f t="shared" si="228"/>
        <v>79.505721301367458</v>
      </c>
      <c r="K457">
        <f t="shared" si="228"/>
        <v>102.22904566092036</v>
      </c>
      <c r="L457">
        <f t="shared" si="228"/>
        <v>1.3328519782185573</v>
      </c>
      <c r="M457">
        <f t="shared" si="228"/>
        <v>48.05807730362686</v>
      </c>
      <c r="N457">
        <f t="shared" si="228"/>
        <v>65.940682298145745</v>
      </c>
      <c r="O457">
        <f t="shared" si="228"/>
        <v>41.208059696222669</v>
      </c>
      <c r="P457">
        <f t="shared" si="228"/>
        <v>47.761679383838207</v>
      </c>
      <c r="Q457">
        <f t="shared" si="228"/>
        <v>55.500577676002479</v>
      </c>
      <c r="R457">
        <f t="shared" si="228"/>
        <v>61.971693601239622</v>
      </c>
      <c r="S457">
        <f t="shared" si="228"/>
        <v>67.483412411411379</v>
      </c>
      <c r="T457">
        <f t="shared" si="228"/>
        <v>54.260912802441709</v>
      </c>
      <c r="U457">
        <f t="shared" si="228"/>
        <v>69.433551221049285</v>
      </c>
      <c r="V457">
        <f t="shared" si="228"/>
        <v>54.873368402317524</v>
      </c>
      <c r="W457">
        <f t="shared" si="228"/>
        <v>34.330313789697122</v>
      </c>
      <c r="Y457" s="6">
        <f t="shared" si="204"/>
        <v>1247.0375731245654</v>
      </c>
      <c r="Z457">
        <f t="shared" si="205"/>
        <v>-118.50903620652313</v>
      </c>
    </row>
    <row r="458" spans="1:26" x14ac:dyDescent="0.25">
      <c r="A458" t="s">
        <v>67</v>
      </c>
      <c r="D458">
        <f t="shared" ref="D458:W458" si="229">D26*D242</f>
        <v>75.774608085787591</v>
      </c>
      <c r="E458">
        <f t="shared" si="229"/>
        <v>76.818950434337495</v>
      </c>
      <c r="F458">
        <f t="shared" si="229"/>
        <v>61.94105843540413</v>
      </c>
      <c r="G458">
        <f t="shared" si="229"/>
        <v>68.23817011212833</v>
      </c>
      <c r="H458">
        <f t="shared" si="229"/>
        <v>83.3353780395028</v>
      </c>
      <c r="I458">
        <f t="shared" si="229"/>
        <v>71.881245196732309</v>
      </c>
      <c r="J458">
        <f t="shared" si="229"/>
        <v>53.052651897459576</v>
      </c>
      <c r="K458">
        <f t="shared" si="229"/>
        <v>72.797409297102419</v>
      </c>
      <c r="L458">
        <f t="shared" si="229"/>
        <v>61.494085786437807</v>
      </c>
      <c r="M458">
        <f t="shared" si="229"/>
        <v>60.954568827209343</v>
      </c>
      <c r="N458">
        <f t="shared" si="229"/>
        <v>60.280263645819304</v>
      </c>
      <c r="O458">
        <f t="shared" si="229"/>
        <v>59.061603656290551</v>
      </c>
      <c r="P458">
        <f t="shared" si="229"/>
        <v>56.685022457116887</v>
      </c>
      <c r="Q458">
        <f t="shared" si="229"/>
        <v>58.589957344339339</v>
      </c>
      <c r="R458">
        <f t="shared" si="229"/>
        <v>56.273148079931048</v>
      </c>
      <c r="S458">
        <f t="shared" si="229"/>
        <v>69.63292552616754</v>
      </c>
      <c r="T458">
        <f t="shared" si="229"/>
        <v>61.86804859724387</v>
      </c>
      <c r="U458">
        <f t="shared" si="229"/>
        <v>66.289018520868893</v>
      </c>
      <c r="V458">
        <f t="shared" si="229"/>
        <v>69.433997879757328</v>
      </c>
      <c r="W458">
        <f t="shared" si="229"/>
        <v>59.267816446531739</v>
      </c>
      <c r="Y458" s="6">
        <f t="shared" si="204"/>
        <v>1303.6699282661682</v>
      </c>
      <c r="Z458">
        <f t="shared" si="205"/>
        <v>-124.36653719811022</v>
      </c>
    </row>
    <row r="459" spans="1:26" x14ac:dyDescent="0.25">
      <c r="A459" t="s">
        <v>68</v>
      </c>
      <c r="D459">
        <f t="shared" ref="D459:W459" si="230">D27*D243</f>
        <v>111.80090178166341</v>
      </c>
      <c r="E459">
        <f t="shared" si="230"/>
        <v>149.8403463295387</v>
      </c>
      <c r="F459">
        <f t="shared" si="230"/>
        <v>151.00396692922479</v>
      </c>
      <c r="G459">
        <f t="shared" si="230"/>
        <v>116.05397286842205</v>
      </c>
      <c r="H459">
        <f t="shared" si="230"/>
        <v>98.291543865227084</v>
      </c>
      <c r="I459">
        <f t="shared" si="230"/>
        <v>93.499821647786277</v>
      </c>
      <c r="J459">
        <f t="shared" si="230"/>
        <v>75.625372797426223</v>
      </c>
      <c r="K459">
        <f t="shared" si="230"/>
        <v>99.767049172777945</v>
      </c>
      <c r="L459">
        <f t="shared" si="230"/>
        <v>99.37046665314638</v>
      </c>
      <c r="M459">
        <f t="shared" si="230"/>
        <v>51.154787174615599</v>
      </c>
      <c r="N459">
        <f t="shared" si="230"/>
        <v>73.662072047031955</v>
      </c>
      <c r="O459">
        <f t="shared" si="230"/>
        <v>74.174190349703636</v>
      </c>
      <c r="P459">
        <f t="shared" si="230"/>
        <v>62.761210002722692</v>
      </c>
      <c r="Q459">
        <f t="shared" si="230"/>
        <v>80.239688861764307</v>
      </c>
      <c r="R459">
        <f t="shared" si="230"/>
        <v>101.56506919099282</v>
      </c>
      <c r="S459">
        <f t="shared" si="230"/>
        <v>91.406209925865156</v>
      </c>
      <c r="T459">
        <f t="shared" si="230"/>
        <v>88.525567016200213</v>
      </c>
      <c r="U459">
        <f t="shared" si="230"/>
        <v>87.008606143955376</v>
      </c>
      <c r="V459">
        <f t="shared" si="230"/>
        <v>67.860823027943368</v>
      </c>
      <c r="W459">
        <f t="shared" si="230"/>
        <v>61.047311072586552</v>
      </c>
      <c r="Y459" s="6">
        <f t="shared" si="204"/>
        <v>1834.6589768585943</v>
      </c>
      <c r="Z459">
        <f t="shared" si="205"/>
        <v>-141.43250042717935</v>
      </c>
    </row>
    <row r="460" spans="1:26" x14ac:dyDescent="0.25">
      <c r="A460" t="s">
        <v>69</v>
      </c>
      <c r="D460">
        <f t="shared" ref="D460:W460" si="231">D28*D244</f>
        <v>50.356999855901869</v>
      </c>
      <c r="E460">
        <f t="shared" si="231"/>
        <v>50.703480082083829</v>
      </c>
      <c r="F460">
        <f t="shared" si="231"/>
        <v>44.676279914735403</v>
      </c>
      <c r="G460">
        <f t="shared" si="231"/>
        <v>39.869437525527402</v>
      </c>
      <c r="H460">
        <f t="shared" si="231"/>
        <v>33.928273123089383</v>
      </c>
      <c r="I460">
        <f t="shared" si="231"/>
        <v>30.927102065099927</v>
      </c>
      <c r="J460">
        <f t="shared" si="231"/>
        <v>13.366283263809823</v>
      </c>
      <c r="K460">
        <f t="shared" si="231"/>
        <v>11.634308176594029</v>
      </c>
      <c r="L460">
        <f t="shared" si="231"/>
        <v>43.437523041303351</v>
      </c>
      <c r="M460">
        <f t="shared" si="231"/>
        <v>61.318495800550409</v>
      </c>
      <c r="N460">
        <f t="shared" si="231"/>
        <v>64.005857548285803</v>
      </c>
      <c r="O460">
        <f t="shared" si="231"/>
        <v>54.935928836323576</v>
      </c>
      <c r="P460">
        <f t="shared" si="231"/>
        <v>60.15116011980917</v>
      </c>
      <c r="Q460">
        <f t="shared" si="231"/>
        <v>39.902054931089161</v>
      </c>
      <c r="R460">
        <f t="shared" si="231"/>
        <v>47.162621063284782</v>
      </c>
      <c r="S460">
        <f t="shared" si="231"/>
        <v>48.166054093413685</v>
      </c>
      <c r="T460">
        <f t="shared" si="231"/>
        <v>53.721419777554694</v>
      </c>
      <c r="U460">
        <f t="shared" si="231"/>
        <v>74.68301409243584</v>
      </c>
      <c r="V460">
        <f t="shared" si="231"/>
        <v>46.358415631999627</v>
      </c>
      <c r="W460">
        <f t="shared" si="231"/>
        <v>60.978597723153349</v>
      </c>
      <c r="Y460" s="6">
        <f t="shared" si="204"/>
        <v>930.28330666604518</v>
      </c>
      <c r="Z460">
        <f t="shared" si="205"/>
        <v>-88.790949409872113</v>
      </c>
    </row>
    <row r="461" spans="1:26" x14ac:dyDescent="0.25">
      <c r="Y461" s="6"/>
    </row>
    <row r="462" spans="1:26" x14ac:dyDescent="0.25">
      <c r="A462" t="s">
        <v>70</v>
      </c>
      <c r="D462">
        <f t="shared" ref="D462:W462" si="232">D30*D246</f>
        <v>76.165113151429864</v>
      </c>
      <c r="E462">
        <f t="shared" si="232"/>
        <v>70.602386354711427</v>
      </c>
      <c r="F462">
        <f t="shared" si="232"/>
        <v>75.046528978095623</v>
      </c>
      <c r="G462">
        <f t="shared" si="232"/>
        <v>65.460625077182939</v>
      </c>
      <c r="H462">
        <f t="shared" si="232"/>
        <v>71.416115103128917</v>
      </c>
      <c r="I462">
        <f t="shared" si="232"/>
        <v>75.380732346148676</v>
      </c>
      <c r="J462">
        <f t="shared" si="232"/>
        <v>68.518317832708036</v>
      </c>
      <c r="K462">
        <f t="shared" si="232"/>
        <v>66.668844132571451</v>
      </c>
      <c r="L462">
        <f t="shared" si="232"/>
        <v>68.718186269866749</v>
      </c>
      <c r="M462">
        <f t="shared" si="232"/>
        <v>55.114907434448142</v>
      </c>
      <c r="N462">
        <f t="shared" si="232"/>
        <v>56.045466137081171</v>
      </c>
      <c r="O462">
        <f t="shared" si="232"/>
        <v>56.648398544049918</v>
      </c>
      <c r="P462">
        <f t="shared" si="232"/>
        <v>53.591393420202756</v>
      </c>
      <c r="Q462">
        <f t="shared" si="232"/>
        <v>65.608647689120488</v>
      </c>
      <c r="R462">
        <f t="shared" si="232"/>
        <v>66.713909878202728</v>
      </c>
      <c r="S462">
        <f t="shared" si="232"/>
        <v>71.372139617171754</v>
      </c>
      <c r="T462">
        <f t="shared" si="232"/>
        <v>47.949456175261425</v>
      </c>
      <c r="U462">
        <f t="shared" si="232"/>
        <v>75.630181152567062</v>
      </c>
      <c r="V462">
        <f t="shared" si="232"/>
        <v>54.794862605026218</v>
      </c>
      <c r="W462">
        <f t="shared" si="232"/>
        <v>68.365192689376585</v>
      </c>
      <c r="Y462" s="6">
        <f t="shared" si="204"/>
        <v>1309.8114045883517</v>
      </c>
      <c r="Z462">
        <f>SUMPRODUCT($D$466:$W$466,D462:W462)</f>
        <v>-120.91043414601688</v>
      </c>
    </row>
    <row r="463" spans="1:26" x14ac:dyDescent="0.25">
      <c r="A463" t="s">
        <v>313</v>
      </c>
      <c r="D463">
        <f t="shared" ref="D463:W463" si="233">D31*D247</f>
        <v>113.99822054862422</v>
      </c>
      <c r="E463">
        <f t="shared" si="233"/>
        <v>92.62845029471427</v>
      </c>
      <c r="F463">
        <f t="shared" si="233"/>
        <v>92.01047907104234</v>
      </c>
      <c r="G463">
        <f t="shared" si="233"/>
        <v>101.45132834002291</v>
      </c>
      <c r="H463">
        <f t="shared" si="233"/>
        <v>110.23922616208462</v>
      </c>
      <c r="I463">
        <f t="shared" si="233"/>
        <v>96.826400398357933</v>
      </c>
      <c r="J463">
        <f t="shared" si="233"/>
        <v>73.888848703260095</v>
      </c>
      <c r="K463">
        <f t="shared" si="233"/>
        <v>36.76225704375409</v>
      </c>
      <c r="L463">
        <f t="shared" si="233"/>
        <v>56.836386765262326</v>
      </c>
      <c r="M463">
        <f t="shared" si="233"/>
        <v>59.373056081369249</v>
      </c>
      <c r="N463">
        <f t="shared" si="233"/>
        <v>50.789627449354462</v>
      </c>
      <c r="O463">
        <f t="shared" si="233"/>
        <v>76.670637250397562</v>
      </c>
      <c r="P463">
        <f t="shared" si="233"/>
        <v>120.56</v>
      </c>
      <c r="Q463">
        <f t="shared" si="233"/>
        <v>130.9</v>
      </c>
      <c r="R463">
        <f t="shared" si="233"/>
        <v>118.67999999999999</v>
      </c>
      <c r="S463">
        <f t="shared" si="233"/>
        <v>68.62</v>
      </c>
      <c r="T463">
        <f t="shared" si="233"/>
        <v>59.4</v>
      </c>
      <c r="U463">
        <f t="shared" si="233"/>
        <v>76.787999999999997</v>
      </c>
      <c r="V463">
        <f t="shared" si="233"/>
        <v>66.501000000000005</v>
      </c>
      <c r="W463">
        <f t="shared" si="233"/>
        <v>74.600999999999999</v>
      </c>
      <c r="Y463" s="6">
        <f t="shared" si="204"/>
        <v>1677.524918108244</v>
      </c>
      <c r="Z463">
        <f>SUMPRODUCT($D$466:$W$466,D463:W463)</f>
        <v>-153.06214233938408</v>
      </c>
    </row>
    <row r="464" spans="1:26" x14ac:dyDescent="0.25">
      <c r="A464" t="s">
        <v>314</v>
      </c>
      <c r="D464">
        <f t="shared" ref="D464:W464" si="234">D32*D248</f>
        <v>51.220035121634901</v>
      </c>
      <c r="E464">
        <f t="shared" si="234"/>
        <v>110.99445463500052</v>
      </c>
      <c r="F464">
        <f t="shared" si="234"/>
        <v>84.07317294841053</v>
      </c>
      <c r="G464">
        <f t="shared" si="234"/>
        <v>72.831144787934264</v>
      </c>
      <c r="H464">
        <f t="shared" si="234"/>
        <v>105.0867157732249</v>
      </c>
      <c r="I464">
        <f t="shared" si="234"/>
        <v>58.995863987098538</v>
      </c>
      <c r="J464">
        <f t="shared" si="234"/>
        <v>48.693062853860084</v>
      </c>
      <c r="K464">
        <f t="shared" si="234"/>
        <v>59.129999999999995</v>
      </c>
      <c r="L464">
        <f t="shared" si="234"/>
        <v>64.997751144044926</v>
      </c>
      <c r="M464">
        <f t="shared" si="234"/>
        <v>62.542376577675704</v>
      </c>
      <c r="N464">
        <f t="shared" si="234"/>
        <v>65.644218631156392</v>
      </c>
      <c r="O464">
        <f t="shared" si="234"/>
        <v>60.338830980511581</v>
      </c>
      <c r="P464">
        <f t="shared" si="234"/>
        <v>49.441196090218831</v>
      </c>
      <c r="Q464">
        <f t="shared" si="234"/>
        <v>55.622451183838983</v>
      </c>
      <c r="R464">
        <f t="shared" si="234"/>
        <v>64.289927139013159</v>
      </c>
      <c r="S464">
        <f t="shared" si="234"/>
        <v>73.585004686154591</v>
      </c>
      <c r="T464">
        <f t="shared" si="234"/>
        <v>58.202525667230276</v>
      </c>
      <c r="U464">
        <f t="shared" si="234"/>
        <v>62.426935045976585</v>
      </c>
      <c r="V464">
        <f t="shared" si="234"/>
        <v>64.637136374699594</v>
      </c>
      <c r="W464">
        <f t="shared" si="234"/>
        <v>63.252940283233109</v>
      </c>
      <c r="Y464" s="6">
        <f t="shared" si="204"/>
        <v>1336.0057439109173</v>
      </c>
      <c r="Z464">
        <f>SUMPRODUCT($D$466:$W$466,D464:W464)</f>
        <v>-119.61469218357765</v>
      </c>
    </row>
    <row r="465" spans="1:26" x14ac:dyDescent="0.25">
      <c r="A465" t="s">
        <v>658</v>
      </c>
      <c r="D465">
        <f t="shared" ref="D465:W465" si="235">D33*D249</f>
        <v>153.30155923603849</v>
      </c>
      <c r="E465">
        <f t="shared" si="235"/>
        <v>117.82640725760305</v>
      </c>
      <c r="F465">
        <f t="shared" si="235"/>
        <v>151.22612636607474</v>
      </c>
      <c r="G465">
        <f t="shared" si="235"/>
        <v>151.73490212296917</v>
      </c>
      <c r="H465">
        <f t="shared" si="235"/>
        <v>89.176310170317876</v>
      </c>
      <c r="I465">
        <f t="shared" si="235"/>
        <v>64.989999999999995</v>
      </c>
      <c r="J465">
        <f t="shared" si="235"/>
        <v>62.4</v>
      </c>
      <c r="K465">
        <f t="shared" si="235"/>
        <v>64.97</v>
      </c>
      <c r="L465">
        <f t="shared" si="235"/>
        <v>50.25</v>
      </c>
      <c r="M465">
        <f t="shared" si="235"/>
        <v>54.78</v>
      </c>
      <c r="N465">
        <f t="shared" si="235"/>
        <v>58.100000000000009</v>
      </c>
      <c r="O465">
        <f t="shared" si="235"/>
        <v>56.88</v>
      </c>
      <c r="P465">
        <f t="shared" si="235"/>
        <v>129.27037967088904</v>
      </c>
      <c r="Q465">
        <f t="shared" si="235"/>
        <v>156.4207236183224</v>
      </c>
      <c r="R465">
        <f t="shared" si="235"/>
        <v>134.5007677222163</v>
      </c>
      <c r="S465">
        <f t="shared" si="235"/>
        <v>151.66761904761904</v>
      </c>
      <c r="T465">
        <f t="shared" si="235"/>
        <v>62.989359691668298</v>
      </c>
      <c r="U465">
        <f t="shared" si="235"/>
        <v>63.525418446980076</v>
      </c>
      <c r="V465">
        <f t="shared" si="235"/>
        <v>59.804251499953232</v>
      </c>
      <c r="W465">
        <f t="shared" si="235"/>
        <v>67.395895405507517</v>
      </c>
      <c r="Y465" s="6">
        <f t="shared" ref="Y465" si="236">SUM(D465:W465)</f>
        <v>1901.209720256159</v>
      </c>
      <c r="Z465">
        <f>SUMPRODUCT($D$466:$W$466,D465:W465)</f>
        <v>-148.10655311558605</v>
      </c>
    </row>
    <row r="466" spans="1:26" x14ac:dyDescent="0.25">
      <c r="A466" s="2" t="s">
        <v>71</v>
      </c>
      <c r="D466" s="3">
        <f>CORREL($B$2:$B$28,D434:D460)</f>
        <v>0.12433224616873115</v>
      </c>
      <c r="E466" s="3">
        <f t="shared" ref="E466:W466" si="237">CORREL($B$2:$B$28,E434:E460)</f>
        <v>8.8979790470122139E-2</v>
      </c>
      <c r="F466" s="3">
        <f t="shared" si="237"/>
        <v>0.13858172080073669</v>
      </c>
      <c r="G466" s="3">
        <f t="shared" si="237"/>
        <v>-7.5266180811887864E-2</v>
      </c>
      <c r="H466" s="3">
        <f t="shared" si="237"/>
        <v>-0.11538706895517532</v>
      </c>
      <c r="I466" s="3">
        <f t="shared" si="237"/>
        <v>1.2504936632557574E-2</v>
      </c>
      <c r="J466" s="3">
        <f t="shared" si="237"/>
        <v>-0.29390873149439833</v>
      </c>
      <c r="K466" s="3">
        <f t="shared" si="237"/>
        <v>-0.20157922116249713</v>
      </c>
      <c r="L466" s="3">
        <f t="shared" si="237"/>
        <v>-3.7431313453842971E-2</v>
      </c>
      <c r="M466" s="3">
        <f t="shared" si="237"/>
        <v>-5.0067387838716816E-2</v>
      </c>
      <c r="N466" s="3">
        <f t="shared" si="237"/>
        <v>-0.35578640917906212</v>
      </c>
      <c r="O466" s="3">
        <f t="shared" si="237"/>
        <v>-0.19223020686595954</v>
      </c>
      <c r="P466" s="3">
        <f t="shared" si="237"/>
        <v>-0.17309965916804995</v>
      </c>
      <c r="Q466" s="3">
        <f t="shared" si="237"/>
        <v>-0.24547983413580876</v>
      </c>
      <c r="R466" s="3">
        <f t="shared" si="237"/>
        <v>-8.6871940267728487E-2</v>
      </c>
      <c r="S466" s="3">
        <f t="shared" si="237"/>
        <v>-2.8416371544891229E-2</v>
      </c>
      <c r="T466" s="3">
        <f t="shared" si="237"/>
        <v>-7.6340744490392437E-2</v>
      </c>
      <c r="U466" s="3">
        <f t="shared" si="237"/>
        <v>-0.10024597510169656</v>
      </c>
      <c r="V466" s="3">
        <f t="shared" si="237"/>
        <v>-0.30093402932218771</v>
      </c>
      <c r="W466" s="3">
        <f t="shared" si="237"/>
        <v>-6.0869010286237375E-2</v>
      </c>
      <c r="X466" s="3"/>
    </row>
    <row r="469" spans="1:26" x14ac:dyDescent="0.25">
      <c r="D469" t="s">
        <v>160</v>
      </c>
      <c r="E469" t="s">
        <v>161</v>
      </c>
      <c r="F469" t="s">
        <v>162</v>
      </c>
      <c r="G469" t="s">
        <v>163</v>
      </c>
      <c r="H469" t="s">
        <v>164</v>
      </c>
      <c r="I469" t="s">
        <v>165</v>
      </c>
      <c r="J469" t="s">
        <v>166</v>
      </c>
      <c r="K469" t="s">
        <v>167</v>
      </c>
      <c r="L469" t="s">
        <v>328</v>
      </c>
      <c r="M469" t="s">
        <v>382</v>
      </c>
      <c r="N469" t="s">
        <v>383</v>
      </c>
      <c r="O469" t="s">
        <v>384</v>
      </c>
      <c r="P469" t="s">
        <v>486</v>
      </c>
      <c r="Q469" t="s">
        <v>487</v>
      </c>
      <c r="R469" t="s">
        <v>488</v>
      </c>
      <c r="S469" t="s">
        <v>489</v>
      </c>
      <c r="T469" t="s">
        <v>598</v>
      </c>
      <c r="U469" t="s">
        <v>599</v>
      </c>
      <c r="V469" t="s">
        <v>600</v>
      </c>
      <c r="W469" t="s">
        <v>601</v>
      </c>
      <c r="Y469" t="s">
        <v>168</v>
      </c>
      <c r="Z469" t="s">
        <v>169</v>
      </c>
    </row>
    <row r="470" spans="1:26" x14ac:dyDescent="0.25">
      <c r="A470" t="s">
        <v>43</v>
      </c>
      <c r="D470">
        <f t="shared" ref="D470:W470" si="238">D38*D74</f>
        <v>661.42551020408155</v>
      </c>
      <c r="E470">
        <f t="shared" si="238"/>
        <v>581.83285714285705</v>
      </c>
      <c r="F470">
        <f t="shared" si="238"/>
        <v>533.71224489795918</v>
      </c>
      <c r="G470">
        <f t="shared" si="238"/>
        <v>501.8889795918368</v>
      </c>
      <c r="H470">
        <f t="shared" si="238"/>
        <v>453.40285714285716</v>
      </c>
      <c r="I470">
        <f t="shared" si="238"/>
        <v>414.89632653061227</v>
      </c>
      <c r="J470">
        <f t="shared" si="238"/>
        <v>412.09999999999997</v>
      </c>
      <c r="K470">
        <f t="shared" si="238"/>
        <v>354.35020408163274</v>
      </c>
      <c r="L470">
        <f t="shared" si="238"/>
        <v>319.66046875000001</v>
      </c>
      <c r="M470">
        <f t="shared" si="238"/>
        <v>196.47000000000003</v>
      </c>
      <c r="N470">
        <f t="shared" si="238"/>
        <v>294.9591836734694</v>
      </c>
      <c r="O470">
        <f t="shared" si="238"/>
        <v>316.3110204081633</v>
      </c>
      <c r="P470">
        <f t="shared" si="238"/>
        <v>321.45367346938775</v>
      </c>
      <c r="Q470">
        <f t="shared" si="238"/>
        <v>319.04285714285709</v>
      </c>
      <c r="R470">
        <f t="shared" si="238"/>
        <v>370.49387755102038</v>
      </c>
      <c r="S470">
        <f t="shared" si="238"/>
        <v>350.25224489795914</v>
      </c>
      <c r="T470">
        <f t="shared" si="238"/>
        <v>391.85142857142858</v>
      </c>
      <c r="U470">
        <f t="shared" si="238"/>
        <v>489.98938775510209</v>
      </c>
      <c r="V470">
        <f t="shared" si="238"/>
        <v>607.84551020408151</v>
      </c>
      <c r="W470">
        <f t="shared" si="238"/>
        <v>545.79795918367336</v>
      </c>
      <c r="Y470" s="6">
        <f t="shared" ref="Y470:Y500" si="239">SUM(D470:W470)</f>
        <v>8437.7365911989782</v>
      </c>
      <c r="Z470">
        <f t="shared" ref="Z470:Z496" si="240">SUMPRODUCT($D$502:$W$502,D470:W470)</f>
        <v>-2216.9796168804223</v>
      </c>
    </row>
    <row r="471" spans="1:26" x14ac:dyDescent="0.25">
      <c r="A471" t="s">
        <v>44</v>
      </c>
      <c r="D471">
        <f t="shared" ref="D471:W471" si="241">D39*D75</f>
        <v>633.40408163265295</v>
      </c>
      <c r="E471">
        <f t="shared" si="241"/>
        <v>516.63591836734702</v>
      </c>
      <c r="F471">
        <f t="shared" si="241"/>
        <v>497.25061224489798</v>
      </c>
      <c r="G471">
        <f t="shared" si="241"/>
        <v>398.64306122448988</v>
      </c>
      <c r="H471">
        <f t="shared" si="241"/>
        <v>434.40428571428572</v>
      </c>
      <c r="I471">
        <f t="shared" si="241"/>
        <v>347.81102040816324</v>
      </c>
      <c r="J471">
        <f t="shared" si="241"/>
        <v>162.68979591836737</v>
      </c>
      <c r="K471">
        <f t="shared" si="241"/>
        <v>212.02836734693878</v>
      </c>
      <c r="L471">
        <f t="shared" si="241"/>
        <v>211.3046875</v>
      </c>
      <c r="M471">
        <f t="shared" si="241"/>
        <v>263.16081632653055</v>
      </c>
      <c r="N471">
        <f t="shared" si="241"/>
        <v>311.31428571428575</v>
      </c>
      <c r="O471">
        <f t="shared" si="241"/>
        <v>300.32061224489809</v>
      </c>
      <c r="P471">
        <f t="shared" si="241"/>
        <v>203.87142857142857</v>
      </c>
      <c r="Q471">
        <f t="shared" si="241"/>
        <v>292.27428571428572</v>
      </c>
      <c r="R471">
        <f t="shared" si="241"/>
        <v>281.24897959183676</v>
      </c>
      <c r="S471">
        <f t="shared" si="241"/>
        <v>307.70653061224493</v>
      </c>
      <c r="T471">
        <f t="shared" si="241"/>
        <v>435.24244897959181</v>
      </c>
      <c r="U471">
        <f t="shared" si="241"/>
        <v>340.04591836734693</v>
      </c>
      <c r="V471">
        <f t="shared" si="241"/>
        <v>575.34857142857152</v>
      </c>
      <c r="W471">
        <f t="shared" si="241"/>
        <v>595.26367346938787</v>
      </c>
      <c r="Y471" s="6">
        <f t="shared" si="239"/>
        <v>7319.9693813775511</v>
      </c>
      <c r="Z471">
        <f t="shared" si="240"/>
        <v>-1886.4689232343599</v>
      </c>
    </row>
    <row r="472" spans="1:26" x14ac:dyDescent="0.25">
      <c r="A472" t="s">
        <v>45</v>
      </c>
      <c r="D472">
        <f t="shared" ref="D472:W472" si="242">D40*D76</f>
        <v>635.60510204081572</v>
      </c>
      <c r="E472">
        <f t="shared" si="242"/>
        <v>509.44204081632648</v>
      </c>
      <c r="F472">
        <f t="shared" si="242"/>
        <v>204.45102040816329</v>
      </c>
      <c r="G472">
        <f t="shared" si="242"/>
        <v>423.94979591836739</v>
      </c>
      <c r="H472">
        <f t="shared" si="242"/>
        <v>510.12</v>
      </c>
      <c r="I472">
        <f t="shared" si="242"/>
        <v>395.32224489795919</v>
      </c>
      <c r="J472">
        <f t="shared" si="242"/>
        <v>363.14816326530621</v>
      </c>
      <c r="K472">
        <f t="shared" si="242"/>
        <v>333.13591836734685</v>
      </c>
      <c r="L472">
        <f t="shared" si="242"/>
        <v>342.87687500000004</v>
      </c>
      <c r="M472">
        <f t="shared" si="242"/>
        <v>361.15918367346939</v>
      </c>
      <c r="N472">
        <f t="shared" si="242"/>
        <v>409.28938775510204</v>
      </c>
      <c r="O472">
        <f t="shared" si="242"/>
        <v>347.79755102040821</v>
      </c>
      <c r="P472">
        <f t="shared" si="242"/>
        <v>240.40979591836734</v>
      </c>
      <c r="Q472">
        <f t="shared" si="242"/>
        <v>405.28326530612236</v>
      </c>
      <c r="R472">
        <f t="shared" si="242"/>
        <v>403.9285714285715</v>
      </c>
      <c r="S472">
        <f t="shared" si="242"/>
        <v>438.555306122449</v>
      </c>
      <c r="T472">
        <f t="shared" si="242"/>
        <v>488.76244897959168</v>
      </c>
      <c r="U472">
        <f t="shared" si="242"/>
        <v>485.22040816326529</v>
      </c>
      <c r="V472">
        <f t="shared" si="242"/>
        <v>615.74693877551033</v>
      </c>
      <c r="W472">
        <f t="shared" si="242"/>
        <v>682.41571428571422</v>
      </c>
      <c r="Y472" s="6">
        <f t="shared" si="239"/>
        <v>8596.6197321428554</v>
      </c>
      <c r="Z472">
        <f t="shared" si="240"/>
        <v>-2328.3746428223349</v>
      </c>
    </row>
    <row r="473" spans="1:26" x14ac:dyDescent="0.25">
      <c r="A473" t="s">
        <v>46</v>
      </c>
      <c r="D473">
        <f t="shared" ref="D473:W473" si="243">D41*D77</f>
        <v>548.9795918367347</v>
      </c>
      <c r="E473">
        <f t="shared" si="243"/>
        <v>489.66142857142853</v>
      </c>
      <c r="F473">
        <f t="shared" si="243"/>
        <v>432.30959183673485</v>
      </c>
      <c r="G473">
        <f t="shared" si="243"/>
        <v>396.68571428571431</v>
      </c>
      <c r="H473">
        <f t="shared" si="243"/>
        <v>302.60326530612247</v>
      </c>
      <c r="I473">
        <f t="shared" si="243"/>
        <v>318.56</v>
      </c>
      <c r="J473">
        <f t="shared" si="243"/>
        <v>396.23918367346931</v>
      </c>
      <c r="K473">
        <f t="shared" si="243"/>
        <v>380.55673469387756</v>
      </c>
      <c r="L473">
        <f t="shared" si="243"/>
        <v>281.09812500000004</v>
      </c>
      <c r="M473">
        <f t="shared" si="243"/>
        <v>268.55142857142857</v>
      </c>
      <c r="N473">
        <f t="shared" si="243"/>
        <v>130.35000000000002</v>
      </c>
      <c r="O473">
        <f t="shared" si="243"/>
        <v>207.28632653061229</v>
      </c>
      <c r="P473">
        <f t="shared" si="243"/>
        <v>208.7828571428571</v>
      </c>
      <c r="Q473">
        <f t="shared" si="243"/>
        <v>272.7918367346939</v>
      </c>
      <c r="R473">
        <f t="shared" si="243"/>
        <v>255.64897959183671</v>
      </c>
      <c r="S473">
        <f t="shared" si="243"/>
        <v>311.20408163265301</v>
      </c>
      <c r="T473">
        <f t="shared" si="243"/>
        <v>300.70571428571429</v>
      </c>
      <c r="U473">
        <f t="shared" si="243"/>
        <v>335.48877551020405</v>
      </c>
      <c r="V473">
        <f t="shared" si="243"/>
        <v>502.33306122448977</v>
      </c>
      <c r="W473">
        <f t="shared" si="243"/>
        <v>579.92755102040826</v>
      </c>
      <c r="Y473" s="6">
        <f t="shared" si="239"/>
        <v>6919.7642474489785</v>
      </c>
      <c r="Z473">
        <f t="shared" si="240"/>
        <v>-1769.9409929845065</v>
      </c>
    </row>
    <row r="474" spans="1:26" x14ac:dyDescent="0.25">
      <c r="A474" t="s">
        <v>47</v>
      </c>
      <c r="D474">
        <f t="shared" ref="D474:W474" si="244">D42*D78</f>
        <v>560.14081632653063</v>
      </c>
      <c r="E474">
        <f t="shared" si="244"/>
        <v>470.27306122448971</v>
      </c>
      <c r="F474">
        <f t="shared" si="244"/>
        <v>498.33959183673466</v>
      </c>
      <c r="G474">
        <f t="shared" si="244"/>
        <v>508.9444897959184</v>
      </c>
      <c r="H474">
        <f t="shared" si="244"/>
        <v>451.03326530612247</v>
      </c>
      <c r="I474">
        <f t="shared" si="244"/>
        <v>338.47673469387757</v>
      </c>
      <c r="J474">
        <f t="shared" si="244"/>
        <v>343.45816326530615</v>
      </c>
      <c r="K474">
        <f t="shared" si="244"/>
        <v>281.0971428571429</v>
      </c>
      <c r="L474">
        <f t="shared" si="244"/>
        <v>164.42890624999998</v>
      </c>
      <c r="M474">
        <f t="shared" si="244"/>
        <v>247.37775510204088</v>
      </c>
      <c r="N474">
        <f t="shared" si="244"/>
        <v>248.94428571428577</v>
      </c>
      <c r="O474">
        <f t="shared" si="244"/>
        <v>297.12244897959187</v>
      </c>
      <c r="P474">
        <f t="shared" si="244"/>
        <v>340.03469387755104</v>
      </c>
      <c r="Q474">
        <f t="shared" si="244"/>
        <v>287.62122448979596</v>
      </c>
      <c r="R474">
        <f t="shared" si="244"/>
        <v>467.19877551020397</v>
      </c>
      <c r="S474">
        <f t="shared" si="244"/>
        <v>349.22897959183678</v>
      </c>
      <c r="T474">
        <f t="shared" si="244"/>
        <v>299.20000000000005</v>
      </c>
      <c r="U474">
        <f t="shared" si="244"/>
        <v>304.97734693877544</v>
      </c>
      <c r="V474">
        <f t="shared" si="244"/>
        <v>395.35714285714289</v>
      </c>
      <c r="W474">
        <f t="shared" si="244"/>
        <v>547.83836734693887</v>
      </c>
      <c r="Y474" s="6">
        <f t="shared" si="239"/>
        <v>7401.0931919642862</v>
      </c>
      <c r="Z474">
        <f t="shared" si="240"/>
        <v>-1867.4744456750821</v>
      </c>
    </row>
    <row r="475" spans="1:26" x14ac:dyDescent="0.25">
      <c r="A475" t="s">
        <v>48</v>
      </c>
      <c r="D475">
        <f t="shared" ref="D475:W475" si="245">D43*D79</f>
        <v>560.28000000000009</v>
      </c>
      <c r="E475">
        <f t="shared" si="245"/>
        <v>448.57714285714297</v>
      </c>
      <c r="F475">
        <f t="shared" si="245"/>
        <v>437.24408163265321</v>
      </c>
      <c r="G475">
        <f t="shared" si="245"/>
        <v>530.00673469387755</v>
      </c>
      <c r="H475">
        <f t="shared" si="245"/>
        <v>724.01020408163265</v>
      </c>
      <c r="I475">
        <f t="shared" si="245"/>
        <v>382.63408163265302</v>
      </c>
      <c r="J475">
        <f t="shared" si="245"/>
        <v>291.52979591836743</v>
      </c>
      <c r="K475">
        <f t="shared" si="245"/>
        <v>301.00836734693877</v>
      </c>
      <c r="L475">
        <f t="shared" si="245"/>
        <v>220.82062500000001</v>
      </c>
      <c r="M475">
        <f t="shared" si="245"/>
        <v>123.27918367346942</v>
      </c>
      <c r="N475">
        <f t="shared" si="245"/>
        <v>157.80489795918368</v>
      </c>
      <c r="O475">
        <f t="shared" si="245"/>
        <v>151.86612244897961</v>
      </c>
      <c r="P475">
        <f t="shared" si="245"/>
        <v>335.09714285714284</v>
      </c>
      <c r="Q475">
        <f t="shared" si="245"/>
        <v>367.60693877551029</v>
      </c>
      <c r="R475">
        <f t="shared" si="245"/>
        <v>244.41632653061231</v>
      </c>
      <c r="S475">
        <f t="shared" si="245"/>
        <v>419.32285714285717</v>
      </c>
      <c r="T475">
        <f t="shared" si="245"/>
        <v>216.98142857142855</v>
      </c>
      <c r="U475">
        <f t="shared" si="245"/>
        <v>356.29653061224496</v>
      </c>
      <c r="V475">
        <f t="shared" si="245"/>
        <v>398.94979591836727</v>
      </c>
      <c r="W475">
        <f t="shared" si="245"/>
        <v>411.54285714285703</v>
      </c>
      <c r="Y475" s="6">
        <f t="shared" si="239"/>
        <v>7079.2751147959198</v>
      </c>
      <c r="Z475">
        <f t="shared" si="240"/>
        <v>-1869.4545112738519</v>
      </c>
    </row>
    <row r="476" spans="1:26" x14ac:dyDescent="0.25">
      <c r="A476" t="s">
        <v>49</v>
      </c>
      <c r="D476">
        <f t="shared" ref="D476:W476" si="246">D44*D80</f>
        <v>532.66734693877549</v>
      </c>
      <c r="E476">
        <f t="shared" si="246"/>
        <v>625.17061224489805</v>
      </c>
      <c r="F476">
        <f t="shared" si="246"/>
        <v>533.7375510204082</v>
      </c>
      <c r="G476">
        <f t="shared" si="246"/>
        <v>470.61836734693878</v>
      </c>
      <c r="H476">
        <f t="shared" si="246"/>
        <v>448.44979591836727</v>
      </c>
      <c r="I476">
        <f t="shared" si="246"/>
        <v>430.08489795918371</v>
      </c>
      <c r="J476">
        <f t="shared" si="246"/>
        <v>357.49959183673474</v>
      </c>
      <c r="K476">
        <f t="shared" si="246"/>
        <v>291.76163265306116</v>
      </c>
      <c r="L476">
        <f t="shared" si="246"/>
        <v>358.3836734693877</v>
      </c>
      <c r="M476">
        <f t="shared" si="246"/>
        <v>147.7114285714286</v>
      </c>
      <c r="N476">
        <f t="shared" si="246"/>
        <v>148.91326530612247</v>
      </c>
      <c r="O476">
        <f t="shared" si="246"/>
        <v>203.05632653061227</v>
      </c>
      <c r="P476">
        <f t="shared" si="246"/>
        <v>357.47918367346944</v>
      </c>
      <c r="Q476">
        <f t="shared" si="246"/>
        <v>346.30612244897958</v>
      </c>
      <c r="R476">
        <f t="shared" si="246"/>
        <v>306.99142857142863</v>
      </c>
      <c r="S476">
        <f t="shared" si="246"/>
        <v>214.50183673469385</v>
      </c>
      <c r="T476">
        <f t="shared" si="246"/>
        <v>263.87142857142862</v>
      </c>
      <c r="U476">
        <f t="shared" si="246"/>
        <v>375.96428571428567</v>
      </c>
      <c r="V476">
        <f t="shared" si="246"/>
        <v>376.3644897959183</v>
      </c>
      <c r="W476">
        <f t="shared" si="246"/>
        <v>506.32857142857154</v>
      </c>
      <c r="Y476" s="6">
        <f t="shared" si="239"/>
        <v>7295.8618367346926</v>
      </c>
      <c r="Z476">
        <f t="shared" si="240"/>
        <v>-1820.0200184100561</v>
      </c>
    </row>
    <row r="477" spans="1:26" x14ac:dyDescent="0.25">
      <c r="A477" t="s">
        <v>50</v>
      </c>
      <c r="D477">
        <f t="shared" ref="D477:W477" si="247">D45*D81</f>
        <v>513.01102040816329</v>
      </c>
      <c r="E477">
        <f t="shared" si="247"/>
        <v>450.11489795918379</v>
      </c>
      <c r="F477">
        <f t="shared" si="247"/>
        <v>494.38040816326526</v>
      </c>
      <c r="G477">
        <f t="shared" si="247"/>
        <v>411.84489795918364</v>
      </c>
      <c r="H477">
        <f t="shared" si="247"/>
        <v>341.31367346938782</v>
      </c>
      <c r="I477">
        <f t="shared" si="247"/>
        <v>392.96000000000004</v>
      </c>
      <c r="J477">
        <f t="shared" si="247"/>
        <v>305.55551020408166</v>
      </c>
      <c r="K477">
        <f t="shared" si="247"/>
        <v>345.08387755102041</v>
      </c>
      <c r="L477">
        <f t="shared" si="247"/>
        <v>365.95499999999993</v>
      </c>
      <c r="M477">
        <f t="shared" si="247"/>
        <v>175.66693877551018</v>
      </c>
      <c r="N477">
        <f t="shared" si="247"/>
        <v>299.82</v>
      </c>
      <c r="O477">
        <f t="shared" si="247"/>
        <v>267.53551020408162</v>
      </c>
      <c r="P477">
        <f t="shared" si="247"/>
        <v>239.12571428571428</v>
      </c>
      <c r="Q477">
        <f t="shared" si="247"/>
        <v>278.324693877551</v>
      </c>
      <c r="R477">
        <f t="shared" si="247"/>
        <v>331.32734693877546</v>
      </c>
      <c r="S477">
        <f t="shared" si="247"/>
        <v>462.29061224489789</v>
      </c>
      <c r="T477">
        <f t="shared" si="247"/>
        <v>306.7918367346939</v>
      </c>
      <c r="U477">
        <f t="shared" si="247"/>
        <v>374.8122448979592</v>
      </c>
      <c r="V477">
        <f t="shared" si="247"/>
        <v>555.65714285714307</v>
      </c>
      <c r="W477">
        <f t="shared" si="247"/>
        <v>567.46530612244896</v>
      </c>
      <c r="Y477" s="6">
        <f t="shared" si="239"/>
        <v>7479.0366326530602</v>
      </c>
      <c r="Z477">
        <f t="shared" si="240"/>
        <v>-1985.6686576003615</v>
      </c>
    </row>
    <row r="478" spans="1:26" x14ac:dyDescent="0.25">
      <c r="A478" t="s">
        <v>51</v>
      </c>
      <c r="D478">
        <f t="shared" ref="D478:W478" si="248">D46*D82</f>
        <v>598.64285714285734</v>
      </c>
      <c r="E478">
        <f t="shared" si="248"/>
        <v>559.43734693877559</v>
      </c>
      <c r="F478">
        <f t="shared" si="248"/>
        <v>594.25714285714309</v>
      </c>
      <c r="G478">
        <f t="shared" si="248"/>
        <v>498.60102040816327</v>
      </c>
      <c r="H478">
        <f t="shared" si="248"/>
        <v>384.84857142857146</v>
      </c>
      <c r="I478">
        <f t="shared" si="248"/>
        <v>329.04591836734693</v>
      </c>
      <c r="J478">
        <f t="shared" si="248"/>
        <v>300.6289795918367</v>
      </c>
      <c r="K478">
        <f t="shared" si="248"/>
        <v>262.94387755102042</v>
      </c>
      <c r="L478">
        <f t="shared" si="248"/>
        <v>244.85109375000002</v>
      </c>
      <c r="M478">
        <f t="shared" si="248"/>
        <v>284.42612244897958</v>
      </c>
      <c r="N478">
        <f t="shared" si="248"/>
        <v>343.61510204081628</v>
      </c>
      <c r="O478">
        <f t="shared" si="248"/>
        <v>240.57000000000002</v>
      </c>
      <c r="P478">
        <f t="shared" si="248"/>
        <v>370.17857142857144</v>
      </c>
      <c r="Q478">
        <f t="shared" si="248"/>
        <v>202.23306122448977</v>
      </c>
      <c r="R478">
        <f t="shared" si="248"/>
        <v>274.1583673469388</v>
      </c>
      <c r="S478">
        <f t="shared" si="248"/>
        <v>325.85428571428571</v>
      </c>
      <c r="T478">
        <f t="shared" si="248"/>
        <v>280.20571428571424</v>
      </c>
      <c r="U478">
        <f t="shared" si="248"/>
        <v>423.42693877551022</v>
      </c>
      <c r="V478">
        <f t="shared" si="248"/>
        <v>459.57061224489803</v>
      </c>
      <c r="W478">
        <f t="shared" si="248"/>
        <v>660.11428571428576</v>
      </c>
      <c r="Y478" s="6">
        <f t="shared" si="239"/>
        <v>7637.6098692602045</v>
      </c>
      <c r="Z478">
        <f t="shared" si="240"/>
        <v>-1942.9391372186767</v>
      </c>
    </row>
    <row r="479" spans="1:26" x14ac:dyDescent="0.25">
      <c r="A479" t="s">
        <v>52</v>
      </c>
      <c r="D479">
        <f t="shared" ref="D479:W479" si="249">D47*D83</f>
        <v>557.70693877551025</v>
      </c>
      <c r="E479">
        <f t="shared" si="249"/>
        <v>505.46020408163275</v>
      </c>
      <c r="F479">
        <f t="shared" si="249"/>
        <v>400.97755102040816</v>
      </c>
      <c r="G479">
        <f t="shared" si="249"/>
        <v>259.91938775510198</v>
      </c>
      <c r="H479">
        <f t="shared" si="249"/>
        <v>253.20489795918365</v>
      </c>
      <c r="I479">
        <f t="shared" si="249"/>
        <v>404.42469387755096</v>
      </c>
      <c r="J479">
        <f t="shared" si="249"/>
        <v>179.11836734693875</v>
      </c>
      <c r="K479">
        <f t="shared" si="249"/>
        <v>240.76877551020399</v>
      </c>
      <c r="L479">
        <f t="shared" si="249"/>
        <v>238.03078125000005</v>
      </c>
      <c r="M479">
        <f t="shared" si="249"/>
        <v>236.75142857142856</v>
      </c>
      <c r="N479">
        <f t="shared" si="249"/>
        <v>175.61632653061227</v>
      </c>
      <c r="O479">
        <f t="shared" si="249"/>
        <v>190.28571428571428</v>
      </c>
      <c r="P479">
        <f t="shared" si="249"/>
        <v>263.45571428571424</v>
      </c>
      <c r="Q479">
        <f t="shared" si="249"/>
        <v>304.79816326530619</v>
      </c>
      <c r="R479">
        <f t="shared" si="249"/>
        <v>357.00408163265314</v>
      </c>
      <c r="S479">
        <f t="shared" si="249"/>
        <v>301.8677551020408</v>
      </c>
      <c r="T479">
        <f t="shared" si="249"/>
        <v>281.03673469387752</v>
      </c>
      <c r="U479">
        <f t="shared" si="249"/>
        <v>385.61591836734698</v>
      </c>
      <c r="V479">
        <f t="shared" si="249"/>
        <v>377.51326530612249</v>
      </c>
      <c r="W479">
        <f t="shared" si="249"/>
        <v>500.05999999999995</v>
      </c>
      <c r="Y479" s="6">
        <f t="shared" si="239"/>
        <v>6413.616699617347</v>
      </c>
      <c r="Z479">
        <f t="shared" si="240"/>
        <v>-1559.9648304724426</v>
      </c>
    </row>
    <row r="480" spans="1:26" x14ac:dyDescent="0.25">
      <c r="A480" t="s">
        <v>53</v>
      </c>
      <c r="D480">
        <f t="shared" ref="D480:W480" si="250">D48*D84</f>
        <v>602.01551020408158</v>
      </c>
      <c r="E480">
        <f t="shared" si="250"/>
        <v>426.45816326530615</v>
      </c>
      <c r="F480">
        <f t="shared" si="250"/>
        <v>387.22040816326518</v>
      </c>
      <c r="G480">
        <f t="shared" si="250"/>
        <v>424.49346938775511</v>
      </c>
      <c r="H480">
        <f t="shared" si="250"/>
        <v>373.16285714285715</v>
      </c>
      <c r="I480">
        <f t="shared" si="250"/>
        <v>315.48469387755102</v>
      </c>
      <c r="J480">
        <f t="shared" si="250"/>
        <v>338.04979591836735</v>
      </c>
      <c r="K480">
        <f t="shared" si="250"/>
        <v>353.79999999999995</v>
      </c>
      <c r="L480">
        <f t="shared" si="250"/>
        <v>340.56</v>
      </c>
      <c r="M480">
        <f t="shared" si="250"/>
        <v>295.02836734693875</v>
      </c>
      <c r="N480">
        <f t="shared" si="250"/>
        <v>245.55367346938777</v>
      </c>
      <c r="O480">
        <f t="shared" si="250"/>
        <v>209.73755102040815</v>
      </c>
      <c r="P480">
        <f t="shared" si="250"/>
        <v>331.37142857142845</v>
      </c>
      <c r="Q480">
        <f t="shared" si="250"/>
        <v>241.65673469387758</v>
      </c>
      <c r="R480">
        <f t="shared" si="250"/>
        <v>282.61551020408172</v>
      </c>
      <c r="S480">
        <f t="shared" si="250"/>
        <v>340.22122448979587</v>
      </c>
      <c r="T480">
        <f t="shared" si="250"/>
        <v>472.6989795918368</v>
      </c>
      <c r="U480">
        <f t="shared" si="250"/>
        <v>435.51183673469376</v>
      </c>
      <c r="V480">
        <f t="shared" si="250"/>
        <v>601.20612244897961</v>
      </c>
      <c r="W480">
        <f t="shared" si="250"/>
        <v>688.20244897959185</v>
      </c>
      <c r="Y480" s="6">
        <f t="shared" si="239"/>
        <v>7705.0487755102049</v>
      </c>
      <c r="Z480">
        <f t="shared" si="240"/>
        <v>-2045.812936558347</v>
      </c>
    </row>
    <row r="481" spans="1:26" x14ac:dyDescent="0.25">
      <c r="A481" t="s">
        <v>54</v>
      </c>
      <c r="D481">
        <f t="shared" ref="D481:W481" si="251">D49*D85</f>
        <v>524.78571428571422</v>
      </c>
      <c r="E481">
        <f t="shared" si="251"/>
        <v>479.52</v>
      </c>
      <c r="F481">
        <f t="shared" si="251"/>
        <v>478.41020408163263</v>
      </c>
      <c r="G481">
        <f t="shared" si="251"/>
        <v>363.64408163265296</v>
      </c>
      <c r="H481">
        <f t="shared" si="251"/>
        <v>324.08979591836732</v>
      </c>
      <c r="I481">
        <f t="shared" si="251"/>
        <v>344.09571428571422</v>
      </c>
      <c r="J481">
        <f t="shared" si="251"/>
        <v>191.86040816326533</v>
      </c>
      <c r="K481">
        <f t="shared" si="251"/>
        <v>284.78571428571428</v>
      </c>
      <c r="L481">
        <f t="shared" si="251"/>
        <v>290.63625000000002</v>
      </c>
      <c r="M481">
        <f t="shared" si="251"/>
        <v>247.88265306122446</v>
      </c>
      <c r="N481">
        <f t="shared" si="251"/>
        <v>229.52959183673468</v>
      </c>
      <c r="O481">
        <f t="shared" si="251"/>
        <v>182.52673469387756</v>
      </c>
      <c r="P481">
        <f t="shared" si="251"/>
        <v>215.76000000000008</v>
      </c>
      <c r="Q481">
        <f t="shared" si="251"/>
        <v>266.72816326530608</v>
      </c>
      <c r="R481">
        <f t="shared" si="251"/>
        <v>186.39857142857139</v>
      </c>
      <c r="S481">
        <f t="shared" si="251"/>
        <v>299.52000000000004</v>
      </c>
      <c r="T481">
        <f t="shared" si="251"/>
        <v>315.09183673469386</v>
      </c>
      <c r="U481">
        <f t="shared" si="251"/>
        <v>518.63632653061222</v>
      </c>
      <c r="V481">
        <f t="shared" si="251"/>
        <v>496.91265306122455</v>
      </c>
      <c r="W481">
        <f t="shared" si="251"/>
        <v>675.78612244897954</v>
      </c>
      <c r="Y481" s="6">
        <f t="shared" si="239"/>
        <v>6916.6005357142867</v>
      </c>
      <c r="Z481">
        <f t="shared" si="240"/>
        <v>-1759.2219606654403</v>
      </c>
    </row>
    <row r="482" spans="1:26" x14ac:dyDescent="0.25">
      <c r="A482" t="s">
        <v>55</v>
      </c>
      <c r="D482">
        <f t="shared" ref="D482:W482" si="252">D50*D86</f>
        <v>599.22612244897948</v>
      </c>
      <c r="E482">
        <f t="shared" si="252"/>
        <v>623.95693877551025</v>
      </c>
      <c r="F482">
        <f t="shared" si="252"/>
        <v>511.00020408163266</v>
      </c>
      <c r="G482">
        <f t="shared" si="252"/>
        <v>517.63979591836733</v>
      </c>
      <c r="H482">
        <f t="shared" si="252"/>
        <v>365.45367346938781</v>
      </c>
      <c r="I482">
        <f t="shared" si="252"/>
        <v>359.31081632653064</v>
      </c>
      <c r="J482">
        <f t="shared" si="252"/>
        <v>233.75693877551018</v>
      </c>
      <c r="K482">
        <f t="shared" si="252"/>
        <v>200.57142857142858</v>
      </c>
      <c r="L482">
        <f t="shared" si="252"/>
        <v>254.66640625000002</v>
      </c>
      <c r="M482">
        <f t="shared" si="252"/>
        <v>259.36326530612251</v>
      </c>
      <c r="N482">
        <f t="shared" si="252"/>
        <v>318.85714285714272</v>
      </c>
      <c r="O482">
        <f t="shared" si="252"/>
        <v>153.22285714285712</v>
      </c>
      <c r="P482">
        <f t="shared" si="252"/>
        <v>187.02836734693878</v>
      </c>
      <c r="Q482">
        <f t="shared" si="252"/>
        <v>338.63142857142856</v>
      </c>
      <c r="R482">
        <f t="shared" si="252"/>
        <v>282.77857142857141</v>
      </c>
      <c r="S482">
        <f t="shared" si="252"/>
        <v>375.97122448979587</v>
      </c>
      <c r="T482">
        <f t="shared" si="252"/>
        <v>298.0236734693878</v>
      </c>
      <c r="U482">
        <f t="shared" si="252"/>
        <v>329.45448979591839</v>
      </c>
      <c r="V482">
        <f t="shared" si="252"/>
        <v>476.51428571428568</v>
      </c>
      <c r="W482">
        <f t="shared" si="252"/>
        <v>494.9932653061224</v>
      </c>
      <c r="Y482" s="6">
        <f t="shared" si="239"/>
        <v>7180.4208960459173</v>
      </c>
      <c r="Z482">
        <f t="shared" si="240"/>
        <v>-1822.8817724397359</v>
      </c>
    </row>
    <row r="483" spans="1:26" x14ac:dyDescent="0.25">
      <c r="A483" t="s">
        <v>56</v>
      </c>
      <c r="D483">
        <f t="shared" ref="D483:W483" si="253">D51*D87</f>
        <v>665.93959183673462</v>
      </c>
      <c r="E483">
        <f t="shared" si="253"/>
        <v>469.0771428571428</v>
      </c>
      <c r="F483">
        <f t="shared" si="253"/>
        <v>440.03367346938774</v>
      </c>
      <c r="G483">
        <f t="shared" si="253"/>
        <v>382.73142857142852</v>
      </c>
      <c r="H483">
        <f t="shared" si="253"/>
        <v>329.38897959183674</v>
      </c>
      <c r="I483">
        <f t="shared" si="253"/>
        <v>321.56632653061223</v>
      </c>
      <c r="J483">
        <f t="shared" si="253"/>
        <v>253.30612244897964</v>
      </c>
      <c r="K483">
        <f t="shared" si="253"/>
        <v>287.76142857142861</v>
      </c>
      <c r="L483">
        <f t="shared" si="253"/>
        <v>266.46468749999997</v>
      </c>
      <c r="M483">
        <f t="shared" si="253"/>
        <v>258.9387755102041</v>
      </c>
      <c r="N483">
        <f t="shared" si="253"/>
        <v>178.35775510204081</v>
      </c>
      <c r="O483">
        <f t="shared" si="253"/>
        <v>281.26224489795919</v>
      </c>
      <c r="P483">
        <f t="shared" si="253"/>
        <v>268.16326530612247</v>
      </c>
      <c r="Q483">
        <f t="shared" si="253"/>
        <v>211.3016326530612</v>
      </c>
      <c r="R483">
        <f t="shared" si="253"/>
        <v>481.784081632653</v>
      </c>
      <c r="S483">
        <f t="shared" si="253"/>
        <v>507.98448979591836</v>
      </c>
      <c r="T483">
        <f t="shared" si="253"/>
        <v>458.70857142857142</v>
      </c>
      <c r="U483">
        <f t="shared" si="253"/>
        <v>726.55346938775494</v>
      </c>
      <c r="V483">
        <f t="shared" si="253"/>
        <v>329.63</v>
      </c>
      <c r="W483">
        <f t="shared" si="253"/>
        <v>485.43061224489804</v>
      </c>
      <c r="Y483" s="6">
        <f t="shared" si="239"/>
        <v>7604.3842793367348</v>
      </c>
      <c r="Z483">
        <f t="shared" si="240"/>
        <v>-1892.4074644664743</v>
      </c>
    </row>
    <row r="484" spans="1:26" x14ac:dyDescent="0.25">
      <c r="A484" t="s">
        <v>57</v>
      </c>
      <c r="D484">
        <f t="shared" ref="D484:W484" si="254">D52*D88</f>
        <v>603.58571428571429</v>
      </c>
      <c r="E484">
        <f t="shared" si="254"/>
        <v>540.93306122448973</v>
      </c>
      <c r="F484">
        <f t="shared" si="254"/>
        <v>493.55591836734686</v>
      </c>
      <c r="G484">
        <f t="shared" si="254"/>
        <v>423.98693877551023</v>
      </c>
      <c r="H484">
        <f t="shared" si="254"/>
        <v>356.18367346938766</v>
      </c>
      <c r="I484">
        <f t="shared" si="254"/>
        <v>329.57795918367339</v>
      </c>
      <c r="J484">
        <f t="shared" si="254"/>
        <v>253.11836734693875</v>
      </c>
      <c r="K484">
        <f t="shared" si="254"/>
        <v>279.91326530612241</v>
      </c>
      <c r="L484">
        <f t="shared" si="254"/>
        <v>247.89375000000004</v>
      </c>
      <c r="M484">
        <f t="shared" si="254"/>
        <v>299.28408163265311</v>
      </c>
      <c r="N484">
        <f t="shared" si="254"/>
        <v>291.96408163265306</v>
      </c>
      <c r="O484">
        <f t="shared" si="254"/>
        <v>240.77714285714288</v>
      </c>
      <c r="P484">
        <f t="shared" si="254"/>
        <v>348.30938775510202</v>
      </c>
      <c r="Q484">
        <f t="shared" si="254"/>
        <v>288.62448979591841</v>
      </c>
      <c r="R484">
        <f t="shared" si="254"/>
        <v>251.69346938775507</v>
      </c>
      <c r="S484">
        <f t="shared" si="254"/>
        <v>348.83999999999992</v>
      </c>
      <c r="T484">
        <f t="shared" si="254"/>
        <v>409.95510204081631</v>
      </c>
      <c r="U484">
        <f t="shared" si="254"/>
        <v>426.27510204081619</v>
      </c>
      <c r="V484">
        <f t="shared" si="254"/>
        <v>414.05428571428575</v>
      </c>
      <c r="W484">
        <f t="shared" si="254"/>
        <v>515.38775510204073</v>
      </c>
      <c r="Y484" s="6">
        <f t="shared" si="239"/>
        <v>7363.9135459183663</v>
      </c>
      <c r="Z484">
        <f t="shared" si="240"/>
        <v>-1884.3594563493486</v>
      </c>
    </row>
    <row r="485" spans="1:26" x14ac:dyDescent="0.25">
      <c r="A485" t="s">
        <v>58</v>
      </c>
      <c r="D485">
        <f t="shared" ref="D485:W485" si="255">D53*D89</f>
        <v>602.15999999999985</v>
      </c>
      <c r="E485">
        <f t="shared" si="255"/>
        <v>558.89693877551019</v>
      </c>
      <c r="F485">
        <f t="shared" si="255"/>
        <v>547.59285714285716</v>
      </c>
      <c r="G485">
        <f t="shared" si="255"/>
        <v>383.50000000000006</v>
      </c>
      <c r="H485">
        <f t="shared" si="255"/>
        <v>400.06979591836728</v>
      </c>
      <c r="I485">
        <f t="shared" si="255"/>
        <v>262.3665306122449</v>
      </c>
      <c r="J485">
        <f t="shared" si="255"/>
        <v>321.93591836734697</v>
      </c>
      <c r="K485">
        <f t="shared" si="255"/>
        <v>325.78448979591832</v>
      </c>
      <c r="L485">
        <f t="shared" si="255"/>
        <v>276.81687499999998</v>
      </c>
      <c r="M485">
        <f t="shared" si="255"/>
        <v>206.05204081632652</v>
      </c>
      <c r="N485">
        <f t="shared" si="255"/>
        <v>196.33959183673471</v>
      </c>
      <c r="O485">
        <f t="shared" si="255"/>
        <v>241.8795918367347</v>
      </c>
      <c r="P485">
        <f t="shared" si="255"/>
        <v>198.15224489795921</v>
      </c>
      <c r="Q485">
        <f t="shared" si="255"/>
        <v>291.25306122448978</v>
      </c>
      <c r="R485">
        <f t="shared" si="255"/>
        <v>218.38367346938776</v>
      </c>
      <c r="S485">
        <f t="shared" si="255"/>
        <v>335.55918367346942</v>
      </c>
      <c r="T485">
        <f t="shared" si="255"/>
        <v>446.91061224489795</v>
      </c>
      <c r="U485">
        <f t="shared" si="255"/>
        <v>499.10000000000008</v>
      </c>
      <c r="V485">
        <f t="shared" si="255"/>
        <v>430.44244897959197</v>
      </c>
      <c r="W485">
        <f t="shared" si="255"/>
        <v>645.67857142857144</v>
      </c>
      <c r="Y485" s="6">
        <f t="shared" si="239"/>
        <v>7388.8744260204094</v>
      </c>
      <c r="Z485">
        <f t="shared" si="240"/>
        <v>-1859.5444267208204</v>
      </c>
    </row>
    <row r="486" spans="1:26" x14ac:dyDescent="0.25">
      <c r="A486" t="s">
        <v>59</v>
      </c>
      <c r="D486">
        <f t="shared" ref="D486:W486" si="256">D54*D90</f>
        <v>672.8620408163265</v>
      </c>
      <c r="E486">
        <f t="shared" si="256"/>
        <v>490.0942857142856</v>
      </c>
      <c r="F486">
        <f t="shared" si="256"/>
        <v>444.22857142857134</v>
      </c>
      <c r="G486">
        <f t="shared" si="256"/>
        <v>513.4114285714287</v>
      </c>
      <c r="H486">
        <f t="shared" si="256"/>
        <v>339.02285714285716</v>
      </c>
      <c r="I486">
        <f t="shared" si="256"/>
        <v>347.14775510204089</v>
      </c>
      <c r="J486">
        <f t="shared" si="256"/>
        <v>392.04571428571427</v>
      </c>
      <c r="K486">
        <f t="shared" si="256"/>
        <v>328.08816326530609</v>
      </c>
      <c r="L486">
        <f t="shared" si="256"/>
        <v>186.63530864197523</v>
      </c>
      <c r="M486">
        <f t="shared" si="256"/>
        <v>266.34122448979593</v>
      </c>
      <c r="N486">
        <f t="shared" si="256"/>
        <v>280.99836734693878</v>
      </c>
      <c r="O486">
        <f t="shared" si="256"/>
        <v>243.16734693877552</v>
      </c>
      <c r="P486">
        <f t="shared" si="256"/>
        <v>206.02612244897961</v>
      </c>
      <c r="Q486">
        <f t="shared" si="256"/>
        <v>186.13265306122449</v>
      </c>
      <c r="R486">
        <f t="shared" si="256"/>
        <v>212.63285714285712</v>
      </c>
      <c r="S486">
        <f t="shared" si="256"/>
        <v>293.5248979591837</v>
      </c>
      <c r="T486">
        <f t="shared" si="256"/>
        <v>436.2193877551021</v>
      </c>
      <c r="U486">
        <f t="shared" si="256"/>
        <v>425.28979591836736</v>
      </c>
      <c r="V486">
        <f t="shared" si="256"/>
        <v>528.35591836734704</v>
      </c>
      <c r="W486">
        <f t="shared" si="256"/>
        <v>619.69428571428568</v>
      </c>
      <c r="Y486" s="6">
        <f t="shared" si="239"/>
        <v>7411.9189821113614</v>
      </c>
      <c r="Z486">
        <f t="shared" si="240"/>
        <v>-1958.7145970488461</v>
      </c>
    </row>
    <row r="487" spans="1:26" x14ac:dyDescent="0.25">
      <c r="A487" t="s">
        <v>60</v>
      </c>
      <c r="D487">
        <f t="shared" ref="D487:W487" si="257">D55*D91</f>
        <v>570.78591836734688</v>
      </c>
      <c r="E487">
        <f t="shared" si="257"/>
        <v>613.81551020408165</v>
      </c>
      <c r="F487">
        <f t="shared" si="257"/>
        <v>474.62142857142862</v>
      </c>
      <c r="G487">
        <f t="shared" si="257"/>
        <v>467.20816326530615</v>
      </c>
      <c r="H487">
        <f t="shared" si="257"/>
        <v>325.81714285714287</v>
      </c>
      <c r="I487">
        <f t="shared" si="257"/>
        <v>407.74979591836734</v>
      </c>
      <c r="J487">
        <f t="shared" si="257"/>
        <v>389.21469387755104</v>
      </c>
      <c r="K487">
        <f t="shared" si="257"/>
        <v>402.08408163265318</v>
      </c>
      <c r="L487">
        <f t="shared" si="257"/>
        <v>316.35609375000001</v>
      </c>
      <c r="M487">
        <f t="shared" si="257"/>
        <v>256.48897959183677</v>
      </c>
      <c r="N487">
        <f t="shared" si="257"/>
        <v>308</v>
      </c>
      <c r="O487">
        <f t="shared" si="257"/>
        <v>273.87918367346941</v>
      </c>
      <c r="P487">
        <f t="shared" si="257"/>
        <v>425.86734693877548</v>
      </c>
      <c r="Q487">
        <f t="shared" si="257"/>
        <v>346.49877551020404</v>
      </c>
      <c r="R487">
        <f t="shared" si="257"/>
        <v>354.97469387755098</v>
      </c>
      <c r="S487">
        <f t="shared" si="257"/>
        <v>429.57142857142861</v>
      </c>
      <c r="T487">
        <f t="shared" si="257"/>
        <v>432.37469387755101</v>
      </c>
      <c r="U487">
        <f t="shared" si="257"/>
        <v>576.01938775510223</v>
      </c>
      <c r="V487">
        <f t="shared" si="257"/>
        <v>449.76428571428568</v>
      </c>
      <c r="W487">
        <f t="shared" si="257"/>
        <v>582.80857142857133</v>
      </c>
      <c r="Y487" s="6">
        <f t="shared" si="239"/>
        <v>8403.9001753826524</v>
      </c>
      <c r="Z487">
        <f t="shared" si="240"/>
        <v>-2169.6895100852694</v>
      </c>
    </row>
    <row r="488" spans="1:26" x14ac:dyDescent="0.25">
      <c r="A488" t="s">
        <v>61</v>
      </c>
      <c r="D488">
        <f t="shared" ref="D488:W488" si="258">D56*D92</f>
        <v>587.19632653061217</v>
      </c>
      <c r="E488">
        <f t="shared" si="258"/>
        <v>584.16428571428571</v>
      </c>
      <c r="F488">
        <f t="shared" si="258"/>
        <v>486.92367346938778</v>
      </c>
      <c r="G488">
        <f t="shared" si="258"/>
        <v>433.01</v>
      </c>
      <c r="H488">
        <f t="shared" si="258"/>
        <v>352.8651020408164</v>
      </c>
      <c r="I488">
        <f t="shared" si="258"/>
        <v>402.78122448979599</v>
      </c>
      <c r="J488">
        <f t="shared" si="258"/>
        <v>359.95408163265307</v>
      </c>
      <c r="K488">
        <f t="shared" si="258"/>
        <v>269.07551020408164</v>
      </c>
      <c r="L488">
        <f t="shared" si="258"/>
        <v>149.680987654321</v>
      </c>
      <c r="M488">
        <f t="shared" si="258"/>
        <v>252.5718367346939</v>
      </c>
      <c r="N488">
        <f t="shared" si="258"/>
        <v>259.81061224489792</v>
      </c>
      <c r="O488">
        <f t="shared" si="258"/>
        <v>311.39877551020408</v>
      </c>
      <c r="P488">
        <f t="shared" si="258"/>
        <v>196.08877551020407</v>
      </c>
      <c r="Q488">
        <f t="shared" si="258"/>
        <v>204.43755102040814</v>
      </c>
      <c r="R488">
        <f t="shared" si="258"/>
        <v>246.76408163265307</v>
      </c>
      <c r="S488">
        <f t="shared" si="258"/>
        <v>355.26857142857142</v>
      </c>
      <c r="T488">
        <f t="shared" si="258"/>
        <v>428.62857142857149</v>
      </c>
      <c r="U488">
        <f t="shared" si="258"/>
        <v>452.38938775510195</v>
      </c>
      <c r="V488">
        <f t="shared" si="258"/>
        <v>529.17755102040826</v>
      </c>
      <c r="W488">
        <f t="shared" si="258"/>
        <v>689.17551020408143</v>
      </c>
      <c r="Y488" s="6">
        <f t="shared" si="239"/>
        <v>7551.3624162257493</v>
      </c>
      <c r="Z488">
        <f t="shared" si="240"/>
        <v>-1930.550575787835</v>
      </c>
    </row>
    <row r="489" spans="1:26" x14ac:dyDescent="0.25">
      <c r="A489" t="s">
        <v>62</v>
      </c>
      <c r="D489">
        <f t="shared" ref="D489:W489" si="259">D57*D93</f>
        <v>508.83918367346939</v>
      </c>
      <c r="E489">
        <f t="shared" si="259"/>
        <v>450.81632653061223</v>
      </c>
      <c r="F489">
        <f t="shared" si="259"/>
        <v>476.49142857142863</v>
      </c>
      <c r="G489">
        <f t="shared" si="259"/>
        <v>432.4016326530612</v>
      </c>
      <c r="H489">
        <f t="shared" si="259"/>
        <v>403.43510204081633</v>
      </c>
      <c r="I489">
        <f t="shared" si="259"/>
        <v>386.52734693877551</v>
      </c>
      <c r="J489">
        <f t="shared" si="259"/>
        <v>282.57142857142856</v>
      </c>
      <c r="K489">
        <f t="shared" si="259"/>
        <v>255.78367346938776</v>
      </c>
      <c r="L489">
        <f t="shared" si="259"/>
        <v>266.93812499999996</v>
      </c>
      <c r="M489">
        <f t="shared" si="259"/>
        <v>166.80897959183676</v>
      </c>
      <c r="N489">
        <f t="shared" si="259"/>
        <v>154.77714285714285</v>
      </c>
      <c r="O489">
        <f t="shared" si="259"/>
        <v>152.18612244897955</v>
      </c>
      <c r="P489">
        <f t="shared" si="259"/>
        <v>170.48653061224485</v>
      </c>
      <c r="Q489">
        <f t="shared" si="259"/>
        <v>192.60571428571433</v>
      </c>
      <c r="R489">
        <f t="shared" si="259"/>
        <v>370.55836734693884</v>
      </c>
      <c r="S489">
        <f t="shared" si="259"/>
        <v>314.37714285714281</v>
      </c>
      <c r="T489">
        <f t="shared" si="259"/>
        <v>387.91836734693806</v>
      </c>
      <c r="U489">
        <f t="shared" si="259"/>
        <v>517.72897959183661</v>
      </c>
      <c r="V489">
        <f t="shared" si="259"/>
        <v>434.70204081632659</v>
      </c>
      <c r="W489">
        <f t="shared" si="259"/>
        <v>473.97714285714295</v>
      </c>
      <c r="Y489" s="6">
        <f t="shared" si="239"/>
        <v>6799.9307780612235</v>
      </c>
      <c r="Z489">
        <f t="shared" si="240"/>
        <v>-1728.334203559089</v>
      </c>
    </row>
    <row r="490" spans="1:26" x14ac:dyDescent="0.25">
      <c r="A490" t="s">
        <v>63</v>
      </c>
      <c r="D490">
        <f t="shared" ref="D490:W490" si="260">D58*D94</f>
        <v>533.28</v>
      </c>
      <c r="E490">
        <f t="shared" si="260"/>
        <v>485.07428571428579</v>
      </c>
      <c r="F490">
        <f t="shared" si="260"/>
        <v>450.98857142857139</v>
      </c>
      <c r="G490">
        <f t="shared" si="260"/>
        <v>444.06530612244893</v>
      </c>
      <c r="H490">
        <f t="shared" si="260"/>
        <v>398.9273469387756</v>
      </c>
      <c r="I490">
        <f t="shared" si="260"/>
        <v>304.0938775510204</v>
      </c>
      <c r="J490">
        <f t="shared" si="260"/>
        <v>250.56326530612247</v>
      </c>
      <c r="K490">
        <f t="shared" si="260"/>
        <v>244.28408163265306</v>
      </c>
      <c r="L490">
        <f t="shared" si="260"/>
        <v>246.60312499999998</v>
      </c>
      <c r="M490">
        <f t="shared" si="260"/>
        <v>262.02612244897961</v>
      </c>
      <c r="N490">
        <f t="shared" si="260"/>
        <v>243.81877551020406</v>
      </c>
      <c r="O490">
        <f t="shared" si="260"/>
        <v>334.910612244898</v>
      </c>
      <c r="P490">
        <f t="shared" si="260"/>
        <v>201.40000000000003</v>
      </c>
      <c r="Q490">
        <f t="shared" si="260"/>
        <v>394.92571428571426</v>
      </c>
      <c r="R490">
        <f t="shared" si="260"/>
        <v>404.53714285714284</v>
      </c>
      <c r="S490">
        <f t="shared" si="260"/>
        <v>450.55346938775506</v>
      </c>
      <c r="T490">
        <f t="shared" si="260"/>
        <v>515.5885714285713</v>
      </c>
      <c r="U490">
        <f t="shared" si="260"/>
        <v>531.18693877551004</v>
      </c>
      <c r="V490">
        <f t="shared" si="260"/>
        <v>504.51428571428573</v>
      </c>
      <c r="W490">
        <f t="shared" si="260"/>
        <v>538.29061224489794</v>
      </c>
      <c r="Y490" s="6">
        <f t="shared" si="239"/>
        <v>7739.6321045918348</v>
      </c>
      <c r="Z490">
        <f t="shared" si="240"/>
        <v>-1982.9129347393703</v>
      </c>
    </row>
    <row r="491" spans="1:26" x14ac:dyDescent="0.25">
      <c r="A491" t="s">
        <v>64</v>
      </c>
      <c r="D491">
        <f t="shared" ref="D491:W491" si="261">D59*D95</f>
        <v>627.76775510204084</v>
      </c>
      <c r="E491">
        <f t="shared" si="261"/>
        <v>581.64653061224487</v>
      </c>
      <c r="F491">
        <f t="shared" si="261"/>
        <v>555.62755102040819</v>
      </c>
      <c r="G491">
        <f t="shared" si="261"/>
        <v>485.36081632653054</v>
      </c>
      <c r="H491">
        <f t="shared" si="261"/>
        <v>380.40122448979588</v>
      </c>
      <c r="I491">
        <f t="shared" si="261"/>
        <v>406.42163265306118</v>
      </c>
      <c r="J491">
        <f t="shared" si="261"/>
        <v>306.89999999999998</v>
      </c>
      <c r="K491">
        <f t="shared" si="261"/>
        <v>355.29795918367347</v>
      </c>
      <c r="L491">
        <f t="shared" si="261"/>
        <v>351.1795918367348</v>
      </c>
      <c r="M491">
        <f t="shared" si="261"/>
        <v>273.21428571428572</v>
      </c>
      <c r="N491">
        <f t="shared" si="261"/>
        <v>227.54285714285717</v>
      </c>
      <c r="O491">
        <f t="shared" si="261"/>
        <v>282.44244897959186</v>
      </c>
      <c r="P491">
        <f t="shared" si="261"/>
        <v>307.54693877551023</v>
      </c>
      <c r="Q491">
        <f t="shared" si="261"/>
        <v>438.77551020408168</v>
      </c>
      <c r="R491">
        <f t="shared" si="261"/>
        <v>435.2489795918367</v>
      </c>
      <c r="S491">
        <f t="shared" si="261"/>
        <v>345.59999999999991</v>
      </c>
      <c r="T491">
        <f t="shared" si="261"/>
        <v>522.53142857142871</v>
      </c>
      <c r="U491">
        <f t="shared" si="261"/>
        <v>437.45714285714286</v>
      </c>
      <c r="V491">
        <f t="shared" si="261"/>
        <v>501.87102040816325</v>
      </c>
      <c r="W491">
        <f t="shared" si="261"/>
        <v>586.38367346938787</v>
      </c>
      <c r="Y491" s="6">
        <f t="shared" si="239"/>
        <v>8409.2173469387762</v>
      </c>
      <c r="Z491">
        <f t="shared" si="240"/>
        <v>-2120.2911702218289</v>
      </c>
    </row>
    <row r="492" spans="1:26" x14ac:dyDescent="0.25">
      <c r="A492" t="s">
        <v>65</v>
      </c>
      <c r="D492">
        <f t="shared" ref="D492:W492" si="262">D60*D96</f>
        <v>588.96</v>
      </c>
      <c r="E492">
        <f t="shared" si="262"/>
        <v>581.00367346938788</v>
      </c>
      <c r="F492">
        <f t="shared" si="262"/>
        <v>475.02857142857141</v>
      </c>
      <c r="G492">
        <f t="shared" si="262"/>
        <v>365.65714285714284</v>
      </c>
      <c r="H492">
        <f t="shared" si="262"/>
        <v>380.85714285714289</v>
      </c>
      <c r="I492">
        <f t="shared" si="262"/>
        <v>329.30857142857144</v>
      </c>
      <c r="J492">
        <f t="shared" si="262"/>
        <v>287.46040816326541</v>
      </c>
      <c r="K492">
        <f t="shared" si="262"/>
        <v>293.8097959183674</v>
      </c>
      <c r="L492">
        <f t="shared" si="262"/>
        <v>302.44375000000002</v>
      </c>
      <c r="M492">
        <f t="shared" si="262"/>
        <v>263.04489795918369</v>
      </c>
      <c r="N492">
        <f t="shared" si="262"/>
        <v>286.94285714285712</v>
      </c>
      <c r="O492">
        <f t="shared" si="262"/>
        <v>248.23163265306127</v>
      </c>
      <c r="P492">
        <f t="shared" si="262"/>
        <v>147.84897959183672</v>
      </c>
      <c r="Q492">
        <f t="shared" si="262"/>
        <v>142.75346938775516</v>
      </c>
      <c r="R492">
        <f t="shared" si="262"/>
        <v>106.6791836734694</v>
      </c>
      <c r="S492">
        <f t="shared" si="262"/>
        <v>202.15469387755101</v>
      </c>
      <c r="T492">
        <f t="shared" si="262"/>
        <v>348.32163265306122</v>
      </c>
      <c r="U492">
        <f t="shared" si="262"/>
        <v>365.69499999999999</v>
      </c>
      <c r="V492">
        <f t="shared" si="262"/>
        <v>514.19510204081632</v>
      </c>
      <c r="W492">
        <f t="shared" si="262"/>
        <v>626.05714285714282</v>
      </c>
      <c r="Y492" s="6">
        <f t="shared" si="239"/>
        <v>6856.4536479591834</v>
      </c>
      <c r="Z492">
        <f t="shared" si="240"/>
        <v>-1790.561779148187</v>
      </c>
    </row>
    <row r="493" spans="1:26" x14ac:dyDescent="0.25">
      <c r="A493" t="s">
        <v>66</v>
      </c>
      <c r="D493">
        <f t="shared" ref="D493:W493" si="263">D61*D97</f>
        <v>586.38775510204084</v>
      </c>
      <c r="E493">
        <f t="shared" si="263"/>
        <v>553.97612244897959</v>
      </c>
      <c r="F493">
        <f t="shared" si="263"/>
        <v>488.77714285714285</v>
      </c>
      <c r="G493">
        <f t="shared" si="263"/>
        <v>384.18857142857144</v>
      </c>
      <c r="H493">
        <f t="shared" si="263"/>
        <v>358.9669387755103</v>
      </c>
      <c r="I493">
        <f t="shared" si="263"/>
        <v>583.37142857142851</v>
      </c>
      <c r="J493">
        <f t="shared" si="263"/>
        <v>468.46530612244902</v>
      </c>
      <c r="K493">
        <f t="shared" si="263"/>
        <v>464.41755102040815</v>
      </c>
      <c r="L493">
        <f t="shared" si="263"/>
        <v>240.57390624999999</v>
      </c>
      <c r="M493">
        <f t="shared" si="263"/>
        <v>237.36244897959182</v>
      </c>
      <c r="N493">
        <f t="shared" si="263"/>
        <v>308.37306122448979</v>
      </c>
      <c r="O493">
        <f t="shared" si="263"/>
        <v>429.32040816326531</v>
      </c>
      <c r="P493">
        <f t="shared" si="263"/>
        <v>306.60326530612247</v>
      </c>
      <c r="Q493">
        <f t="shared" si="263"/>
        <v>276.014693877551</v>
      </c>
      <c r="R493">
        <f t="shared" si="263"/>
        <v>337.47102040816333</v>
      </c>
      <c r="S493">
        <f t="shared" si="263"/>
        <v>394.1028571428572</v>
      </c>
      <c r="T493">
        <f t="shared" si="263"/>
        <v>461.13795918367339</v>
      </c>
      <c r="U493">
        <f t="shared" si="263"/>
        <v>567.30000000000007</v>
      </c>
      <c r="V493">
        <f t="shared" si="263"/>
        <v>503.54693877551011</v>
      </c>
      <c r="W493">
        <f t="shared" si="263"/>
        <v>551.52163265306126</v>
      </c>
      <c r="Y493" s="6">
        <f t="shared" si="239"/>
        <v>8501.8790082908163</v>
      </c>
      <c r="Z493">
        <f t="shared" si="240"/>
        <v>-2245.7514401698422</v>
      </c>
    </row>
    <row r="494" spans="1:26" x14ac:dyDescent="0.25">
      <c r="A494" t="s">
        <v>67</v>
      </c>
      <c r="D494">
        <f t="shared" ref="D494:W494" si="264">D62*D98</f>
        <v>561.50428571428574</v>
      </c>
      <c r="E494">
        <f t="shared" si="264"/>
        <v>519.37142857142851</v>
      </c>
      <c r="F494">
        <f t="shared" si="264"/>
        <v>432.6</v>
      </c>
      <c r="G494">
        <f t="shared" si="264"/>
        <v>274.76081632653063</v>
      </c>
      <c r="H494">
        <f t="shared" si="264"/>
        <v>297.26755102040812</v>
      </c>
      <c r="I494">
        <f t="shared" si="264"/>
        <v>290.45714285714286</v>
      </c>
      <c r="J494">
        <f t="shared" si="264"/>
        <v>286.23020408163262</v>
      </c>
      <c r="K494">
        <f t="shared" si="264"/>
        <v>320.75265306122452</v>
      </c>
      <c r="L494">
        <f t="shared" si="264"/>
        <v>174.80718750000003</v>
      </c>
      <c r="M494">
        <f t="shared" si="264"/>
        <v>244.57884214910456</v>
      </c>
      <c r="N494">
        <f t="shared" si="264"/>
        <v>255.81498542274042</v>
      </c>
      <c r="O494">
        <f t="shared" si="264"/>
        <v>288.32523948354856</v>
      </c>
      <c r="P494">
        <f t="shared" si="264"/>
        <v>245.1308538109121</v>
      </c>
      <c r="Q494">
        <f t="shared" si="264"/>
        <v>278.71241982507286</v>
      </c>
      <c r="R494">
        <f t="shared" si="264"/>
        <v>313.72340691378594</v>
      </c>
      <c r="S494">
        <f t="shared" si="264"/>
        <v>354.81101207830068</v>
      </c>
      <c r="T494">
        <f t="shared" si="264"/>
        <v>443.95871720116617</v>
      </c>
      <c r="U494">
        <f t="shared" si="264"/>
        <v>492.84965431070384</v>
      </c>
      <c r="V494">
        <f t="shared" si="264"/>
        <v>579.87346938775522</v>
      </c>
      <c r="W494">
        <f t="shared" si="264"/>
        <v>700.08755102040823</v>
      </c>
      <c r="Y494" s="6">
        <f t="shared" si="239"/>
        <v>7355.617420736151</v>
      </c>
      <c r="Z494">
        <f t="shared" si="240"/>
        <v>-1867.1762612223156</v>
      </c>
    </row>
    <row r="495" spans="1:26" x14ac:dyDescent="0.25">
      <c r="A495" t="s">
        <v>68</v>
      </c>
      <c r="D495">
        <f t="shared" ref="D495:W495" si="265">D63*D99</f>
        <v>606.49795918367329</v>
      </c>
      <c r="E495">
        <f t="shared" si="265"/>
        <v>613.19673469387749</v>
      </c>
      <c r="F495">
        <f t="shared" si="265"/>
        <v>440.03367346938774</v>
      </c>
      <c r="G495">
        <f t="shared" si="265"/>
        <v>382.73142857142852</v>
      </c>
      <c r="H495">
        <f t="shared" si="265"/>
        <v>329.38897959183674</v>
      </c>
      <c r="I495">
        <f t="shared" si="265"/>
        <v>321.56632653061223</v>
      </c>
      <c r="J495">
        <f t="shared" si="265"/>
        <v>253.30612244897964</v>
      </c>
      <c r="K495">
        <f t="shared" si="265"/>
        <v>287.76142857142861</v>
      </c>
      <c r="L495">
        <f t="shared" si="265"/>
        <v>293.625</v>
      </c>
      <c r="M495">
        <f t="shared" si="265"/>
        <v>152.17632653061224</v>
      </c>
      <c r="N495">
        <f t="shared" si="265"/>
        <v>194.1261224489796</v>
      </c>
      <c r="O495">
        <f t="shared" si="265"/>
        <v>226.62857142857143</v>
      </c>
      <c r="P495">
        <f t="shared" si="265"/>
        <v>276.9208163265306</v>
      </c>
      <c r="Q495">
        <f t="shared" si="265"/>
        <v>313.39102040816334</v>
      </c>
      <c r="R495">
        <f t="shared" si="265"/>
        <v>354.60244897959194</v>
      </c>
      <c r="S495">
        <f t="shared" si="265"/>
        <v>383.99142857142857</v>
      </c>
      <c r="T495">
        <f t="shared" si="265"/>
        <v>335.24</v>
      </c>
      <c r="U495">
        <f t="shared" si="265"/>
        <v>469.79428571428565</v>
      </c>
      <c r="V495">
        <f t="shared" si="265"/>
        <v>478.66775510204093</v>
      </c>
      <c r="W495">
        <f t="shared" si="265"/>
        <v>580.93632653061229</v>
      </c>
      <c r="Y495" s="6">
        <f t="shared" si="239"/>
        <v>7294.5827551020393</v>
      </c>
      <c r="Z495">
        <f t="shared" si="240"/>
        <v>-1822.9033854861812</v>
      </c>
    </row>
    <row r="496" spans="1:26" x14ac:dyDescent="0.25">
      <c r="A496" t="s">
        <v>69</v>
      </c>
      <c r="D496">
        <f t="shared" ref="D496:W496" si="266">D64*D100</f>
        <v>577.33224489795919</v>
      </c>
      <c r="E496">
        <f t="shared" si="266"/>
        <v>519.94163265306122</v>
      </c>
      <c r="F496">
        <f t="shared" si="266"/>
        <v>448.15612244897954</v>
      </c>
      <c r="G496">
        <f t="shared" si="266"/>
        <v>384.84918367346944</v>
      </c>
      <c r="H496">
        <f t="shared" si="266"/>
        <v>396.81571428571431</v>
      </c>
      <c r="I496">
        <f t="shared" si="266"/>
        <v>388.16979591836736</v>
      </c>
      <c r="J496">
        <f t="shared" si="266"/>
        <v>122.37102040816329</v>
      </c>
      <c r="K496">
        <f t="shared" si="266"/>
        <v>166.03816326530608</v>
      </c>
      <c r="L496">
        <f t="shared" si="266"/>
        <v>163.60156249999997</v>
      </c>
      <c r="M496">
        <f t="shared" si="266"/>
        <v>243.5386089129529</v>
      </c>
      <c r="N496">
        <f t="shared" si="266"/>
        <v>234.72613077884213</v>
      </c>
      <c r="O496">
        <f t="shared" si="266"/>
        <v>262.17540191586835</v>
      </c>
      <c r="P496">
        <f t="shared" si="266"/>
        <v>233.63123120468509</v>
      </c>
      <c r="Q496">
        <f t="shared" si="266"/>
        <v>284.63571607068485</v>
      </c>
      <c r="R496">
        <f t="shared" si="266"/>
        <v>141.26938775510206</v>
      </c>
      <c r="S496">
        <f t="shared" si="266"/>
        <v>301.86653061224484</v>
      </c>
      <c r="T496">
        <f t="shared" si="266"/>
        <v>354.27551020408163</v>
      </c>
      <c r="U496">
        <f t="shared" si="266"/>
        <v>360.67346938775512</v>
      </c>
      <c r="V496">
        <f t="shared" si="266"/>
        <v>374.62959183673473</v>
      </c>
      <c r="W496">
        <f t="shared" si="266"/>
        <v>404.26040816326531</v>
      </c>
      <c r="Y496" s="6">
        <f t="shared" si="239"/>
        <v>6362.9574268932374</v>
      </c>
      <c r="Z496">
        <f t="shared" si="240"/>
        <v>-1622.2834872548924</v>
      </c>
    </row>
    <row r="497" spans="1:26" x14ac:dyDescent="0.25">
      <c r="Y497" s="6"/>
    </row>
    <row r="498" spans="1:26" x14ac:dyDescent="0.25">
      <c r="A498" t="s">
        <v>70</v>
      </c>
      <c r="D498">
        <f t="shared" ref="D498:W498" si="267">D66*D102</f>
        <v>464.04734693877555</v>
      </c>
      <c r="E498">
        <f t="shared" si="267"/>
        <v>434.47346938775507</v>
      </c>
      <c r="F498">
        <f t="shared" si="267"/>
        <v>488.46142857142854</v>
      </c>
      <c r="G498">
        <f t="shared" si="267"/>
        <v>426.19102040816324</v>
      </c>
      <c r="H498">
        <f t="shared" si="267"/>
        <v>393.8857142857143</v>
      </c>
      <c r="I498">
        <f t="shared" si="267"/>
        <v>438.74387755102038</v>
      </c>
      <c r="J498">
        <f t="shared" si="267"/>
        <v>378.36734693877548</v>
      </c>
      <c r="K498">
        <f t="shared" si="267"/>
        <v>358.3010204081632</v>
      </c>
      <c r="L498">
        <f t="shared" si="267"/>
        <v>218.80499999999998</v>
      </c>
      <c r="M498">
        <f t="shared" si="267"/>
        <v>225.21908388511585</v>
      </c>
      <c r="N498">
        <f t="shared" si="267"/>
        <v>214.26699351460675</v>
      </c>
      <c r="O498">
        <f t="shared" si="267"/>
        <v>274.96487636953987</v>
      </c>
      <c r="P498">
        <f t="shared" si="267"/>
        <v>233.63123120468509</v>
      </c>
      <c r="Q498">
        <f t="shared" si="267"/>
        <v>284.63571607068485</v>
      </c>
      <c r="R498">
        <f t="shared" si="267"/>
        <v>297.74856635256145</v>
      </c>
      <c r="S498">
        <f t="shared" si="267"/>
        <v>342.89224066795083</v>
      </c>
      <c r="T498">
        <f t="shared" si="267"/>
        <v>421.02606413994152</v>
      </c>
      <c r="U498">
        <f t="shared" si="267"/>
        <v>466.42469075385253</v>
      </c>
      <c r="V498">
        <f t="shared" si="267"/>
        <v>485.65167410714287</v>
      </c>
      <c r="W498">
        <f t="shared" si="267"/>
        <v>556.50731823979606</v>
      </c>
      <c r="Y498" s="6">
        <f t="shared" si="239"/>
        <v>7404.2446797956736</v>
      </c>
      <c r="Z498">
        <f>SUMPRODUCT($D$502:$W$502,D498:W498)</f>
        <v>-1933.4814098922377</v>
      </c>
    </row>
    <row r="499" spans="1:26" x14ac:dyDescent="0.25">
      <c r="A499" t="s">
        <v>313</v>
      </c>
      <c r="D499">
        <f t="shared" ref="D499:W499" si="268">D67*D103</f>
        <v>636.77142857142849</v>
      </c>
      <c r="E499">
        <f t="shared" si="268"/>
        <v>567.89183673469392</v>
      </c>
      <c r="F499">
        <f t="shared" si="268"/>
        <v>376.2151020408163</v>
      </c>
      <c r="G499">
        <f t="shared" si="268"/>
        <v>385.89591836734701</v>
      </c>
      <c r="H499">
        <f t="shared" si="268"/>
        <v>446.9387755102041</v>
      </c>
      <c r="I499">
        <f t="shared" si="268"/>
        <v>396.05102040816325</v>
      </c>
      <c r="J499">
        <f t="shared" si="268"/>
        <v>393.6367346938776</v>
      </c>
      <c r="K499">
        <f t="shared" si="268"/>
        <v>109.32244897959183</v>
      </c>
      <c r="L499">
        <f t="shared" si="268"/>
        <v>249.94828125000001</v>
      </c>
      <c r="M499">
        <f t="shared" si="268"/>
        <v>259.33714285714279</v>
      </c>
      <c r="N499">
        <f t="shared" si="268"/>
        <v>176.95612244897961</v>
      </c>
      <c r="O499">
        <f t="shared" si="268"/>
        <v>226.62857142857143</v>
      </c>
      <c r="P499">
        <f t="shared" si="268"/>
        <v>252.48</v>
      </c>
      <c r="Q499">
        <f t="shared" si="268"/>
        <v>315</v>
      </c>
      <c r="R499">
        <f t="shared" si="268"/>
        <v>301.91999999999996</v>
      </c>
      <c r="S499">
        <f t="shared" si="268"/>
        <v>100.98</v>
      </c>
      <c r="T499">
        <f t="shared" si="268"/>
        <v>404.68</v>
      </c>
      <c r="U499">
        <f t="shared" si="268"/>
        <v>423.71999999999997</v>
      </c>
      <c r="V499">
        <f t="shared" si="268"/>
        <v>373.24</v>
      </c>
      <c r="W499">
        <f t="shared" si="268"/>
        <v>429</v>
      </c>
      <c r="Y499" s="6">
        <f t="shared" si="239"/>
        <v>6826.6133832908163</v>
      </c>
      <c r="Z499">
        <f>SUMPRODUCT($D$502:$W$502,D499:W499)</f>
        <v>-1707.9240573315822</v>
      </c>
    </row>
    <row r="500" spans="1:26" x14ac:dyDescent="0.25">
      <c r="A500" t="s">
        <v>314</v>
      </c>
      <c r="D500">
        <f t="shared" ref="D500:W500" si="269">D68*D104</f>
        <v>720.36734693877543</v>
      </c>
      <c r="E500">
        <f t="shared" si="269"/>
        <v>563.85408163265311</v>
      </c>
      <c r="F500">
        <f t="shared" si="269"/>
        <v>516.30408163265304</v>
      </c>
      <c r="G500">
        <f t="shared" si="269"/>
        <v>476.17857142857139</v>
      </c>
      <c r="H500">
        <f t="shared" si="269"/>
        <v>438.72591836734694</v>
      </c>
      <c r="I500">
        <f t="shared" si="269"/>
        <v>401.00571428571425</v>
      </c>
      <c r="J500">
        <f t="shared" si="269"/>
        <v>249.8387755102041</v>
      </c>
      <c r="K500">
        <f t="shared" si="269"/>
        <v>289.43</v>
      </c>
      <c r="L500">
        <f t="shared" si="269"/>
        <v>222.60000000000002</v>
      </c>
      <c r="M500">
        <f t="shared" si="269"/>
        <v>237.6</v>
      </c>
      <c r="N500">
        <f t="shared" si="269"/>
        <v>205.7</v>
      </c>
      <c r="O500">
        <f t="shared" si="269"/>
        <v>266.88</v>
      </c>
      <c r="P500">
        <f t="shared" si="269"/>
        <v>241.77408494917239</v>
      </c>
      <c r="Q500">
        <f t="shared" si="269"/>
        <v>266.99087328582226</v>
      </c>
      <c r="R500">
        <f t="shared" si="269"/>
        <v>306.0140899625157</v>
      </c>
      <c r="S500">
        <f t="shared" si="269"/>
        <v>348.66006417079308</v>
      </c>
      <c r="T500">
        <f t="shared" si="269"/>
        <v>445.61581713637827</v>
      </c>
      <c r="U500">
        <f t="shared" si="269"/>
        <v>489.21927468493061</v>
      </c>
      <c r="V500">
        <f t="shared" si="269"/>
        <v>496.45260770975057</v>
      </c>
      <c r="W500">
        <f t="shared" si="269"/>
        <v>587.39592592592601</v>
      </c>
      <c r="Y500" s="6">
        <f t="shared" si="239"/>
        <v>7770.6072276212071</v>
      </c>
      <c r="Z500">
        <f>SUMPRODUCT($D$502:$W$502,D500:W500)</f>
        <v>-1969.8499381210581</v>
      </c>
    </row>
    <row r="501" spans="1:26" x14ac:dyDescent="0.25">
      <c r="A501" t="s">
        <v>658</v>
      </c>
      <c r="D501">
        <f t="shared" ref="D501:W501" si="270">D69*D105</f>
        <v>611.00428571428574</v>
      </c>
      <c r="E501">
        <f t="shared" si="270"/>
        <v>575.30857142857155</v>
      </c>
      <c r="F501">
        <f t="shared" si="270"/>
        <v>573.44102040816335</v>
      </c>
      <c r="G501">
        <f t="shared" si="270"/>
        <v>523.45734693877557</v>
      </c>
      <c r="H501">
        <f t="shared" si="270"/>
        <v>426.09306122448976</v>
      </c>
      <c r="I501">
        <f t="shared" si="270"/>
        <v>375.15000000000003</v>
      </c>
      <c r="J501">
        <f t="shared" si="270"/>
        <v>302.77758017492715</v>
      </c>
      <c r="K501">
        <f t="shared" si="270"/>
        <v>307.0682390670554</v>
      </c>
      <c r="L501">
        <f t="shared" si="270"/>
        <v>253.45490630680183</v>
      </c>
      <c r="M501">
        <f t="shared" si="270"/>
        <v>240.67394128296888</v>
      </c>
      <c r="N501">
        <f t="shared" si="270"/>
        <v>251.10000000000002</v>
      </c>
      <c r="O501">
        <f t="shared" si="270"/>
        <v>277.75</v>
      </c>
      <c r="P501">
        <f t="shared" si="270"/>
        <v>254.85479183673468</v>
      </c>
      <c r="Q501">
        <f t="shared" si="270"/>
        <v>310.10017959183671</v>
      </c>
      <c r="R501">
        <f t="shared" si="270"/>
        <v>313.72340691378594</v>
      </c>
      <c r="S501">
        <f t="shared" si="270"/>
        <v>354.81101207830068</v>
      </c>
      <c r="T501">
        <f t="shared" si="270"/>
        <v>428.58742515137914</v>
      </c>
      <c r="U501">
        <f t="shared" si="270"/>
        <v>476.70655588216442</v>
      </c>
      <c r="V501">
        <f t="shared" si="270"/>
        <v>492.02201726844589</v>
      </c>
      <c r="W501">
        <f t="shared" si="270"/>
        <v>572.64114403453686</v>
      </c>
      <c r="Y501" s="6">
        <f t="shared" ref="Y501" si="271">SUM(D501:W501)</f>
        <v>7920.7254853032227</v>
      </c>
      <c r="Z501">
        <f>SUMPRODUCT($D$502:$W$502,D501:W501)</f>
        <v>-2020.9230099317674</v>
      </c>
    </row>
    <row r="502" spans="1:26" x14ac:dyDescent="0.25">
      <c r="A502" s="2" t="s">
        <v>71</v>
      </c>
      <c r="D502" s="3">
        <f>CORREL($B$2:$B$28,D470:D496)</f>
        <v>-0.23257508986676717</v>
      </c>
      <c r="E502" s="3">
        <f t="shared" ref="E502:W502" si="272">CORREL($B$2:$B$28,E470:E496)</f>
        <v>-3.2655205904856176E-2</v>
      </c>
      <c r="F502" s="3">
        <f t="shared" si="272"/>
        <v>-5.0980461997519752E-2</v>
      </c>
      <c r="G502" s="3">
        <f t="shared" si="272"/>
        <v>-0.38103195795481287</v>
      </c>
      <c r="H502" s="3">
        <f t="shared" si="272"/>
        <v>-0.34391880134682645</v>
      </c>
      <c r="I502" s="3">
        <f t="shared" si="272"/>
        <v>-0.30032644295868849</v>
      </c>
      <c r="J502" s="3">
        <f t="shared" si="272"/>
        <v>-0.3497061675680756</v>
      </c>
      <c r="K502" s="3">
        <f t="shared" si="272"/>
        <v>-0.37730968629571504</v>
      </c>
      <c r="L502" s="3">
        <f t="shared" si="272"/>
        <v>-0.38093686190120174</v>
      </c>
      <c r="M502" s="3">
        <f t="shared" si="272"/>
        <v>-0.14310193226499865</v>
      </c>
      <c r="N502" s="3">
        <f t="shared" si="272"/>
        <v>-0.54909652268159781</v>
      </c>
      <c r="O502" s="3">
        <f t="shared" si="272"/>
        <v>-0.32898684896625269</v>
      </c>
      <c r="P502" s="3">
        <f t="shared" si="272"/>
        <v>-0.27314747928182814</v>
      </c>
      <c r="Q502" s="3">
        <f t="shared" si="272"/>
        <v>-0.17870105875123582</v>
      </c>
      <c r="R502" s="3">
        <f t="shared" si="272"/>
        <v>-4.8689588127412538E-2</v>
      </c>
      <c r="S502" s="3">
        <f t="shared" si="272"/>
        <v>-0.31350375789819612</v>
      </c>
      <c r="T502" s="3">
        <f t="shared" si="272"/>
        <v>-0.31624290579794279</v>
      </c>
      <c r="U502" s="3">
        <f t="shared" si="272"/>
        <v>-0.23759002887759559</v>
      </c>
      <c r="V502" s="3">
        <f t="shared" si="272"/>
        <v>-0.44798518715178626</v>
      </c>
      <c r="W502" s="3">
        <f t="shared" si="272"/>
        <v>-0.12117771693687913</v>
      </c>
      <c r="X502" s="3"/>
    </row>
    <row r="505" spans="1:26" x14ac:dyDescent="0.25">
      <c r="D505" t="s">
        <v>170</v>
      </c>
      <c r="E505" t="s">
        <v>171</v>
      </c>
      <c r="F505" t="s">
        <v>172</v>
      </c>
      <c r="G505" t="s">
        <v>173</v>
      </c>
      <c r="H505" t="s">
        <v>174</v>
      </c>
      <c r="I505" t="s">
        <v>175</v>
      </c>
      <c r="J505" t="s">
        <v>176</v>
      </c>
      <c r="K505" t="s">
        <v>177</v>
      </c>
      <c r="L505" t="s">
        <v>329</v>
      </c>
      <c r="M505" t="s">
        <v>385</v>
      </c>
      <c r="N505" t="s">
        <v>386</v>
      </c>
      <c r="O505" t="s">
        <v>387</v>
      </c>
      <c r="P505" t="s">
        <v>490</v>
      </c>
      <c r="Q505" t="s">
        <v>491</v>
      </c>
      <c r="R505" t="s">
        <v>492</v>
      </c>
      <c r="S505" t="s">
        <v>493</v>
      </c>
      <c r="T505" t="s">
        <v>602</v>
      </c>
      <c r="U505" t="s">
        <v>603</v>
      </c>
      <c r="V505" t="s">
        <v>604</v>
      </c>
      <c r="W505" t="s">
        <v>605</v>
      </c>
      <c r="Y505" t="s">
        <v>178</v>
      </c>
      <c r="Z505" t="s">
        <v>179</v>
      </c>
    </row>
    <row r="506" spans="1:26" x14ac:dyDescent="0.25">
      <c r="A506" t="s">
        <v>43</v>
      </c>
      <c r="D506">
        <f t="shared" ref="D506:W506" si="273">D38*D110</f>
        <v>2156.9432658664559</v>
      </c>
      <c r="E506">
        <f t="shared" si="273"/>
        <v>2306.5561548681871</v>
      </c>
      <c r="F506">
        <f t="shared" si="273"/>
        <v>1973.0554598955637</v>
      </c>
      <c r="G506">
        <f t="shared" si="273"/>
        <v>2275.8757265330019</v>
      </c>
      <c r="H506">
        <f t="shared" si="273"/>
        <v>2188.9330734131991</v>
      </c>
      <c r="I506">
        <f t="shared" si="273"/>
        <v>1999.2483561304887</v>
      </c>
      <c r="J506">
        <f t="shared" si="273"/>
        <v>2154.700532447237</v>
      </c>
      <c r="K506">
        <f t="shared" si="273"/>
        <v>2160.996402863494</v>
      </c>
      <c r="L506">
        <f t="shared" si="273"/>
        <v>1921.6162893567846</v>
      </c>
      <c r="M506">
        <f t="shared" si="273"/>
        <v>1321.8877348617234</v>
      </c>
      <c r="N506">
        <f t="shared" si="273"/>
        <v>1326.3797303701872</v>
      </c>
      <c r="O506">
        <f t="shared" si="273"/>
        <v>2083.6630057511607</v>
      </c>
      <c r="P506">
        <f t="shared" si="273"/>
        <v>1643.3334352322759</v>
      </c>
      <c r="Q506">
        <f t="shared" si="273"/>
        <v>1675.4481511407623</v>
      </c>
      <c r="R506">
        <f t="shared" si="273"/>
        <v>1497.9104627284948</v>
      </c>
      <c r="S506">
        <f t="shared" si="273"/>
        <v>1640.8488344908615</v>
      </c>
      <c r="T506">
        <f t="shared" si="273"/>
        <v>1488.7425387713474</v>
      </c>
      <c r="U506">
        <f t="shared" si="273"/>
        <v>1139.6448549026052</v>
      </c>
      <c r="V506">
        <f t="shared" si="273"/>
        <v>1852.604997502639</v>
      </c>
      <c r="W506">
        <f t="shared" si="273"/>
        <v>1740.3876648623009</v>
      </c>
      <c r="Y506" s="6">
        <f t="shared" ref="Y506:Y536" si="274">SUM(D506:W506)</f>
        <v>36548.776671988773</v>
      </c>
      <c r="Z506">
        <f t="shared" ref="Z506:Z532" si="275">SUMPRODUCT($D$538:$W$538,D506:W506)</f>
        <v>5839.9124757488898</v>
      </c>
    </row>
    <row r="507" spans="1:26" x14ac:dyDescent="0.25">
      <c r="A507" t="s">
        <v>44</v>
      </c>
      <c r="D507">
        <f t="shared" ref="D507:W507" si="276">D39*D111</f>
        <v>1552.4346114372897</v>
      </c>
      <c r="E507">
        <f t="shared" si="276"/>
        <v>1473.0779533408529</v>
      </c>
      <c r="F507">
        <f t="shared" si="276"/>
        <v>2227.3387369228585</v>
      </c>
      <c r="G507">
        <f t="shared" si="276"/>
        <v>1641.0670486853953</v>
      </c>
      <c r="H507">
        <f t="shared" si="276"/>
        <v>1505.9346926346045</v>
      </c>
      <c r="I507">
        <f t="shared" si="276"/>
        <v>1662.7894218328515</v>
      </c>
      <c r="J507">
        <f t="shared" si="276"/>
        <v>1498.6214620732198</v>
      </c>
      <c r="K507">
        <f t="shared" si="276"/>
        <v>941.45238637891475</v>
      </c>
      <c r="L507">
        <f t="shared" si="276"/>
        <v>1644.0480359289377</v>
      </c>
      <c r="M507">
        <f t="shared" si="276"/>
        <v>1635.7099992358085</v>
      </c>
      <c r="N507">
        <f t="shared" si="276"/>
        <v>2226.1645113229247</v>
      </c>
      <c r="O507">
        <f t="shared" si="276"/>
        <v>1796.9607910946718</v>
      </c>
      <c r="P507">
        <f t="shared" si="276"/>
        <v>1708.9975728680374</v>
      </c>
      <c r="Q507">
        <f t="shared" si="276"/>
        <v>1946.192759357697</v>
      </c>
      <c r="R507">
        <f t="shared" si="276"/>
        <v>1835.6199114122021</v>
      </c>
      <c r="S507">
        <f t="shared" si="276"/>
        <v>1979.6804764017736</v>
      </c>
      <c r="T507">
        <f t="shared" si="276"/>
        <v>1951.3675816088255</v>
      </c>
      <c r="U507">
        <f t="shared" si="276"/>
        <v>1560.5763511518376</v>
      </c>
      <c r="V507">
        <f t="shared" si="276"/>
        <v>1978.7958131957243</v>
      </c>
      <c r="W507">
        <f t="shared" si="276"/>
        <v>2468.8770663230252</v>
      </c>
      <c r="Y507" s="6">
        <f t="shared" si="274"/>
        <v>35235.707183207458</v>
      </c>
      <c r="Z507">
        <f t="shared" si="275"/>
        <v>5520.6100321323811</v>
      </c>
    </row>
    <row r="508" spans="1:26" x14ac:dyDescent="0.25">
      <c r="A508" t="s">
        <v>45</v>
      </c>
      <c r="D508">
        <f t="shared" ref="D508:W508" si="277">D40*D112</f>
        <v>1516.3185704288176</v>
      </c>
      <c r="E508">
        <f t="shared" si="277"/>
        <v>1324.4192371770487</v>
      </c>
      <c r="F508">
        <f t="shared" si="277"/>
        <v>1281.7157363146673</v>
      </c>
      <c r="G508">
        <f t="shared" si="277"/>
        <v>1778.6842184468626</v>
      </c>
      <c r="H508">
        <f t="shared" si="277"/>
        <v>2096.0696140054783</v>
      </c>
      <c r="I508">
        <f t="shared" si="277"/>
        <v>1470.338385374715</v>
      </c>
      <c r="J508">
        <f t="shared" si="277"/>
        <v>2055.2750325764723</v>
      </c>
      <c r="K508">
        <f t="shared" si="277"/>
        <v>1917.8739267730903</v>
      </c>
      <c r="L508">
        <f t="shared" si="277"/>
        <v>1867.2283578532561</v>
      </c>
      <c r="M508">
        <f t="shared" si="277"/>
        <v>1769.6278599507691</v>
      </c>
      <c r="N508">
        <f t="shared" si="277"/>
        <v>1915.0617956111337</v>
      </c>
      <c r="O508">
        <f t="shared" si="277"/>
        <v>1548.3895368319165</v>
      </c>
      <c r="P508">
        <f t="shared" si="277"/>
        <v>1399.7935310485016</v>
      </c>
      <c r="Q508">
        <f t="shared" si="277"/>
        <v>1198.7470022519722</v>
      </c>
      <c r="R508">
        <f t="shared" si="277"/>
        <v>1897.8155649433099</v>
      </c>
      <c r="S508">
        <f t="shared" si="277"/>
        <v>1547.2813717103468</v>
      </c>
      <c r="T508">
        <f t="shared" si="277"/>
        <v>1656.8705936779218</v>
      </c>
      <c r="U508">
        <f t="shared" si="277"/>
        <v>1901.6204368761419</v>
      </c>
      <c r="V508">
        <f t="shared" si="277"/>
        <v>2402.1729126357336</v>
      </c>
      <c r="W508">
        <f t="shared" si="277"/>
        <v>2399.0928472273686</v>
      </c>
      <c r="Y508" s="6">
        <f t="shared" si="274"/>
        <v>34944.396531715523</v>
      </c>
      <c r="Z508">
        <f t="shared" si="275"/>
        <v>4900.3107833328786</v>
      </c>
    </row>
    <row r="509" spans="1:26" x14ac:dyDescent="0.25">
      <c r="A509" t="s">
        <v>46</v>
      </c>
      <c r="D509">
        <f t="shared" ref="D509:W509" si="278">D41*D113</f>
        <v>2083.4700531037079</v>
      </c>
      <c r="E509">
        <f t="shared" si="278"/>
        <v>1853.7518509354743</v>
      </c>
      <c r="F509">
        <f t="shared" si="278"/>
        <v>1963.8217762142888</v>
      </c>
      <c r="G509">
        <f t="shared" si="278"/>
        <v>1932.7996100173552</v>
      </c>
      <c r="H509">
        <f t="shared" si="278"/>
        <v>1574.7943125654313</v>
      </c>
      <c r="I509">
        <f t="shared" si="278"/>
        <v>2013.0164421992561</v>
      </c>
      <c r="J509">
        <f t="shared" si="278"/>
        <v>2071.8816872044767</v>
      </c>
      <c r="K509">
        <f t="shared" si="278"/>
        <v>2266.7859576124315</v>
      </c>
      <c r="L509">
        <f t="shared" si="278"/>
        <v>1928.2243805957612</v>
      </c>
      <c r="M509">
        <f t="shared" si="278"/>
        <v>1911.5798843781859</v>
      </c>
      <c r="N509">
        <f t="shared" si="278"/>
        <v>1729.0132997559385</v>
      </c>
      <c r="O509">
        <f t="shared" si="278"/>
        <v>1793.9240545190612</v>
      </c>
      <c r="P509">
        <f t="shared" si="278"/>
        <v>1660.5851042586378</v>
      </c>
      <c r="Q509">
        <f t="shared" si="278"/>
        <v>2091.5473432897161</v>
      </c>
      <c r="R509">
        <f t="shared" si="278"/>
        <v>1501.9141010377341</v>
      </c>
      <c r="S509">
        <f t="shared" si="278"/>
        <v>2050.9370472727815</v>
      </c>
      <c r="T509">
        <f t="shared" si="278"/>
        <v>1755.3842394395433</v>
      </c>
      <c r="U509">
        <f t="shared" si="278"/>
        <v>1930.5425437902848</v>
      </c>
      <c r="V509">
        <f t="shared" si="278"/>
        <v>1662.4492404433749</v>
      </c>
      <c r="W509">
        <f t="shared" si="278"/>
        <v>1731.4088858917883</v>
      </c>
      <c r="Y509" s="6">
        <f t="shared" si="274"/>
        <v>37507.831814525234</v>
      </c>
      <c r="Z509">
        <f t="shared" si="275"/>
        <v>5892.0755265722682</v>
      </c>
    </row>
    <row r="510" spans="1:26" x14ac:dyDescent="0.25">
      <c r="A510" t="s">
        <v>47</v>
      </c>
      <c r="D510">
        <f t="shared" ref="D510:W510" si="279">D42*D114</f>
        <v>2142.5110740815112</v>
      </c>
      <c r="E510">
        <f t="shared" si="279"/>
        <v>1903.4769213621157</v>
      </c>
      <c r="F510">
        <f t="shared" si="279"/>
        <v>1932.8078728078308</v>
      </c>
      <c r="G510">
        <f t="shared" si="279"/>
        <v>2435.1352681542676</v>
      </c>
      <c r="H510">
        <f t="shared" si="279"/>
        <v>1500.5144842141617</v>
      </c>
      <c r="I510">
        <f t="shared" si="279"/>
        <v>2117.1197395328695</v>
      </c>
      <c r="J510">
        <f t="shared" si="279"/>
        <v>2033.4661844139932</v>
      </c>
      <c r="K510">
        <f t="shared" si="279"/>
        <v>2049.4395338572281</v>
      </c>
      <c r="L510">
        <f t="shared" si="279"/>
        <v>1897.4562840513543</v>
      </c>
      <c r="M510">
        <f t="shared" si="279"/>
        <v>1958.9791607378509</v>
      </c>
      <c r="N510">
        <f t="shared" si="279"/>
        <v>2044.0755367848649</v>
      </c>
      <c r="O510">
        <f t="shared" si="279"/>
        <v>2173.4076934683267</v>
      </c>
      <c r="P510">
        <f t="shared" si="279"/>
        <v>2397.6086310539108</v>
      </c>
      <c r="Q510">
        <f t="shared" si="279"/>
        <v>1542.9882056389199</v>
      </c>
      <c r="R510">
        <f t="shared" si="279"/>
        <v>2057.7772037395025</v>
      </c>
      <c r="S510">
        <f t="shared" si="279"/>
        <v>1828.9285042654565</v>
      </c>
      <c r="T510">
        <f t="shared" si="279"/>
        <v>2338.2136261868891</v>
      </c>
      <c r="U510">
        <f t="shared" si="279"/>
        <v>2143.1204147121653</v>
      </c>
      <c r="V510">
        <f t="shared" si="279"/>
        <v>2493.9710218971854</v>
      </c>
      <c r="W510">
        <f t="shared" si="279"/>
        <v>2624.7190256976819</v>
      </c>
      <c r="Y510" s="6">
        <f t="shared" si="274"/>
        <v>41615.716386658096</v>
      </c>
      <c r="Z510">
        <f t="shared" si="275"/>
        <v>6478.5078901223733</v>
      </c>
    </row>
    <row r="511" spans="1:26" x14ac:dyDescent="0.25">
      <c r="A511" t="s">
        <v>48</v>
      </c>
      <c r="D511">
        <f t="shared" ref="D511:W511" si="280">D43*D115</f>
        <v>2498.3930205375368</v>
      </c>
      <c r="E511">
        <f t="shared" si="280"/>
        <v>2631.355416215074</v>
      </c>
      <c r="F511">
        <f t="shared" si="280"/>
        <v>2680.6860383162984</v>
      </c>
      <c r="G511">
        <f t="shared" si="280"/>
        <v>2581.2015686551722</v>
      </c>
      <c r="H511">
        <f t="shared" si="280"/>
        <v>2785.7121011335812</v>
      </c>
      <c r="I511">
        <f t="shared" si="280"/>
        <v>2458.5825838213314</v>
      </c>
      <c r="J511">
        <f t="shared" si="280"/>
        <v>2624.2012393241298</v>
      </c>
      <c r="K511">
        <f t="shared" si="280"/>
        <v>2545.9457116876847</v>
      </c>
      <c r="L511">
        <f t="shared" si="280"/>
        <v>2286.4588778271477</v>
      </c>
      <c r="M511">
        <f t="shared" si="280"/>
        <v>1457.1720008716268</v>
      </c>
      <c r="N511">
        <f t="shared" si="280"/>
        <v>1654.3606592773901</v>
      </c>
      <c r="O511">
        <f t="shared" si="280"/>
        <v>1641.3599858427731</v>
      </c>
      <c r="P511">
        <f t="shared" si="280"/>
        <v>2539.105832867247</v>
      </c>
      <c r="Q511">
        <f t="shared" si="280"/>
        <v>2981.6011910604502</v>
      </c>
      <c r="R511">
        <f t="shared" si="280"/>
        <v>1914.9745947133151</v>
      </c>
      <c r="S511">
        <f t="shared" si="280"/>
        <v>1510.0617737818602</v>
      </c>
      <c r="T511">
        <f t="shared" si="280"/>
        <v>1208.3460885642282</v>
      </c>
      <c r="U511">
        <f t="shared" si="280"/>
        <v>1790.7334303156329</v>
      </c>
      <c r="V511">
        <f t="shared" si="280"/>
        <v>1754.5615721226418</v>
      </c>
      <c r="W511">
        <f t="shared" si="280"/>
        <v>1790.8646976550522</v>
      </c>
      <c r="Y511" s="6">
        <f t="shared" si="274"/>
        <v>43335.678384590166</v>
      </c>
      <c r="Z511">
        <f t="shared" si="275"/>
        <v>6525.8758704660504</v>
      </c>
    </row>
    <row r="512" spans="1:26" x14ac:dyDescent="0.25">
      <c r="A512" t="s">
        <v>49</v>
      </c>
      <c r="D512">
        <f t="shared" ref="D512:W512" si="281">D44*D116</f>
        <v>1896.7151572518642</v>
      </c>
      <c r="E512">
        <f t="shared" si="281"/>
        <v>2391.4628567552791</v>
      </c>
      <c r="F512">
        <f t="shared" si="281"/>
        <v>2444.4628822947188</v>
      </c>
      <c r="G512">
        <f t="shared" si="281"/>
        <v>2389.4859650942635</v>
      </c>
      <c r="H512">
        <f t="shared" si="281"/>
        <v>2071.4273331755912</v>
      </c>
      <c r="I512">
        <f t="shared" si="281"/>
        <v>2401.4772121287328</v>
      </c>
      <c r="J512">
        <f t="shared" si="281"/>
        <v>2232.9376127836572</v>
      </c>
      <c r="K512">
        <f t="shared" si="281"/>
        <v>2332.2116168684415</v>
      </c>
      <c r="L512">
        <f t="shared" si="281"/>
        <v>2427.752876727277</v>
      </c>
      <c r="M512">
        <f t="shared" si="281"/>
        <v>1862.6556141444228</v>
      </c>
      <c r="N512">
        <f t="shared" si="281"/>
        <v>1869.9174491242129</v>
      </c>
      <c r="O512">
        <f t="shared" si="281"/>
        <v>1819.7832483353391</v>
      </c>
      <c r="P512">
        <f t="shared" si="281"/>
        <v>2382.077593548463</v>
      </c>
      <c r="Q512">
        <f t="shared" si="281"/>
        <v>2268.6266258609362</v>
      </c>
      <c r="R512">
        <f t="shared" si="281"/>
        <v>2450.6981400804934</v>
      </c>
      <c r="S512">
        <f t="shared" si="281"/>
        <v>2043.7428669325091</v>
      </c>
      <c r="T512">
        <f t="shared" si="281"/>
        <v>1864.357661967965</v>
      </c>
      <c r="U512">
        <f t="shared" si="281"/>
        <v>2013.3242382420558</v>
      </c>
      <c r="V512">
        <f t="shared" si="281"/>
        <v>2232.778514354899</v>
      </c>
      <c r="W512">
        <f t="shared" si="281"/>
        <v>2039.6438028194359</v>
      </c>
      <c r="Y512" s="6">
        <f t="shared" si="274"/>
        <v>43435.53926849056</v>
      </c>
      <c r="Z512">
        <f t="shared" si="275"/>
        <v>6636.3105088267703</v>
      </c>
    </row>
    <row r="513" spans="1:26" x14ac:dyDescent="0.25">
      <c r="A513" t="s">
        <v>50</v>
      </c>
      <c r="D513">
        <f t="shared" ref="D513:W513" si="282">D45*D117</f>
        <v>2150.3985733541663</v>
      </c>
      <c r="E513">
        <f t="shared" si="282"/>
        <v>2093.2761780185983</v>
      </c>
      <c r="F513">
        <f t="shared" si="282"/>
        <v>2398.5466615730834</v>
      </c>
      <c r="G513">
        <f t="shared" si="282"/>
        <v>2157.5203945733651</v>
      </c>
      <c r="H513">
        <f t="shared" si="282"/>
        <v>2410.4601418217449</v>
      </c>
      <c r="I513">
        <f t="shared" si="282"/>
        <v>2462.3273377642677</v>
      </c>
      <c r="J513">
        <f t="shared" si="282"/>
        <v>2237.8677688942716</v>
      </c>
      <c r="K513">
        <f t="shared" si="282"/>
        <v>2133.4962087127674</v>
      </c>
      <c r="L513">
        <f t="shared" si="282"/>
        <v>2411.3514456389948</v>
      </c>
      <c r="M513">
        <f t="shared" si="282"/>
        <v>1872.7764546946064</v>
      </c>
      <c r="N513">
        <f t="shared" si="282"/>
        <v>2484.5559153753579</v>
      </c>
      <c r="O513">
        <f t="shared" si="282"/>
        <v>2411.7456850593826</v>
      </c>
      <c r="P513">
        <f t="shared" si="282"/>
        <v>2586.956183422757</v>
      </c>
      <c r="Q513">
        <f t="shared" si="282"/>
        <v>2709.4504494554444</v>
      </c>
      <c r="R513">
        <f t="shared" si="282"/>
        <v>2721.8549630212447</v>
      </c>
      <c r="S513">
        <f t="shared" si="282"/>
        <v>2047.458110303784</v>
      </c>
      <c r="T513">
        <f t="shared" si="282"/>
        <v>1954.2023532777639</v>
      </c>
      <c r="U513">
        <f t="shared" si="282"/>
        <v>1906.5825225270044</v>
      </c>
      <c r="V513">
        <f t="shared" si="282"/>
        <v>2255.7791446513379</v>
      </c>
      <c r="W513">
        <f t="shared" si="282"/>
        <v>2001.225292121236</v>
      </c>
      <c r="Y513" s="6">
        <f t="shared" si="274"/>
        <v>45407.831784261172</v>
      </c>
      <c r="Z513">
        <f t="shared" si="275"/>
        <v>6776.7824820796332</v>
      </c>
    </row>
    <row r="514" spans="1:26" x14ac:dyDescent="0.25">
      <c r="A514" t="s">
        <v>51</v>
      </c>
      <c r="D514">
        <f t="shared" ref="D514:W514" si="283">D46*D118</f>
        <v>1729.0511400323398</v>
      </c>
      <c r="E514">
        <f t="shared" si="283"/>
        <v>2448.5489668445975</v>
      </c>
      <c r="F514">
        <f t="shared" si="283"/>
        <v>3254.5380307631326</v>
      </c>
      <c r="G514">
        <f t="shared" si="283"/>
        <v>2343.2369865047585</v>
      </c>
      <c r="H514">
        <f t="shared" si="283"/>
        <v>2718.979861538322</v>
      </c>
      <c r="I514">
        <f t="shared" si="283"/>
        <v>2600.226380178859</v>
      </c>
      <c r="J514">
        <f t="shared" si="283"/>
        <v>2763.6588556755728</v>
      </c>
      <c r="K514">
        <f t="shared" si="283"/>
        <v>2088.8686173230599</v>
      </c>
      <c r="L514">
        <f t="shared" si="283"/>
        <v>3004.3550319911433</v>
      </c>
      <c r="M514">
        <f t="shared" si="283"/>
        <v>2638.9272770694442</v>
      </c>
      <c r="N514">
        <f t="shared" si="283"/>
        <v>2716.9517301205669</v>
      </c>
      <c r="O514">
        <f t="shared" si="283"/>
        <v>2101.7220340045419</v>
      </c>
      <c r="P514">
        <f t="shared" si="283"/>
        <v>2713.7763888549212</v>
      </c>
      <c r="Q514">
        <f t="shared" si="283"/>
        <v>2309.6457587448631</v>
      </c>
      <c r="R514">
        <f t="shared" si="283"/>
        <v>2415.2636277293154</v>
      </c>
      <c r="S514">
        <f t="shared" si="283"/>
        <v>2354.5589186831558</v>
      </c>
      <c r="T514">
        <f t="shared" si="283"/>
        <v>2128.7181233539386</v>
      </c>
      <c r="U514">
        <f t="shared" si="283"/>
        <v>2407.1699725854519</v>
      </c>
      <c r="V514">
        <f t="shared" si="283"/>
        <v>2603.5978269923471</v>
      </c>
      <c r="W514">
        <f t="shared" si="283"/>
        <v>2297.8349998411686</v>
      </c>
      <c r="Y514" s="6">
        <f t="shared" si="274"/>
        <v>49639.630528831505</v>
      </c>
      <c r="Z514">
        <f t="shared" si="275"/>
        <v>7285.5993742312967</v>
      </c>
    </row>
    <row r="515" spans="1:26" x14ac:dyDescent="0.25">
      <c r="A515" t="s">
        <v>52</v>
      </c>
      <c r="D515">
        <f t="shared" ref="D515:W515" si="284">D47*D119</f>
        <v>2188.7972902570568</v>
      </c>
      <c r="E515">
        <f t="shared" si="284"/>
        <v>2374.2843323327829</v>
      </c>
      <c r="F515">
        <f t="shared" si="284"/>
        <v>2431.3427449743267</v>
      </c>
      <c r="G515">
        <f t="shared" si="284"/>
        <v>2226.7583344329164</v>
      </c>
      <c r="H515">
        <f t="shared" si="284"/>
        <v>2398.4194691141688</v>
      </c>
      <c r="I515">
        <f t="shared" si="284"/>
        <v>2623.7095323332474</v>
      </c>
      <c r="J515">
        <f t="shared" si="284"/>
        <v>1813.6741887803742</v>
      </c>
      <c r="K515">
        <f t="shared" si="284"/>
        <v>2188.386296187713</v>
      </c>
      <c r="L515">
        <f t="shared" si="284"/>
        <v>2046.57861456563</v>
      </c>
      <c r="M515">
        <f t="shared" si="284"/>
        <v>1799.2316786800154</v>
      </c>
      <c r="N515">
        <f t="shared" si="284"/>
        <v>2090.4586543623623</v>
      </c>
      <c r="O515">
        <f t="shared" si="284"/>
        <v>1956.2354958640633</v>
      </c>
      <c r="P515">
        <f t="shared" si="284"/>
        <v>2130.9817177740833</v>
      </c>
      <c r="Q515">
        <f t="shared" si="284"/>
        <v>2280.8668912151161</v>
      </c>
      <c r="R515">
        <f t="shared" si="284"/>
        <v>2191.6581239482566</v>
      </c>
      <c r="S515">
        <f t="shared" si="284"/>
        <v>2333.9064836271577</v>
      </c>
      <c r="T515">
        <f t="shared" si="284"/>
        <v>1762.7023156805424</v>
      </c>
      <c r="U515">
        <f t="shared" si="284"/>
        <v>1406.8005336195599</v>
      </c>
      <c r="V515">
        <f t="shared" si="284"/>
        <v>1742.5843253423968</v>
      </c>
      <c r="W515">
        <f t="shared" si="284"/>
        <v>1561.8208179326616</v>
      </c>
      <c r="Y515" s="6">
        <f t="shared" si="274"/>
        <v>41549.197841024426</v>
      </c>
      <c r="Z515">
        <f t="shared" si="275"/>
        <v>6871.9498478266605</v>
      </c>
    </row>
    <row r="516" spans="1:26" x14ac:dyDescent="0.25">
      <c r="A516" t="s">
        <v>53</v>
      </c>
      <c r="D516">
        <f t="shared" ref="D516:W516" si="285">D48*D120</f>
        <v>2076.5326021715173</v>
      </c>
      <c r="E516">
        <f t="shared" si="285"/>
        <v>2353.7699124675305</v>
      </c>
      <c r="F516">
        <f t="shared" si="285"/>
        <v>2548.8307919717499</v>
      </c>
      <c r="G516">
        <f t="shared" si="285"/>
        <v>2185.4556191049355</v>
      </c>
      <c r="H516">
        <f t="shared" si="285"/>
        <v>1552.6128397025718</v>
      </c>
      <c r="I516">
        <f t="shared" si="285"/>
        <v>1985.0807259204873</v>
      </c>
      <c r="J516">
        <f t="shared" si="285"/>
        <v>2043.1279137129384</v>
      </c>
      <c r="K516">
        <f t="shared" si="285"/>
        <v>2385.9719133629419</v>
      </c>
      <c r="L516">
        <f t="shared" si="285"/>
        <v>1869.0012652511371</v>
      </c>
      <c r="M516">
        <f t="shared" si="285"/>
        <v>2119.3922069170426</v>
      </c>
      <c r="N516">
        <f t="shared" si="285"/>
        <v>2214.8254350405823</v>
      </c>
      <c r="O516">
        <f t="shared" si="285"/>
        <v>1856.5270702507109</v>
      </c>
      <c r="P516">
        <f t="shared" si="285"/>
        <v>1820.8490320397032</v>
      </c>
      <c r="Q516">
        <f t="shared" si="285"/>
        <v>1650.4610040991388</v>
      </c>
      <c r="R516">
        <f t="shared" si="285"/>
        <v>2249.2056778658848</v>
      </c>
      <c r="S516">
        <f t="shared" si="285"/>
        <v>1825.0333762962346</v>
      </c>
      <c r="T516">
        <f t="shared" si="285"/>
        <v>2348.0217166395787</v>
      </c>
      <c r="U516">
        <f t="shared" si="285"/>
        <v>1962.204459701222</v>
      </c>
      <c r="V516">
        <f t="shared" si="285"/>
        <v>2107.9521535372378</v>
      </c>
      <c r="W516">
        <f t="shared" si="285"/>
        <v>2040.1825920509307</v>
      </c>
      <c r="Y516" s="6">
        <f t="shared" si="274"/>
        <v>41195.038308104078</v>
      </c>
      <c r="Z516">
        <f t="shared" si="275"/>
        <v>6418.4710068095083</v>
      </c>
    </row>
    <row r="517" spans="1:26" x14ac:dyDescent="0.25">
      <c r="A517" t="s">
        <v>54</v>
      </c>
      <c r="D517">
        <f t="shared" ref="D517:W517" si="286">D49*D121</f>
        <v>2540.4944698899558</v>
      </c>
      <c r="E517">
        <f t="shared" si="286"/>
        <v>2313.4117021196002</v>
      </c>
      <c r="F517">
        <f t="shared" si="286"/>
        <v>1921.9046239128966</v>
      </c>
      <c r="G517">
        <f t="shared" si="286"/>
        <v>2251.9297122032067</v>
      </c>
      <c r="H517">
        <f t="shared" si="286"/>
        <v>2040.1579955678139</v>
      </c>
      <c r="I517">
        <f t="shared" si="286"/>
        <v>1966.0608453675018</v>
      </c>
      <c r="J517">
        <f t="shared" si="286"/>
        <v>1687.1909811373237</v>
      </c>
      <c r="K517">
        <f t="shared" si="286"/>
        <v>2019.2161767445973</v>
      </c>
      <c r="L517">
        <f t="shared" si="286"/>
        <v>2041.0586942226878</v>
      </c>
      <c r="M517">
        <f t="shared" si="286"/>
        <v>1974.8574064272666</v>
      </c>
      <c r="N517">
        <f t="shared" si="286"/>
        <v>1878.390399475607</v>
      </c>
      <c r="O517">
        <f t="shared" si="286"/>
        <v>2045.6184266395103</v>
      </c>
      <c r="P517">
        <f t="shared" si="286"/>
        <v>1736.3733362122946</v>
      </c>
      <c r="Q517">
        <f t="shared" si="286"/>
        <v>1913.9401663596559</v>
      </c>
      <c r="R517">
        <f t="shared" si="286"/>
        <v>1587.4496828503438</v>
      </c>
      <c r="S517">
        <f t="shared" si="286"/>
        <v>1930.7923065439882</v>
      </c>
      <c r="T517">
        <f t="shared" si="286"/>
        <v>1875.5960898759545</v>
      </c>
      <c r="U517">
        <f t="shared" si="286"/>
        <v>2036.711813073046</v>
      </c>
      <c r="V517">
        <f t="shared" si="286"/>
        <v>1922.783293377882</v>
      </c>
      <c r="W517">
        <f t="shared" si="286"/>
        <v>2088.7893323036824</v>
      </c>
      <c r="Y517" s="6">
        <f t="shared" si="274"/>
        <v>39772.727454304812</v>
      </c>
      <c r="Z517">
        <f t="shared" si="275"/>
        <v>6401.2967165796545</v>
      </c>
    </row>
    <row r="518" spans="1:26" x14ac:dyDescent="0.25">
      <c r="A518" t="s">
        <v>55</v>
      </c>
      <c r="D518">
        <f t="shared" ref="D518:W518" si="287">D50*D122</f>
        <v>2250.8514582322678</v>
      </c>
      <c r="E518">
        <f t="shared" si="287"/>
        <v>2553.3124388640467</v>
      </c>
      <c r="F518">
        <f t="shared" si="287"/>
        <v>2170.6581049253814</v>
      </c>
      <c r="G518">
        <f t="shared" si="287"/>
        <v>2455.1997747491519</v>
      </c>
      <c r="H518">
        <f t="shared" si="287"/>
        <v>1729.1868891620966</v>
      </c>
      <c r="I518">
        <f t="shared" si="287"/>
        <v>2142.9497274998598</v>
      </c>
      <c r="J518">
        <f t="shared" si="287"/>
        <v>2008.8261567564123</v>
      </c>
      <c r="K518">
        <f t="shared" si="287"/>
        <v>2066.6348027453546</v>
      </c>
      <c r="L518">
        <f t="shared" si="287"/>
        <v>1955.4299563389959</v>
      </c>
      <c r="M518">
        <f t="shared" si="287"/>
        <v>2114.3057152061133</v>
      </c>
      <c r="N518">
        <f t="shared" si="287"/>
        <v>2284.0533600861277</v>
      </c>
      <c r="O518">
        <f t="shared" si="287"/>
        <v>1718.602013065464</v>
      </c>
      <c r="P518">
        <f t="shared" si="287"/>
        <v>1651.3524289981672</v>
      </c>
      <c r="Q518">
        <f t="shared" si="287"/>
        <v>2162.155651628299</v>
      </c>
      <c r="R518">
        <f t="shared" si="287"/>
        <v>2078.1870912819231</v>
      </c>
      <c r="S518">
        <f t="shared" si="287"/>
        <v>2253.2487938122003</v>
      </c>
      <c r="T518">
        <f t="shared" si="287"/>
        <v>1730.2138844950346</v>
      </c>
      <c r="U518">
        <f t="shared" si="287"/>
        <v>1734.92740516341</v>
      </c>
      <c r="V518">
        <f t="shared" si="287"/>
        <v>1928.9019346287721</v>
      </c>
      <c r="W518">
        <f t="shared" si="287"/>
        <v>2009.2240631596951</v>
      </c>
      <c r="Y518" s="6">
        <f t="shared" si="274"/>
        <v>40998.221650798769</v>
      </c>
      <c r="Z518">
        <f t="shared" si="275"/>
        <v>6653.4614162284852</v>
      </c>
    </row>
    <row r="519" spans="1:26" x14ac:dyDescent="0.25">
      <c r="A519" t="s">
        <v>56</v>
      </c>
      <c r="D519">
        <f t="shared" ref="D519:W519" si="288">D51*D123</f>
        <v>2662.4743490478545</v>
      </c>
      <c r="E519">
        <f t="shared" si="288"/>
        <v>2439.1720595091697</v>
      </c>
      <c r="F519">
        <f t="shared" si="288"/>
        <v>2534.8129324329034</v>
      </c>
      <c r="G519">
        <f t="shared" si="288"/>
        <v>2454.4090856372977</v>
      </c>
      <c r="H519">
        <f t="shared" si="288"/>
        <v>2449.8432204090468</v>
      </c>
      <c r="I519">
        <f t="shared" si="288"/>
        <v>2524.2676015418219</v>
      </c>
      <c r="J519">
        <f t="shared" si="288"/>
        <v>2249.9582007496165</v>
      </c>
      <c r="K519">
        <f t="shared" si="288"/>
        <v>2470.6034696767074</v>
      </c>
      <c r="L519">
        <f t="shared" si="288"/>
        <v>2355.3870190921421</v>
      </c>
      <c r="M519">
        <f t="shared" si="288"/>
        <v>2285.013278529173</v>
      </c>
      <c r="N519">
        <f t="shared" si="288"/>
        <v>1812.3973986826913</v>
      </c>
      <c r="O519">
        <f t="shared" si="288"/>
        <v>2202.0278747686257</v>
      </c>
      <c r="P519">
        <f t="shared" si="288"/>
        <v>1980.9564329992215</v>
      </c>
      <c r="Q519">
        <f t="shared" si="288"/>
        <v>1777.0919327837314</v>
      </c>
      <c r="R519">
        <f t="shared" si="288"/>
        <v>2203.7774084372827</v>
      </c>
      <c r="S519">
        <f t="shared" si="288"/>
        <v>1786.3526417846192</v>
      </c>
      <c r="T519">
        <f t="shared" si="288"/>
        <v>1905.5226721277081</v>
      </c>
      <c r="U519">
        <f t="shared" si="288"/>
        <v>1955.8195295804912</v>
      </c>
      <c r="V519">
        <f t="shared" si="288"/>
        <v>1878.2738637548459</v>
      </c>
      <c r="W519">
        <f t="shared" si="288"/>
        <v>2315.2023900327385</v>
      </c>
      <c r="Y519" s="6">
        <f t="shared" si="274"/>
        <v>44243.363361577685</v>
      </c>
      <c r="Z519">
        <f t="shared" si="275"/>
        <v>6974.7601197576323</v>
      </c>
    </row>
    <row r="520" spans="1:26" x14ac:dyDescent="0.25">
      <c r="A520" t="s">
        <v>57</v>
      </c>
      <c r="D520">
        <f t="shared" ref="D520:W520" si="289">D52*D124</f>
        <v>2672.1055373970758</v>
      </c>
      <c r="E520">
        <f t="shared" si="289"/>
        <v>2787.5719787191274</v>
      </c>
      <c r="F520">
        <f t="shared" si="289"/>
        <v>2547.7615823104597</v>
      </c>
      <c r="G520">
        <f t="shared" si="289"/>
        <v>2272.6048804138463</v>
      </c>
      <c r="H520">
        <f t="shared" si="289"/>
        <v>2161.7637281677262</v>
      </c>
      <c r="I520">
        <f t="shared" si="289"/>
        <v>2161.2028304876649</v>
      </c>
      <c r="J520">
        <f t="shared" si="289"/>
        <v>2137.1643851027347</v>
      </c>
      <c r="K520">
        <f t="shared" si="289"/>
        <v>2177.7081972453889</v>
      </c>
      <c r="L520">
        <f t="shared" si="289"/>
        <v>2066.801540150348</v>
      </c>
      <c r="M520">
        <f t="shared" si="289"/>
        <v>2277.1739595816885</v>
      </c>
      <c r="N520">
        <f t="shared" si="289"/>
        <v>2233.8036910865221</v>
      </c>
      <c r="O520">
        <f t="shared" si="289"/>
        <v>1460.704366067411</v>
      </c>
      <c r="P520">
        <f t="shared" si="289"/>
        <v>2157.4598332924402</v>
      </c>
      <c r="Q520">
        <f t="shared" si="289"/>
        <v>2205.2020101625021</v>
      </c>
      <c r="R520">
        <f t="shared" si="289"/>
        <v>1822.6459698086819</v>
      </c>
      <c r="S520">
        <f t="shared" si="289"/>
        <v>1465.2588245669835</v>
      </c>
      <c r="T520">
        <f t="shared" si="289"/>
        <v>1914.4490791641258</v>
      </c>
      <c r="U520">
        <f t="shared" si="289"/>
        <v>2331.3228889255424</v>
      </c>
      <c r="V520">
        <f t="shared" si="289"/>
        <v>1227.247806219503</v>
      </c>
      <c r="W520">
        <f t="shared" si="289"/>
        <v>2235.1910528906396</v>
      </c>
      <c r="Y520" s="6">
        <f t="shared" si="274"/>
        <v>42315.144141760407</v>
      </c>
      <c r="Z520">
        <f t="shared" si="275"/>
        <v>6530.1485157480965</v>
      </c>
    </row>
    <row r="521" spans="1:26" x14ac:dyDescent="0.25">
      <c r="A521" t="s">
        <v>58</v>
      </c>
      <c r="D521">
        <f t="shared" ref="D521:W521" si="290">D53*D125</f>
        <v>1876.0346108669073</v>
      </c>
      <c r="E521">
        <f t="shared" si="290"/>
        <v>2373.582955349174</v>
      </c>
      <c r="F521">
        <f t="shared" si="290"/>
        <v>2081.7435536437324</v>
      </c>
      <c r="G521">
        <f t="shared" si="290"/>
        <v>2367.5215936067848</v>
      </c>
      <c r="H521">
        <f t="shared" si="290"/>
        <v>1709.7919579140278</v>
      </c>
      <c r="I521">
        <f t="shared" si="290"/>
        <v>1780.6202571163176</v>
      </c>
      <c r="J521">
        <f t="shared" si="290"/>
        <v>2148.8248732367897</v>
      </c>
      <c r="K521">
        <f t="shared" si="290"/>
        <v>1973.1600197760656</v>
      </c>
      <c r="L521">
        <f t="shared" si="290"/>
        <v>2112.2138628445646</v>
      </c>
      <c r="M521">
        <f t="shared" si="290"/>
        <v>1881.3640042209377</v>
      </c>
      <c r="N521">
        <f t="shared" si="290"/>
        <v>1785.3616796655792</v>
      </c>
      <c r="O521">
        <f t="shared" si="290"/>
        <v>2068.4293996497622</v>
      </c>
      <c r="P521">
        <f t="shared" si="290"/>
        <v>1562.8252689748135</v>
      </c>
      <c r="Q521">
        <f t="shared" si="290"/>
        <v>1321.2988436501776</v>
      </c>
      <c r="R521">
        <f t="shared" si="290"/>
        <v>2044.8296352541968</v>
      </c>
      <c r="S521">
        <f t="shared" si="290"/>
        <v>2008.786192869559</v>
      </c>
      <c r="T521">
        <f t="shared" si="290"/>
        <v>2325.8227570459485</v>
      </c>
      <c r="U521">
        <f t="shared" si="290"/>
        <v>1164.2576847071139</v>
      </c>
      <c r="V521">
        <f t="shared" si="290"/>
        <v>1598.2235116253028</v>
      </c>
      <c r="W521">
        <f t="shared" si="290"/>
        <v>2115.7486835118257</v>
      </c>
      <c r="Y521" s="6">
        <f t="shared" si="274"/>
        <v>38300.441345529573</v>
      </c>
      <c r="Z521">
        <f t="shared" si="275"/>
        <v>6144.6288786335126</v>
      </c>
    </row>
    <row r="522" spans="1:26" x14ac:dyDescent="0.25">
      <c r="A522" t="s">
        <v>59</v>
      </c>
      <c r="D522">
        <f t="shared" ref="D522:W522" si="291">D54*D126</f>
        <v>2678.3212862632213</v>
      </c>
      <c r="E522">
        <f t="shared" si="291"/>
        <v>2178.2916439132109</v>
      </c>
      <c r="F522">
        <f t="shared" si="291"/>
        <v>2133.5559680925417</v>
      </c>
      <c r="G522">
        <f t="shared" si="291"/>
        <v>2305.687053906257</v>
      </c>
      <c r="H522">
        <f t="shared" si="291"/>
        <v>2058.05169834872</v>
      </c>
      <c r="I522">
        <f t="shared" si="291"/>
        <v>2358.3476792918041</v>
      </c>
      <c r="J522">
        <f t="shared" si="291"/>
        <v>2173.1917678515242</v>
      </c>
      <c r="K522">
        <f t="shared" si="291"/>
        <v>1944.0088058225529</v>
      </c>
      <c r="L522">
        <f t="shared" si="291"/>
        <v>1510.459027585393</v>
      </c>
      <c r="M522">
        <f t="shared" si="291"/>
        <v>2014.4645597373501</v>
      </c>
      <c r="N522">
        <f t="shared" si="291"/>
        <v>2209.2693479855302</v>
      </c>
      <c r="O522">
        <f t="shared" si="291"/>
        <v>1694.0089726621372</v>
      </c>
      <c r="P522">
        <f t="shared" si="291"/>
        <v>1571.4410142605341</v>
      </c>
      <c r="Q522">
        <f t="shared" si="291"/>
        <v>1481.9655448174526</v>
      </c>
      <c r="R522">
        <f t="shared" si="291"/>
        <v>1332.7531087568232</v>
      </c>
      <c r="S522">
        <f t="shared" si="291"/>
        <v>2048.8923134953202</v>
      </c>
      <c r="T522">
        <f t="shared" si="291"/>
        <v>1993.5263127155133</v>
      </c>
      <c r="U522">
        <f t="shared" si="291"/>
        <v>2241.4039981137489</v>
      </c>
      <c r="V522">
        <f t="shared" si="291"/>
        <v>1894.3678982763588</v>
      </c>
      <c r="W522">
        <f t="shared" si="291"/>
        <v>1991.6100291090322</v>
      </c>
      <c r="Y522" s="6">
        <f t="shared" si="274"/>
        <v>39813.618031005019</v>
      </c>
      <c r="Z522">
        <f t="shared" si="275"/>
        <v>6659.0894198763226</v>
      </c>
    </row>
    <row r="523" spans="1:26" x14ac:dyDescent="0.25">
      <c r="A523" t="s">
        <v>60</v>
      </c>
      <c r="D523">
        <f t="shared" ref="D523:W523" si="292">D55*D127</f>
        <v>2083.3617058402847</v>
      </c>
      <c r="E523">
        <f t="shared" si="292"/>
        <v>1771.8581310758736</v>
      </c>
      <c r="F523">
        <f t="shared" si="292"/>
        <v>1916.3953317774724</v>
      </c>
      <c r="G523">
        <f t="shared" si="292"/>
        <v>2111.2954659111024</v>
      </c>
      <c r="H523">
        <f t="shared" si="292"/>
        <v>2185.830642193665</v>
      </c>
      <c r="I523">
        <f t="shared" si="292"/>
        <v>1513.8577762352836</v>
      </c>
      <c r="J523">
        <f t="shared" si="292"/>
        <v>2010.8742185199781</v>
      </c>
      <c r="K523">
        <f t="shared" si="292"/>
        <v>2549.8702325524105</v>
      </c>
      <c r="L523">
        <f t="shared" si="292"/>
        <v>1860.6792467927921</v>
      </c>
      <c r="M523">
        <f t="shared" si="292"/>
        <v>1611.2465335815036</v>
      </c>
      <c r="N523">
        <f t="shared" si="292"/>
        <v>1530.8019422588295</v>
      </c>
      <c r="O523">
        <f t="shared" si="292"/>
        <v>1566.9826271976201</v>
      </c>
      <c r="P523">
        <f t="shared" si="292"/>
        <v>1839.5968681080069</v>
      </c>
      <c r="Q523">
        <f t="shared" si="292"/>
        <v>1888.5073252337374</v>
      </c>
      <c r="R523">
        <f t="shared" si="292"/>
        <v>1756.2194031630281</v>
      </c>
      <c r="S523">
        <f t="shared" si="292"/>
        <v>1834.7904382563759</v>
      </c>
      <c r="T523">
        <f t="shared" si="292"/>
        <v>2106.7595103589952</v>
      </c>
      <c r="U523">
        <f t="shared" si="292"/>
        <v>1965.5952113717606</v>
      </c>
      <c r="V523">
        <f t="shared" si="292"/>
        <v>1321.784596579542</v>
      </c>
      <c r="W523">
        <f t="shared" si="292"/>
        <v>1737.2015090536181</v>
      </c>
      <c r="Y523" s="6">
        <f t="shared" si="274"/>
        <v>37163.508716061879</v>
      </c>
      <c r="Z523">
        <f t="shared" si="275"/>
        <v>5639.9955616274556</v>
      </c>
    </row>
    <row r="524" spans="1:26" x14ac:dyDescent="0.25">
      <c r="A524" t="s">
        <v>61</v>
      </c>
      <c r="D524">
        <f t="shared" ref="D524:W524" si="293">D56*D128</f>
        <v>2513.9933318108406</v>
      </c>
      <c r="E524">
        <f t="shared" si="293"/>
        <v>2895.770181935648</v>
      </c>
      <c r="F524">
        <f t="shared" si="293"/>
        <v>2301.4818108934014</v>
      </c>
      <c r="G524">
        <f t="shared" si="293"/>
        <v>1984.4905206103108</v>
      </c>
      <c r="H524">
        <f t="shared" si="293"/>
        <v>2608.3609673736119</v>
      </c>
      <c r="I524">
        <f t="shared" si="293"/>
        <v>2556.7941507252362</v>
      </c>
      <c r="J524">
        <f t="shared" si="293"/>
        <v>2227.4057673290981</v>
      </c>
      <c r="K524">
        <f t="shared" si="293"/>
        <v>1976.639270236748</v>
      </c>
      <c r="L524">
        <f t="shared" si="293"/>
        <v>1521.0264860241571</v>
      </c>
      <c r="M524">
        <f t="shared" si="293"/>
        <v>1899.4139224174182</v>
      </c>
      <c r="N524">
        <f t="shared" si="293"/>
        <v>2339.0526362423584</v>
      </c>
      <c r="O524">
        <f t="shared" si="293"/>
        <v>2232.4397766602397</v>
      </c>
      <c r="P524">
        <f t="shared" si="293"/>
        <v>1926.3548137567921</v>
      </c>
      <c r="Q524">
        <f t="shared" si="293"/>
        <v>1756.5398122369302</v>
      </c>
      <c r="R524">
        <f t="shared" si="293"/>
        <v>1917.9839000192198</v>
      </c>
      <c r="S524">
        <f t="shared" si="293"/>
        <v>2286.392210530566</v>
      </c>
      <c r="T524">
        <f t="shared" si="293"/>
        <v>2467.4002493253397</v>
      </c>
      <c r="U524">
        <f t="shared" si="293"/>
        <v>2023.8273782442654</v>
      </c>
      <c r="V524">
        <f t="shared" si="293"/>
        <v>1813.7649721339519</v>
      </c>
      <c r="W524">
        <f t="shared" si="293"/>
        <v>2362.5767341780647</v>
      </c>
      <c r="Y524" s="6">
        <f t="shared" si="274"/>
        <v>43611.708892684204</v>
      </c>
      <c r="Z524">
        <f t="shared" si="275"/>
        <v>7203.1865152291439</v>
      </c>
    </row>
    <row r="525" spans="1:26" x14ac:dyDescent="0.25">
      <c r="A525" t="s">
        <v>62</v>
      </c>
      <c r="D525">
        <f t="shared" ref="D525:W525" si="294">D57*D129</f>
        <v>2148.0207132830201</v>
      </c>
      <c r="E525">
        <f t="shared" si="294"/>
        <v>2225.338441425431</v>
      </c>
      <c r="F525">
        <f t="shared" si="294"/>
        <v>2147.7798367567057</v>
      </c>
      <c r="G525">
        <f t="shared" si="294"/>
        <v>2544.0814778280278</v>
      </c>
      <c r="H525">
        <f t="shared" si="294"/>
        <v>2320.1784697159483</v>
      </c>
      <c r="I525">
        <f t="shared" si="294"/>
        <v>2208.3117056531805</v>
      </c>
      <c r="J525">
        <f t="shared" si="294"/>
        <v>2177.099057848051</v>
      </c>
      <c r="K525">
        <f t="shared" si="294"/>
        <v>2238.944287856923</v>
      </c>
      <c r="L525">
        <f t="shared" si="294"/>
        <v>1998.0341524235937</v>
      </c>
      <c r="M525">
        <f t="shared" si="294"/>
        <v>1656.4166557316089</v>
      </c>
      <c r="N525">
        <f t="shared" si="294"/>
        <v>1907.4064154785988</v>
      </c>
      <c r="O525">
        <f t="shared" si="294"/>
        <v>1700.1243554498908</v>
      </c>
      <c r="P525">
        <f t="shared" si="294"/>
        <v>1551.9504723211844</v>
      </c>
      <c r="Q525">
        <f t="shared" si="294"/>
        <v>1609.7393571243633</v>
      </c>
      <c r="R525">
        <f t="shared" si="294"/>
        <v>2129.9015638823976</v>
      </c>
      <c r="S525">
        <f t="shared" si="294"/>
        <v>2127.0422707627517</v>
      </c>
      <c r="T525">
        <f t="shared" si="294"/>
        <v>1616.3325840360626</v>
      </c>
      <c r="U525">
        <f t="shared" si="294"/>
        <v>2511.4750787740895</v>
      </c>
      <c r="V525">
        <f t="shared" si="294"/>
        <v>2200.4011374233091</v>
      </c>
      <c r="W525">
        <f t="shared" si="294"/>
        <v>2294.7892901389605</v>
      </c>
      <c r="Y525" s="6">
        <f t="shared" si="274"/>
        <v>41313.367323914092</v>
      </c>
      <c r="Z525">
        <f t="shared" si="275"/>
        <v>6529.8886881104199</v>
      </c>
    </row>
    <row r="526" spans="1:26" x14ac:dyDescent="0.25">
      <c r="A526" t="s">
        <v>63</v>
      </c>
      <c r="D526">
        <f t="shared" ref="D526:W526" si="295">D58*D130</f>
        <v>2329.2715761915802</v>
      </c>
      <c r="E526">
        <f t="shared" si="295"/>
        <v>2473.6909677554718</v>
      </c>
      <c r="F526">
        <f t="shared" si="295"/>
        <v>2573.2778409669359</v>
      </c>
      <c r="G526">
        <f t="shared" si="295"/>
        <v>2505.4999524457085</v>
      </c>
      <c r="H526">
        <f t="shared" si="295"/>
        <v>1654.0989615530189</v>
      </c>
      <c r="I526">
        <f t="shared" si="295"/>
        <v>2131.9350186217598</v>
      </c>
      <c r="J526">
        <f t="shared" si="295"/>
        <v>2314.7019839451327</v>
      </c>
      <c r="K526">
        <f t="shared" si="295"/>
        <v>2009.8112389024482</v>
      </c>
      <c r="L526">
        <f t="shared" si="295"/>
        <v>2152.6878085919452</v>
      </c>
      <c r="M526">
        <f t="shared" si="295"/>
        <v>1490.1733158081988</v>
      </c>
      <c r="N526">
        <f t="shared" si="295"/>
        <v>2074.3485555285929</v>
      </c>
      <c r="O526">
        <f t="shared" si="295"/>
        <v>2267.0255284195259</v>
      </c>
      <c r="P526">
        <f t="shared" si="295"/>
        <v>1970.7594504700287</v>
      </c>
      <c r="Q526">
        <f t="shared" si="295"/>
        <v>2162.0050446410141</v>
      </c>
      <c r="R526">
        <f t="shared" si="295"/>
        <v>2295.576420604335</v>
      </c>
      <c r="S526">
        <f t="shared" si="295"/>
        <v>2436.8842776718866</v>
      </c>
      <c r="T526">
        <f t="shared" si="295"/>
        <v>2495.9284930605641</v>
      </c>
      <c r="U526">
        <f t="shared" si="295"/>
        <v>1937.4908150033939</v>
      </c>
      <c r="V526">
        <f t="shared" si="295"/>
        <v>2228.1638231827574</v>
      </c>
      <c r="W526">
        <f t="shared" si="295"/>
        <v>2212.1543269775811</v>
      </c>
      <c r="Y526" s="6">
        <f t="shared" si="274"/>
        <v>43715.48540034188</v>
      </c>
      <c r="Z526">
        <f t="shared" si="275"/>
        <v>7038.7455596309474</v>
      </c>
    </row>
    <row r="527" spans="1:26" x14ac:dyDescent="0.25">
      <c r="A527" t="s">
        <v>64</v>
      </c>
      <c r="D527">
        <f t="shared" ref="D527:W527" si="296">D59*D131</f>
        <v>2358.3972905758555</v>
      </c>
      <c r="E527">
        <f t="shared" si="296"/>
        <v>2502.3559431667809</v>
      </c>
      <c r="F527">
        <f t="shared" si="296"/>
        <v>2470.2084026279749</v>
      </c>
      <c r="G527">
        <f t="shared" si="296"/>
        <v>2137.3323391036965</v>
      </c>
      <c r="H527">
        <f t="shared" si="296"/>
        <v>2221.0839393468723</v>
      </c>
      <c r="I527">
        <f t="shared" si="296"/>
        <v>1832.5642010653135</v>
      </c>
      <c r="J527">
        <f t="shared" si="296"/>
        <v>2050.4690998727774</v>
      </c>
      <c r="K527">
        <f t="shared" si="296"/>
        <v>2341.3529468119932</v>
      </c>
      <c r="L527">
        <f t="shared" si="296"/>
        <v>2303.474094992886</v>
      </c>
      <c r="M527">
        <f t="shared" si="296"/>
        <v>1834.03114988985</v>
      </c>
      <c r="N527">
        <f t="shared" si="296"/>
        <v>1461.012829115575</v>
      </c>
      <c r="O527">
        <f t="shared" si="296"/>
        <v>1964.8286803694903</v>
      </c>
      <c r="P527">
        <f t="shared" si="296"/>
        <v>1433.5623949515241</v>
      </c>
      <c r="Q527">
        <f t="shared" si="296"/>
        <v>2411.3429019488058</v>
      </c>
      <c r="R527">
        <f t="shared" si="296"/>
        <v>2521.1648836660952</v>
      </c>
      <c r="S527">
        <f t="shared" si="296"/>
        <v>2130.6494984912056</v>
      </c>
      <c r="T527">
        <f t="shared" si="296"/>
        <v>2331.9743162864556</v>
      </c>
      <c r="U527">
        <f t="shared" si="296"/>
        <v>2137.0032949134948</v>
      </c>
      <c r="V527">
        <f t="shared" si="296"/>
        <v>1814.8397458095324</v>
      </c>
      <c r="W527">
        <f t="shared" si="296"/>
        <v>1799.6731662567502</v>
      </c>
      <c r="Y527" s="6">
        <f t="shared" si="274"/>
        <v>42057.321119262931</v>
      </c>
      <c r="Z527">
        <f t="shared" si="275"/>
        <v>6524.7653466166366</v>
      </c>
    </row>
    <row r="528" spans="1:26" x14ac:dyDescent="0.25">
      <c r="A528" t="s">
        <v>65</v>
      </c>
      <c r="D528">
        <f t="shared" ref="D528:W528" si="297">D60*D132</f>
        <v>2855.2058311828455</v>
      </c>
      <c r="E528">
        <f t="shared" si="297"/>
        <v>2832.3017954635147</v>
      </c>
      <c r="F528">
        <f t="shared" si="297"/>
        <v>2961.646656245111</v>
      </c>
      <c r="G528">
        <f t="shared" si="297"/>
        <v>2612.7384074067345</v>
      </c>
      <c r="H528">
        <f t="shared" si="297"/>
        <v>2594.5423908358871</v>
      </c>
      <c r="I528">
        <f t="shared" si="297"/>
        <v>2413.8287369783247</v>
      </c>
      <c r="J528">
        <f t="shared" si="297"/>
        <v>1754.7510156497178</v>
      </c>
      <c r="K528">
        <f t="shared" si="297"/>
        <v>2374.6365109426488</v>
      </c>
      <c r="L528">
        <f t="shared" si="297"/>
        <v>2101.4017030513724</v>
      </c>
      <c r="M528">
        <f t="shared" si="297"/>
        <v>1854.1489195115464</v>
      </c>
      <c r="N528">
        <f t="shared" si="297"/>
        <v>1898.9828747381728</v>
      </c>
      <c r="O528">
        <f t="shared" si="297"/>
        <v>1929.3643063515517</v>
      </c>
      <c r="P528">
        <f t="shared" si="297"/>
        <v>1514.539496997885</v>
      </c>
      <c r="Q528">
        <f t="shared" si="297"/>
        <v>1836.1087040558705</v>
      </c>
      <c r="R528">
        <f t="shared" si="297"/>
        <v>1276.5162352177595</v>
      </c>
      <c r="S528">
        <f t="shared" si="297"/>
        <v>2228.1854832932627</v>
      </c>
      <c r="T528">
        <f t="shared" si="297"/>
        <v>2373.7863862721147</v>
      </c>
      <c r="U528">
        <f t="shared" si="297"/>
        <v>2505.3153825737591</v>
      </c>
      <c r="V528">
        <f t="shared" si="297"/>
        <v>1916.2851157137952</v>
      </c>
      <c r="W528">
        <f t="shared" si="297"/>
        <v>2482.2019960715197</v>
      </c>
      <c r="Y528" s="6">
        <f t="shared" si="274"/>
        <v>44316.487948553389</v>
      </c>
      <c r="Z528">
        <f t="shared" si="275"/>
        <v>7573.906872442587</v>
      </c>
    </row>
    <row r="529" spans="1:26" x14ac:dyDescent="0.25">
      <c r="A529" t="s">
        <v>66</v>
      </c>
      <c r="D529">
        <f t="shared" ref="D529:W529" si="298">D61*D133</f>
        <v>2921.4016062543078</v>
      </c>
      <c r="E529">
        <f t="shared" si="298"/>
        <v>2795.6131825490024</v>
      </c>
      <c r="F529">
        <f t="shared" si="298"/>
        <v>2320.7452855574147</v>
      </c>
      <c r="G529">
        <f t="shared" si="298"/>
        <v>2195.5286326399887</v>
      </c>
      <c r="H529">
        <f t="shared" si="298"/>
        <v>2426.823375806141</v>
      </c>
      <c r="I529">
        <f t="shared" si="298"/>
        <v>2237.7914723985955</v>
      </c>
      <c r="J529">
        <f t="shared" si="298"/>
        <v>2122.0339735967491</v>
      </c>
      <c r="K529">
        <f t="shared" si="298"/>
        <v>2117.1480315276754</v>
      </c>
      <c r="L529">
        <f t="shared" si="298"/>
        <v>2392.7038478814061</v>
      </c>
      <c r="M529">
        <f t="shared" si="298"/>
        <v>2008.2180084847873</v>
      </c>
      <c r="N529">
        <f t="shared" si="298"/>
        <v>1849.9241399071389</v>
      </c>
      <c r="O529">
        <f t="shared" si="298"/>
        <v>2166.4272844405191</v>
      </c>
      <c r="P529">
        <f t="shared" si="298"/>
        <v>2431.6774096389559</v>
      </c>
      <c r="Q529">
        <f t="shared" si="298"/>
        <v>2098.236886273462</v>
      </c>
      <c r="R529">
        <f t="shared" si="298"/>
        <v>2179.3752759404624</v>
      </c>
      <c r="S529">
        <f t="shared" si="298"/>
        <v>2046.5199982892964</v>
      </c>
      <c r="T529">
        <f t="shared" si="298"/>
        <v>2289.6234415706581</v>
      </c>
      <c r="U529">
        <f t="shared" si="298"/>
        <v>2684.079331118854</v>
      </c>
      <c r="V529">
        <f t="shared" si="298"/>
        <v>2278.1922453439383</v>
      </c>
      <c r="W529">
        <f t="shared" si="298"/>
        <v>2007.3244066778864</v>
      </c>
      <c r="Y529" s="6">
        <f t="shared" si="274"/>
        <v>45569.387835897236</v>
      </c>
      <c r="Z529">
        <f t="shared" si="275"/>
        <v>7054.7112969063537</v>
      </c>
    </row>
    <row r="530" spans="1:26" x14ac:dyDescent="0.25">
      <c r="A530" t="s">
        <v>67</v>
      </c>
      <c r="D530">
        <f t="shared" ref="D530:W530" si="299">D62*D134</f>
        <v>2678.2336478870743</v>
      </c>
      <c r="E530">
        <f t="shared" si="299"/>
        <v>2135.8570634560397</v>
      </c>
      <c r="F530">
        <f t="shared" si="299"/>
        <v>2068.0025662967355</v>
      </c>
      <c r="G530">
        <f t="shared" si="299"/>
        <v>2540.7974276041082</v>
      </c>
      <c r="H530">
        <f t="shared" si="299"/>
        <v>3148.8811149261564</v>
      </c>
      <c r="I530">
        <f t="shared" si="299"/>
        <v>2376.6596452073391</v>
      </c>
      <c r="J530">
        <f t="shared" si="299"/>
        <v>2614.9693956048341</v>
      </c>
      <c r="K530">
        <f t="shared" si="299"/>
        <v>2201.4280332397993</v>
      </c>
      <c r="L530">
        <f t="shared" si="299"/>
        <v>2317.4973061035003</v>
      </c>
      <c r="M530">
        <f t="shared" si="299"/>
        <v>1861.4429427649086</v>
      </c>
      <c r="N530">
        <f t="shared" si="299"/>
        <v>1952.6454074757148</v>
      </c>
      <c r="O530">
        <f t="shared" si="299"/>
        <v>1985.6850487530332</v>
      </c>
      <c r="P530">
        <f t="shared" si="299"/>
        <v>1807.1774991081124</v>
      </c>
      <c r="Q530">
        <f t="shared" si="299"/>
        <v>1894.3149753397099</v>
      </c>
      <c r="R530">
        <f t="shared" si="299"/>
        <v>1938.1439755877079</v>
      </c>
      <c r="S530">
        <f t="shared" si="299"/>
        <v>2049.1319039184909</v>
      </c>
      <c r="T530">
        <f t="shared" si="299"/>
        <v>2132.0723892717324</v>
      </c>
      <c r="U530">
        <f t="shared" si="299"/>
        <v>2105.4428838208573</v>
      </c>
      <c r="V530">
        <f t="shared" si="299"/>
        <v>2336.7403656127722</v>
      </c>
      <c r="W530">
        <f t="shared" si="299"/>
        <v>2389.5260126885469</v>
      </c>
      <c r="Y530" s="6">
        <f t="shared" si="274"/>
        <v>44534.64960466716</v>
      </c>
      <c r="Z530">
        <f t="shared" si="275"/>
        <v>6913.4309042528812</v>
      </c>
    </row>
    <row r="531" spans="1:26" x14ac:dyDescent="0.25">
      <c r="A531" t="s">
        <v>68</v>
      </c>
      <c r="D531">
        <f t="shared" ref="D531:W531" si="300">D63*D135</f>
        <v>2311.7321158170753</v>
      </c>
      <c r="E531">
        <f t="shared" si="300"/>
        <v>2360.011794552242</v>
      </c>
      <c r="F531">
        <f t="shared" si="300"/>
        <v>2859.1025538674257</v>
      </c>
      <c r="G531">
        <f t="shared" si="300"/>
        <v>2938.2265537572885</v>
      </c>
      <c r="H531">
        <f t="shared" si="300"/>
        <v>2844.5800036724313</v>
      </c>
      <c r="I531">
        <f t="shared" si="300"/>
        <v>2937.2435965280624</v>
      </c>
      <c r="J531">
        <f t="shared" si="300"/>
        <v>2055.5589692017479</v>
      </c>
      <c r="K531">
        <f t="shared" si="300"/>
        <v>1744.5256018859372</v>
      </c>
      <c r="L531">
        <f t="shared" si="300"/>
        <v>2375.2554824800368</v>
      </c>
      <c r="M531">
        <f t="shared" si="300"/>
        <v>2007.370504969728</v>
      </c>
      <c r="N531">
        <f t="shared" si="300"/>
        <v>1847.4407898695124</v>
      </c>
      <c r="O531">
        <f t="shared" si="300"/>
        <v>1884.8551549050794</v>
      </c>
      <c r="P531">
        <f t="shared" si="300"/>
        <v>2118.1000423570345</v>
      </c>
      <c r="Q531">
        <f t="shared" si="300"/>
        <v>2289.9312153902802</v>
      </c>
      <c r="R531">
        <f t="shared" si="300"/>
        <v>2681.7408845106784</v>
      </c>
      <c r="S531">
        <f t="shared" si="300"/>
        <v>2437.0867395868818</v>
      </c>
      <c r="T531">
        <f t="shared" si="300"/>
        <v>2363.6679388721395</v>
      </c>
      <c r="U531">
        <f t="shared" si="300"/>
        <v>2184.4056566035606</v>
      </c>
      <c r="V531">
        <f t="shared" si="300"/>
        <v>2462.7715910394231</v>
      </c>
      <c r="W531">
        <f t="shared" si="300"/>
        <v>2688.5383173843807</v>
      </c>
      <c r="Y531" s="6">
        <f t="shared" si="274"/>
        <v>47392.145507250942</v>
      </c>
      <c r="Z531">
        <f t="shared" si="275"/>
        <v>7869.4730222085182</v>
      </c>
    </row>
    <row r="532" spans="1:26" x14ac:dyDescent="0.25">
      <c r="A532" t="s">
        <v>69</v>
      </c>
      <c r="D532">
        <f t="shared" ref="D532:W532" si="301">D64*D136</f>
        <v>2413.769806286653</v>
      </c>
      <c r="E532">
        <f t="shared" si="301"/>
        <v>2777.8845898551326</v>
      </c>
      <c r="F532">
        <f t="shared" si="301"/>
        <v>2692.905960281018</v>
      </c>
      <c r="G532">
        <f t="shared" si="301"/>
        <v>2732.4201619377718</v>
      </c>
      <c r="H532">
        <f t="shared" si="301"/>
        <v>2422.951846101058</v>
      </c>
      <c r="I532">
        <f t="shared" si="301"/>
        <v>2678.5065471963399</v>
      </c>
      <c r="J532">
        <f t="shared" si="301"/>
        <v>1843.0819528495501</v>
      </c>
      <c r="K532">
        <f t="shared" si="301"/>
        <v>1857.3912922897937</v>
      </c>
      <c r="L532">
        <f t="shared" si="301"/>
        <v>1592.599290746369</v>
      </c>
      <c r="M532">
        <f t="shared" si="301"/>
        <v>1942.4479518420724</v>
      </c>
      <c r="N532">
        <f t="shared" si="301"/>
        <v>1955.1818401275455</v>
      </c>
      <c r="O532">
        <f t="shared" si="301"/>
        <v>1750.7967734502431</v>
      </c>
      <c r="P532">
        <f t="shared" si="301"/>
        <v>1816.55264248399</v>
      </c>
      <c r="Q532">
        <f t="shared" si="301"/>
        <v>2641.3655091670162</v>
      </c>
      <c r="R532">
        <f t="shared" si="301"/>
        <v>1516.7492088613808</v>
      </c>
      <c r="S532">
        <f t="shared" si="301"/>
        <v>1572.8976591151745</v>
      </c>
      <c r="T532">
        <f t="shared" si="301"/>
        <v>1971.0431956847219</v>
      </c>
      <c r="U532">
        <f t="shared" si="301"/>
        <v>2389.2114462066825</v>
      </c>
      <c r="V532">
        <f t="shared" si="301"/>
        <v>2151.8531610624923</v>
      </c>
      <c r="W532">
        <f t="shared" si="301"/>
        <v>2082.6191631173106</v>
      </c>
      <c r="Y532" s="6">
        <f t="shared" si="274"/>
        <v>42802.229998662318</v>
      </c>
      <c r="Z532">
        <f t="shared" si="275"/>
        <v>7175.6355507693088</v>
      </c>
    </row>
    <row r="533" spans="1:26" x14ac:dyDescent="0.25">
      <c r="Y533" s="6"/>
    </row>
    <row r="534" spans="1:26" x14ac:dyDescent="0.25">
      <c r="A534" t="s">
        <v>70</v>
      </c>
      <c r="D534">
        <f t="shared" ref="D534:W534" si="302">D66*D138</f>
        <v>3089.5093305775486</v>
      </c>
      <c r="E534">
        <f t="shared" si="302"/>
        <v>2619.1940833332274</v>
      </c>
      <c r="F534">
        <f t="shared" si="302"/>
        <v>2556.9745329121456</v>
      </c>
      <c r="G534">
        <f t="shared" si="302"/>
        <v>2514.0262441713026</v>
      </c>
      <c r="H534">
        <f t="shared" si="302"/>
        <v>2407.0749686985178</v>
      </c>
      <c r="I534">
        <f t="shared" si="302"/>
        <v>2709.4874881716664</v>
      </c>
      <c r="J534">
        <f t="shared" si="302"/>
        <v>2609.4126587829655</v>
      </c>
      <c r="K534">
        <f t="shared" si="302"/>
        <v>2325.9572596979156</v>
      </c>
      <c r="L534">
        <f t="shared" si="302"/>
        <v>1891.3229304562049</v>
      </c>
      <c r="M534">
        <f t="shared" si="302"/>
        <v>1856.3200007071721</v>
      </c>
      <c r="N534">
        <f t="shared" si="302"/>
        <v>1700.5844205995929</v>
      </c>
      <c r="O534">
        <f t="shared" si="302"/>
        <v>1988.5053620555466</v>
      </c>
      <c r="P534">
        <f t="shared" si="302"/>
        <v>1827.2676366496401</v>
      </c>
      <c r="Q534">
        <f t="shared" si="302"/>
        <v>2119.4796685370784</v>
      </c>
      <c r="R534">
        <f t="shared" si="302"/>
        <v>2047.5639883271763</v>
      </c>
      <c r="S534">
        <f t="shared" si="302"/>
        <v>2128.6233676455772</v>
      </c>
      <c r="T534">
        <f t="shared" si="302"/>
        <v>2195.3272848515412</v>
      </c>
      <c r="U534">
        <f t="shared" si="302"/>
        <v>2310.2236581438733</v>
      </c>
      <c r="V534">
        <f t="shared" si="302"/>
        <v>2176.9150278036545</v>
      </c>
      <c r="W534">
        <f t="shared" si="302"/>
        <v>2243.8109872017312</v>
      </c>
      <c r="Y534" s="6">
        <f t="shared" si="274"/>
        <v>45317.580899324072</v>
      </c>
      <c r="Z534">
        <f>SUMPRODUCT($D$538:$W$538,D534:W534)</f>
        <v>7421.849470274582</v>
      </c>
    </row>
    <row r="535" spans="1:26" x14ac:dyDescent="0.25">
      <c r="A535" t="s">
        <v>313</v>
      </c>
      <c r="D535">
        <f t="shared" ref="D535:W535" si="303">D67*D139</f>
        <v>2644.3087371521078</v>
      </c>
      <c r="E535">
        <f t="shared" si="303"/>
        <v>2659.0810754822237</v>
      </c>
      <c r="F535">
        <f t="shared" si="303"/>
        <v>2102.6496486448214</v>
      </c>
      <c r="G535">
        <f t="shared" si="303"/>
        <v>2489.2911744822527</v>
      </c>
      <c r="H535">
        <f t="shared" si="303"/>
        <v>2697.0482744355036</v>
      </c>
      <c r="I535">
        <f t="shared" si="303"/>
        <v>2680.546991462546</v>
      </c>
      <c r="J535">
        <f t="shared" si="303"/>
        <v>2727.4611712332344</v>
      </c>
      <c r="K535">
        <f t="shared" si="303"/>
        <v>1523.5103896198527</v>
      </c>
      <c r="L535">
        <f t="shared" si="303"/>
        <v>2059.470306155109</v>
      </c>
      <c r="M535">
        <f t="shared" si="303"/>
        <v>1951.859067010645</v>
      </c>
      <c r="N535">
        <f t="shared" si="303"/>
        <v>1734.9092608389551</v>
      </c>
      <c r="O535">
        <f t="shared" si="303"/>
        <v>2217.8574849787583</v>
      </c>
      <c r="P535">
        <f t="shared" si="303"/>
        <v>2314.4</v>
      </c>
      <c r="Q535">
        <f t="shared" si="303"/>
        <v>2547</v>
      </c>
      <c r="R535">
        <f t="shared" si="303"/>
        <v>2369.12</v>
      </c>
      <c r="S535">
        <f t="shared" si="303"/>
        <v>714.5100000000001</v>
      </c>
      <c r="T535">
        <f t="shared" si="303"/>
        <v>2234.7999999999997</v>
      </c>
      <c r="U535">
        <f t="shared" si="303"/>
        <v>2503.8000000000002</v>
      </c>
      <c r="V535">
        <f t="shared" si="303"/>
        <v>1956.5</v>
      </c>
      <c r="W535">
        <f t="shared" si="303"/>
        <v>2211</v>
      </c>
      <c r="Y535" s="6">
        <f t="shared" si="274"/>
        <v>44339.123581496016</v>
      </c>
      <c r="Z535">
        <f>SUMPRODUCT($D$538:$W$538,D535:W535)</f>
        <v>6586.3870608299621</v>
      </c>
    </row>
    <row r="536" spans="1:26" x14ac:dyDescent="0.25">
      <c r="A536" t="s">
        <v>314</v>
      </c>
      <c r="D536">
        <f t="shared" ref="D536:W536" si="304">D68*D140</f>
        <v>2452.1681805144171</v>
      </c>
      <c r="E536">
        <f t="shared" si="304"/>
        <v>2403.7343587715909</v>
      </c>
      <c r="F536">
        <f t="shared" si="304"/>
        <v>2017.479175612026</v>
      </c>
      <c r="G536">
        <f t="shared" si="304"/>
        <v>2477.5152999663119</v>
      </c>
      <c r="H536">
        <f t="shared" si="304"/>
        <v>2673.5017574209901</v>
      </c>
      <c r="I536">
        <f t="shared" si="304"/>
        <v>2645.8487259608555</v>
      </c>
      <c r="J536">
        <f t="shared" si="304"/>
        <v>2361.2630626019063</v>
      </c>
      <c r="K536">
        <f t="shared" si="304"/>
        <v>2399.7400000000002</v>
      </c>
      <c r="L536">
        <f t="shared" si="304"/>
        <v>1923.8999999999999</v>
      </c>
      <c r="M536">
        <f t="shared" si="304"/>
        <v>1882.32</v>
      </c>
      <c r="N536">
        <f t="shared" si="304"/>
        <v>1737.56</v>
      </c>
      <c r="O536">
        <f t="shared" si="304"/>
        <v>2160.06</v>
      </c>
      <c r="P536">
        <f t="shared" si="304"/>
        <v>1768.3204883755513</v>
      </c>
      <c r="Q536">
        <f t="shared" si="304"/>
        <v>1833.8195339313286</v>
      </c>
      <c r="R536">
        <f t="shared" si="304"/>
        <v>1941.2756472182782</v>
      </c>
      <c r="S536">
        <f t="shared" si="304"/>
        <v>2126.3218903574616</v>
      </c>
      <c r="T536">
        <f t="shared" si="304"/>
        <v>2215.6658361958607</v>
      </c>
      <c r="U536">
        <f t="shared" si="304"/>
        <v>2151.2675019464036</v>
      </c>
      <c r="V536">
        <f t="shared" si="304"/>
        <v>1904.7357519697748</v>
      </c>
      <c r="W536">
        <f t="shared" si="304"/>
        <v>2105.8816881782182</v>
      </c>
      <c r="Y536" s="6">
        <f t="shared" si="274"/>
        <v>43182.37889902098</v>
      </c>
      <c r="Z536">
        <f>SUMPRODUCT($D$538:$W$538,D536:W536)</f>
        <v>7054.7387365322484</v>
      </c>
    </row>
    <row r="537" spans="1:26" x14ac:dyDescent="0.25">
      <c r="A537" t="s">
        <v>658</v>
      </c>
      <c r="D537">
        <f t="shared" ref="D537:W537" si="305">D69*D141</f>
        <v>2400.3753161625655</v>
      </c>
      <c r="E537">
        <f t="shared" si="305"/>
        <v>2743.0790906312131</v>
      </c>
      <c r="F537">
        <f t="shared" si="305"/>
        <v>2835.162051225675</v>
      </c>
      <c r="G537">
        <f t="shared" si="305"/>
        <v>2596.7804458889004</v>
      </c>
      <c r="H537">
        <f t="shared" si="305"/>
        <v>2257.0083553265749</v>
      </c>
      <c r="I537">
        <f t="shared" si="305"/>
        <v>2491.85</v>
      </c>
      <c r="J537">
        <f t="shared" si="305"/>
        <v>2164.9751020408162</v>
      </c>
      <c r="K537">
        <f t="shared" si="305"/>
        <v>2138.5840816326527</v>
      </c>
      <c r="L537">
        <f t="shared" si="305"/>
        <v>2048.3049659863946</v>
      </c>
      <c r="M537">
        <f t="shared" si="305"/>
        <v>1937.5572157434401</v>
      </c>
      <c r="N537">
        <f t="shared" si="305"/>
        <v>1911.6</v>
      </c>
      <c r="O537">
        <f t="shared" si="305"/>
        <v>1960.75</v>
      </c>
      <c r="P537">
        <f t="shared" si="305"/>
        <v>1632.9862871951386</v>
      </c>
      <c r="Q537">
        <f t="shared" si="305"/>
        <v>1611.8625742793079</v>
      </c>
      <c r="R537">
        <f t="shared" si="305"/>
        <v>1312.6223574574983</v>
      </c>
      <c r="S537">
        <f t="shared" si="305"/>
        <v>1965.5804081632652</v>
      </c>
      <c r="T537">
        <f t="shared" si="305"/>
        <v>2126.6690115806455</v>
      </c>
      <c r="U537">
        <f t="shared" si="305"/>
        <v>2101.2577789828952</v>
      </c>
      <c r="V537">
        <f t="shared" si="305"/>
        <v>1885.641470479901</v>
      </c>
      <c r="W537">
        <f t="shared" si="305"/>
        <v>2155.6337176821467</v>
      </c>
      <c r="Y537" s="6">
        <f t="shared" ref="Y537" si="306">SUM(D537:W537)</f>
        <v>42278.28023045903</v>
      </c>
      <c r="Z537">
        <f>SUMPRODUCT($D$538:$W$538,D537:W537)</f>
        <v>7090.8857869464418</v>
      </c>
    </row>
    <row r="538" spans="1:26" x14ac:dyDescent="0.25">
      <c r="A538" s="2" t="s">
        <v>71</v>
      </c>
      <c r="D538" s="3">
        <f>CORREL($B$2:$B$28,D506:D532)</f>
        <v>0.2811533543919652</v>
      </c>
      <c r="E538" s="3">
        <f t="shared" ref="E538:W538" si="307">CORREL($B$2:$B$28,E506:E532)</f>
        <v>0.23123051646559406</v>
      </c>
      <c r="F538" s="3">
        <f t="shared" si="307"/>
        <v>0.22004878880724396</v>
      </c>
      <c r="G538" s="3">
        <f t="shared" si="307"/>
        <v>0.44545878215309204</v>
      </c>
      <c r="H538" s="3">
        <f t="shared" si="307"/>
        <v>9.3538631373892539E-2</v>
      </c>
      <c r="I538" s="3">
        <f t="shared" si="307"/>
        <v>0.5306029991240403</v>
      </c>
      <c r="J538" s="3">
        <f t="shared" si="307"/>
        <v>-0.14631690812996065</v>
      </c>
      <c r="K538" s="3">
        <f t="shared" si="307"/>
        <v>5.7468599396401213E-2</v>
      </c>
      <c r="L538" s="3">
        <f t="shared" si="307"/>
        <v>-7.3847773068525163E-2</v>
      </c>
      <c r="M538" s="3">
        <f t="shared" si="307"/>
        <v>0.12638434737072987</v>
      </c>
      <c r="N538" s="3">
        <f t="shared" si="307"/>
        <v>6.2513636536853906E-2</v>
      </c>
      <c r="O538" s="3">
        <f t="shared" si="307"/>
        <v>0.16212278832182259</v>
      </c>
      <c r="P538" s="3">
        <f t="shared" si="307"/>
        <v>2.4535258029564046E-2</v>
      </c>
      <c r="Q538" s="3">
        <f t="shared" si="307"/>
        <v>7.7818565115875066E-2</v>
      </c>
      <c r="R538" s="3">
        <f t="shared" si="307"/>
        <v>2.3645024119684367E-2</v>
      </c>
      <c r="S538" s="3">
        <f t="shared" si="307"/>
        <v>0.45812056624756597</v>
      </c>
      <c r="T538" s="3">
        <f t="shared" si="307"/>
        <v>0.25700499769711532</v>
      </c>
      <c r="U538" s="3">
        <f t="shared" si="307"/>
        <v>4.8281171046052722E-2</v>
      </c>
      <c r="V538" s="3">
        <f t="shared" si="307"/>
        <v>7.563603139193889E-2</v>
      </c>
      <c r="W538" s="3">
        <f t="shared" si="307"/>
        <v>0.1127382805272216</v>
      </c>
    </row>
    <row r="541" spans="1:26" x14ac:dyDescent="0.25">
      <c r="D541" t="s">
        <v>180</v>
      </c>
      <c r="E541" t="s">
        <v>181</v>
      </c>
      <c r="F541" t="s">
        <v>182</v>
      </c>
      <c r="G541" t="s">
        <v>183</v>
      </c>
      <c r="H541" t="s">
        <v>184</v>
      </c>
      <c r="I541" t="s">
        <v>185</v>
      </c>
      <c r="J541" t="s">
        <v>186</v>
      </c>
      <c r="K541" t="s">
        <v>187</v>
      </c>
      <c r="L541" t="s">
        <v>330</v>
      </c>
      <c r="M541" t="s">
        <v>388</v>
      </c>
      <c r="N541" t="s">
        <v>389</v>
      </c>
      <c r="O541" t="s">
        <v>390</v>
      </c>
      <c r="P541" t="s">
        <v>494</v>
      </c>
      <c r="Q541" t="s">
        <v>495</v>
      </c>
      <c r="R541" t="s">
        <v>496</v>
      </c>
      <c r="S541" t="s">
        <v>497</v>
      </c>
      <c r="T541" t="s">
        <v>606</v>
      </c>
      <c r="U541" t="s">
        <v>607</v>
      </c>
      <c r="V541" t="s">
        <v>608</v>
      </c>
      <c r="W541" t="s">
        <v>609</v>
      </c>
      <c r="Y541" t="s">
        <v>188</v>
      </c>
      <c r="Z541" t="s">
        <v>189</v>
      </c>
    </row>
    <row r="542" spans="1:26" x14ac:dyDescent="0.25">
      <c r="A542" t="s">
        <v>43</v>
      </c>
      <c r="D542">
        <f t="shared" ref="D542:W542" si="308">D38*D146</f>
        <v>673.06147061262186</v>
      </c>
      <c r="E542">
        <f t="shared" si="308"/>
        <v>643.09134547418967</v>
      </c>
      <c r="F542">
        <f t="shared" si="308"/>
        <v>587.64808214647405</v>
      </c>
      <c r="G542">
        <f t="shared" si="308"/>
        <v>924.6863083069228</v>
      </c>
      <c r="H542">
        <f t="shared" si="308"/>
        <v>752.91326198160925</v>
      </c>
      <c r="I542">
        <f t="shared" si="308"/>
        <v>676.7843241781984</v>
      </c>
      <c r="J542">
        <f t="shared" si="308"/>
        <v>1245.5199745316754</v>
      </c>
      <c r="K542">
        <f t="shared" si="308"/>
        <v>695.2727937024481</v>
      </c>
      <c r="L542">
        <f t="shared" si="308"/>
        <v>812.10102557210234</v>
      </c>
      <c r="M542">
        <f t="shared" si="308"/>
        <v>408.51727259491724</v>
      </c>
      <c r="N542">
        <f t="shared" si="308"/>
        <v>526.16411681909699</v>
      </c>
      <c r="O542">
        <f t="shared" si="308"/>
        <v>716.30383819898839</v>
      </c>
      <c r="P542">
        <f t="shared" si="308"/>
        <v>687.59427997468674</v>
      </c>
      <c r="Q542">
        <f t="shared" si="308"/>
        <v>760.49533870042023</v>
      </c>
      <c r="R542">
        <f t="shared" si="308"/>
        <v>755.54070344587115</v>
      </c>
      <c r="S542">
        <f t="shared" si="308"/>
        <v>669.43787337098013</v>
      </c>
      <c r="T542">
        <f t="shared" si="308"/>
        <v>473.23937361347191</v>
      </c>
      <c r="U542">
        <f t="shared" si="308"/>
        <v>447.6882603270322</v>
      </c>
      <c r="V542">
        <f t="shared" si="308"/>
        <v>1529.6052618660774</v>
      </c>
      <c r="W542">
        <f t="shared" si="308"/>
        <v>506.02197994087601</v>
      </c>
      <c r="Y542" s="6">
        <f t="shared" ref="Y542:Y572" si="309">SUM(D542:W542)</f>
        <v>14491.68688535866</v>
      </c>
      <c r="Z542">
        <f t="shared" ref="Z542:Z568" si="310">SUMPRODUCT($D$574:$W$574,D542:W542)</f>
        <v>-1141.7413577912234</v>
      </c>
    </row>
    <row r="543" spans="1:26" x14ac:dyDescent="0.25">
      <c r="A543" t="s">
        <v>44</v>
      </c>
      <c r="D543">
        <f t="shared" ref="D543:W543" si="311">D39*D147</f>
        <v>595.58338381620683</v>
      </c>
      <c r="E543">
        <f t="shared" si="311"/>
        <v>552.45681588804086</v>
      </c>
      <c r="F543">
        <f t="shared" si="311"/>
        <v>1032.5177400449606</v>
      </c>
      <c r="G543">
        <f t="shared" si="311"/>
        <v>665.17665416217983</v>
      </c>
      <c r="H543">
        <f t="shared" si="311"/>
        <v>707.84334211271721</v>
      </c>
      <c r="I543">
        <f t="shared" si="311"/>
        <v>584.50526475433924</v>
      </c>
      <c r="J543">
        <f t="shared" si="311"/>
        <v>541.31422644118447</v>
      </c>
      <c r="K543">
        <f t="shared" si="311"/>
        <v>477.90639080011067</v>
      </c>
      <c r="L543">
        <f t="shared" si="311"/>
        <v>495.53332522135861</v>
      </c>
      <c r="M543">
        <f t="shared" si="311"/>
        <v>707.63373932734578</v>
      </c>
      <c r="N543">
        <f t="shared" si="311"/>
        <v>1046.8873602663955</v>
      </c>
      <c r="O543">
        <f t="shared" si="311"/>
        <v>660.38245424777756</v>
      </c>
      <c r="P543">
        <f t="shared" si="311"/>
        <v>421.89316079561559</v>
      </c>
      <c r="Q543">
        <f t="shared" si="311"/>
        <v>438.28335849156548</v>
      </c>
      <c r="R543">
        <f t="shared" si="311"/>
        <v>619.09721442440048</v>
      </c>
      <c r="S543">
        <f t="shared" si="311"/>
        <v>621.09791375237523</v>
      </c>
      <c r="T543">
        <f t="shared" si="311"/>
        <v>759.08452129196235</v>
      </c>
      <c r="U543">
        <f t="shared" si="311"/>
        <v>536.88703632189902</v>
      </c>
      <c r="V543">
        <f t="shared" si="311"/>
        <v>865.70473685299748</v>
      </c>
      <c r="W543">
        <f t="shared" si="311"/>
        <v>881.3348429181541</v>
      </c>
      <c r="Y543" s="6">
        <f t="shared" si="309"/>
        <v>13211.123481931591</v>
      </c>
      <c r="Z543">
        <f t="shared" si="310"/>
        <v>-898.06584124898313</v>
      </c>
    </row>
    <row r="544" spans="1:26" x14ac:dyDescent="0.25">
      <c r="A544" t="s">
        <v>45</v>
      </c>
      <c r="D544">
        <f t="shared" ref="D544:W544" si="312">D40*D148</f>
        <v>1033.295938467875</v>
      </c>
      <c r="E544">
        <f t="shared" si="312"/>
        <v>331.38263934742218</v>
      </c>
      <c r="F544">
        <f t="shared" si="312"/>
        <v>394.24894830594604</v>
      </c>
      <c r="G544">
        <f t="shared" si="312"/>
        <v>993.22932256534511</v>
      </c>
      <c r="H544">
        <f t="shared" si="312"/>
        <v>1007.3658266875676</v>
      </c>
      <c r="I544">
        <f t="shared" si="312"/>
        <v>793.55397700214212</v>
      </c>
      <c r="J544">
        <f t="shared" si="312"/>
        <v>1063.8421874863739</v>
      </c>
      <c r="K544">
        <f t="shared" si="312"/>
        <v>572.78693300970974</v>
      </c>
      <c r="L544">
        <f t="shared" si="312"/>
        <v>688.99403816355573</v>
      </c>
      <c r="M544">
        <f t="shared" si="312"/>
        <v>652.17372193626909</v>
      </c>
      <c r="N544">
        <f t="shared" si="312"/>
        <v>882.46015636648735</v>
      </c>
      <c r="O544">
        <f t="shared" si="312"/>
        <v>740.27096902837422</v>
      </c>
      <c r="P544">
        <f t="shared" si="312"/>
        <v>349.44342086023056</v>
      </c>
      <c r="Q544">
        <f t="shared" si="312"/>
        <v>473.24782536390597</v>
      </c>
      <c r="R544">
        <f t="shared" si="312"/>
        <v>794.22289909299002</v>
      </c>
      <c r="S544">
        <f t="shared" si="312"/>
        <v>856.34582821439631</v>
      </c>
      <c r="T544">
        <f t="shared" si="312"/>
        <v>1255.2218263781131</v>
      </c>
      <c r="U544">
        <f t="shared" si="312"/>
        <v>1016.8706157782382</v>
      </c>
      <c r="V544">
        <f t="shared" si="312"/>
        <v>872.11217389733895</v>
      </c>
      <c r="W544">
        <f t="shared" si="312"/>
        <v>1039.4476761990757</v>
      </c>
      <c r="Y544" s="6">
        <f t="shared" si="309"/>
        <v>15810.516924151358</v>
      </c>
      <c r="Z544">
        <f t="shared" si="310"/>
        <v>-1261.3386237085083</v>
      </c>
    </row>
    <row r="545" spans="1:26" x14ac:dyDescent="0.25">
      <c r="A545" t="s">
        <v>46</v>
      </c>
      <c r="D545">
        <f t="shared" ref="D545:W545" si="313">D41*D149</f>
        <v>623.85451335423238</v>
      </c>
      <c r="E545">
        <f t="shared" si="313"/>
        <v>523.77472023530049</v>
      </c>
      <c r="F545">
        <f t="shared" si="313"/>
        <v>624.36137435749833</v>
      </c>
      <c r="G545">
        <f t="shared" si="313"/>
        <v>679.7244709670988</v>
      </c>
      <c r="H545">
        <f t="shared" si="313"/>
        <v>668.0820273449109</v>
      </c>
      <c r="I545">
        <f t="shared" si="313"/>
        <v>580.81772600447357</v>
      </c>
      <c r="J545">
        <f t="shared" si="313"/>
        <v>685.70490041873006</v>
      </c>
      <c r="K545">
        <f t="shared" si="313"/>
        <v>957.56309036286166</v>
      </c>
      <c r="L545">
        <f t="shared" si="313"/>
        <v>1119.6267546999209</v>
      </c>
      <c r="M545">
        <f t="shared" si="313"/>
        <v>1020.987280656399</v>
      </c>
      <c r="N545">
        <f t="shared" si="313"/>
        <v>493.92490569157258</v>
      </c>
      <c r="O545">
        <f t="shared" si="313"/>
        <v>796.53559069214805</v>
      </c>
      <c r="P545">
        <f t="shared" si="313"/>
        <v>530.753183969622</v>
      </c>
      <c r="Q545">
        <f t="shared" si="313"/>
        <v>659.20188980019691</v>
      </c>
      <c r="R545">
        <f t="shared" si="313"/>
        <v>448.82453852906951</v>
      </c>
      <c r="S545">
        <f t="shared" si="313"/>
        <v>991.22891691940822</v>
      </c>
      <c r="T545">
        <f t="shared" si="313"/>
        <v>508.0799858991453</v>
      </c>
      <c r="U545">
        <f t="shared" si="313"/>
        <v>458.01527773398016</v>
      </c>
      <c r="V545">
        <f t="shared" si="313"/>
        <v>522.40784187522445</v>
      </c>
      <c r="W545">
        <f t="shared" si="313"/>
        <v>663.04593221894095</v>
      </c>
      <c r="Y545" s="6">
        <f t="shared" si="309"/>
        <v>13556.514921730735</v>
      </c>
      <c r="Z545">
        <f t="shared" si="310"/>
        <v>-747.116193027299</v>
      </c>
    </row>
    <row r="546" spans="1:26" x14ac:dyDescent="0.25">
      <c r="A546" t="s">
        <v>47</v>
      </c>
      <c r="D546">
        <f t="shared" ref="D546:W546" si="314">D42*D150</f>
        <v>939.47742599794594</v>
      </c>
      <c r="E546">
        <f t="shared" si="314"/>
        <v>900.6675784452176</v>
      </c>
      <c r="F546">
        <f t="shared" si="314"/>
        <v>707.51911874897019</v>
      </c>
      <c r="G546">
        <f t="shared" si="314"/>
        <v>1179.5332258010369</v>
      </c>
      <c r="H546">
        <f t="shared" si="314"/>
        <v>892.1011652364989</v>
      </c>
      <c r="I546">
        <f t="shared" si="314"/>
        <v>693.39128034870805</v>
      </c>
      <c r="J546">
        <f t="shared" si="314"/>
        <v>813.97402668798327</v>
      </c>
      <c r="K546">
        <f t="shared" si="314"/>
        <v>895.47765726429668</v>
      </c>
      <c r="L546">
        <f t="shared" si="314"/>
        <v>673.08441543915842</v>
      </c>
      <c r="M546">
        <f t="shared" si="314"/>
        <v>819.73975293013109</v>
      </c>
      <c r="N546">
        <f t="shared" si="314"/>
        <v>820.98622881282427</v>
      </c>
      <c r="O546">
        <f t="shared" si="314"/>
        <v>811.83090221959924</v>
      </c>
      <c r="P546">
        <f t="shared" si="314"/>
        <v>952.28516210782698</v>
      </c>
      <c r="Q546">
        <f t="shared" si="314"/>
        <v>691.4600819705804</v>
      </c>
      <c r="R546">
        <f t="shared" si="314"/>
        <v>1037.9875949301174</v>
      </c>
      <c r="S546">
        <f t="shared" si="314"/>
        <v>1152.030324090676</v>
      </c>
      <c r="T546">
        <f t="shared" si="314"/>
        <v>551.57181234204745</v>
      </c>
      <c r="U546">
        <f t="shared" si="314"/>
        <v>623.75138044459243</v>
      </c>
      <c r="V546">
        <f t="shared" si="314"/>
        <v>734.06004520017768</v>
      </c>
      <c r="W546">
        <f t="shared" si="314"/>
        <v>913.27550803535917</v>
      </c>
      <c r="Y546" s="6">
        <f t="shared" si="309"/>
        <v>16804.204687053749</v>
      </c>
      <c r="Z546">
        <f t="shared" si="310"/>
        <v>-817.83229430957317</v>
      </c>
    </row>
    <row r="547" spans="1:26" x14ac:dyDescent="0.25">
      <c r="A547" t="s">
        <v>48</v>
      </c>
      <c r="D547">
        <f t="shared" ref="D547:W547" si="315">D43*D151</f>
        <v>1243.1135200185377</v>
      </c>
      <c r="E547">
        <f t="shared" si="315"/>
        <v>1364.1039390819087</v>
      </c>
      <c r="F547">
        <f t="shared" si="315"/>
        <v>1472.277405285623</v>
      </c>
      <c r="G547">
        <f t="shared" si="315"/>
        <v>1707.4829232293077</v>
      </c>
      <c r="H547">
        <f t="shared" si="315"/>
        <v>1611.3960693032975</v>
      </c>
      <c r="I547">
        <f t="shared" si="315"/>
        <v>1667.5808628427076</v>
      </c>
      <c r="J547">
        <f t="shared" si="315"/>
        <v>2027.2471378844282</v>
      </c>
      <c r="K547">
        <f t="shared" si="315"/>
        <v>1778.7652648801213</v>
      </c>
      <c r="L547">
        <f t="shared" si="315"/>
        <v>1122.0254085724659</v>
      </c>
      <c r="M547">
        <f t="shared" si="315"/>
        <v>640.21322311133827</v>
      </c>
      <c r="N547">
        <f t="shared" si="315"/>
        <v>892.89461445419533</v>
      </c>
      <c r="O547">
        <f t="shared" si="315"/>
        <v>631.13546989045369</v>
      </c>
      <c r="P547">
        <f t="shared" si="315"/>
        <v>915.37359987180366</v>
      </c>
      <c r="Q547">
        <f t="shared" si="315"/>
        <v>1011.1373323022889</v>
      </c>
      <c r="R547">
        <f t="shared" si="315"/>
        <v>708.70197264901981</v>
      </c>
      <c r="S547">
        <f t="shared" si="315"/>
        <v>462.4742111398196</v>
      </c>
      <c r="T547">
        <f t="shared" si="315"/>
        <v>501.20645178848139</v>
      </c>
      <c r="U547">
        <f t="shared" si="315"/>
        <v>550.26842174679746</v>
      </c>
      <c r="V547">
        <f t="shared" si="315"/>
        <v>612.90845950988785</v>
      </c>
      <c r="W547">
        <f t="shared" si="315"/>
        <v>606.96947285097337</v>
      </c>
      <c r="Y547" s="6">
        <f t="shared" si="309"/>
        <v>21527.27576041346</v>
      </c>
      <c r="Z547">
        <f t="shared" si="310"/>
        <v>-737.82996260911364</v>
      </c>
    </row>
    <row r="548" spans="1:26" x14ac:dyDescent="0.25">
      <c r="A548" t="s">
        <v>49</v>
      </c>
      <c r="D548">
        <f t="shared" ref="D548:W548" si="316">D44*D152</f>
        <v>564.17106098325269</v>
      </c>
      <c r="E548">
        <f t="shared" si="316"/>
        <v>955.68310822431431</v>
      </c>
      <c r="F548">
        <f t="shared" si="316"/>
        <v>1118.3779925806791</v>
      </c>
      <c r="G548">
        <f t="shared" si="316"/>
        <v>843.92281243089542</v>
      </c>
      <c r="H548">
        <f t="shared" si="316"/>
        <v>673.20345259116709</v>
      </c>
      <c r="I548">
        <f t="shared" si="316"/>
        <v>724.82630420520206</v>
      </c>
      <c r="J548">
        <f t="shared" si="316"/>
        <v>731.06332234087688</v>
      </c>
      <c r="K548">
        <f t="shared" si="316"/>
        <v>994.24395219607527</v>
      </c>
      <c r="L548">
        <f t="shared" si="316"/>
        <v>848.97480848764963</v>
      </c>
      <c r="M548">
        <f t="shared" si="316"/>
        <v>704.66041379189892</v>
      </c>
      <c r="N548">
        <f t="shared" si="316"/>
        <v>780.88148942947043</v>
      </c>
      <c r="O548">
        <f t="shared" si="316"/>
        <v>727.79563459458484</v>
      </c>
      <c r="P548">
        <f t="shared" si="316"/>
        <v>1170.8073913270196</v>
      </c>
      <c r="Q548">
        <f t="shared" si="316"/>
        <v>1522.9220556878033</v>
      </c>
      <c r="R548">
        <f t="shared" si="316"/>
        <v>1245.1091260284434</v>
      </c>
      <c r="S548">
        <f t="shared" si="316"/>
        <v>911.33754824666028</v>
      </c>
      <c r="T548">
        <f t="shared" si="316"/>
        <v>607.95579912513017</v>
      </c>
      <c r="U548">
        <f t="shared" si="316"/>
        <v>829.60158362778986</v>
      </c>
      <c r="V548">
        <f t="shared" si="316"/>
        <v>886.32047821039851</v>
      </c>
      <c r="W548">
        <f t="shared" si="316"/>
        <v>573.14945055075896</v>
      </c>
      <c r="Y548" s="6">
        <f t="shared" si="309"/>
        <v>17415.007784660065</v>
      </c>
      <c r="Z548">
        <f t="shared" si="310"/>
        <v>-1120.0894040485703</v>
      </c>
    </row>
    <row r="549" spans="1:26" x14ac:dyDescent="0.25">
      <c r="A549" t="s">
        <v>50</v>
      </c>
      <c r="D549">
        <f t="shared" ref="D549:W549" si="317">D45*D153</f>
        <v>774.10761900059447</v>
      </c>
      <c r="E549">
        <f t="shared" si="317"/>
        <v>781.1630010605229</v>
      </c>
      <c r="F549">
        <f t="shared" si="317"/>
        <v>-8.8130484368629709</v>
      </c>
      <c r="G549">
        <f t="shared" si="317"/>
        <v>1024.4326298079598</v>
      </c>
      <c r="H549">
        <f t="shared" si="317"/>
        <v>1075.3214714420044</v>
      </c>
      <c r="I549">
        <f t="shared" si="317"/>
        <v>938.68870356801597</v>
      </c>
      <c r="J549">
        <f t="shared" si="317"/>
        <v>834.34329001443518</v>
      </c>
      <c r="K549">
        <f t="shared" si="317"/>
        <v>794.01263907273346</v>
      </c>
      <c r="L549">
        <f t="shared" si="317"/>
        <v>954.35579348921146</v>
      </c>
      <c r="M549">
        <f t="shared" si="317"/>
        <v>1271.0254126296923</v>
      </c>
      <c r="N549">
        <f t="shared" si="317"/>
        <v>2286.5904204851472</v>
      </c>
      <c r="O549">
        <f t="shared" si="317"/>
        <v>2440.1898590935639</v>
      </c>
      <c r="P549">
        <f t="shared" si="317"/>
        <v>2655.1124580469768</v>
      </c>
      <c r="Q549">
        <f t="shared" si="317"/>
        <v>2868.9225016751134</v>
      </c>
      <c r="R549">
        <f t="shared" si="317"/>
        <v>275.29430296208238</v>
      </c>
      <c r="S549">
        <f t="shared" si="317"/>
        <v>348.88006130597552</v>
      </c>
      <c r="T549">
        <f t="shared" si="317"/>
        <v>1262.2909834121049</v>
      </c>
      <c r="U549">
        <f t="shared" si="317"/>
        <v>1061.0301876382246</v>
      </c>
      <c r="V549">
        <f t="shared" si="317"/>
        <v>1068.6929674195196</v>
      </c>
      <c r="W549">
        <f t="shared" si="317"/>
        <v>631.25798577744956</v>
      </c>
      <c r="Y549" s="6">
        <f t="shared" si="309"/>
        <v>23336.89923946447</v>
      </c>
      <c r="Z549">
        <f t="shared" si="310"/>
        <v>-2733.3862723372799</v>
      </c>
    </row>
    <row r="550" spans="1:26" x14ac:dyDescent="0.25">
      <c r="A550" t="s">
        <v>51</v>
      </c>
      <c r="D550">
        <f t="shared" ref="D550:W550" si="318">D46*D154</f>
        <v>1149.6808057495782</v>
      </c>
      <c r="E550">
        <f t="shared" si="318"/>
        <v>2013.5805753636585</v>
      </c>
      <c r="F550">
        <f t="shared" si="318"/>
        <v>3037.5798597307703</v>
      </c>
      <c r="G550">
        <f t="shared" si="318"/>
        <v>1402.0736719332122</v>
      </c>
      <c r="H550">
        <f t="shared" si="318"/>
        <v>1241.8057287414495</v>
      </c>
      <c r="I550">
        <f t="shared" si="318"/>
        <v>818.63799455732715</v>
      </c>
      <c r="J550">
        <f t="shared" si="318"/>
        <v>2056.3153242033964</v>
      </c>
      <c r="K550">
        <f t="shared" si="318"/>
        <v>2336.884958388333</v>
      </c>
      <c r="L550">
        <f t="shared" si="318"/>
        <v>2224.787062527851</v>
      </c>
      <c r="M550">
        <f t="shared" si="318"/>
        <v>2371.0363799296042</v>
      </c>
      <c r="N550">
        <f t="shared" si="318"/>
        <v>2355.8572224656305</v>
      </c>
      <c r="O550">
        <f t="shared" si="318"/>
        <v>1744.9305124552573</v>
      </c>
      <c r="P550">
        <f t="shared" si="318"/>
        <v>2217.8359110478305</v>
      </c>
      <c r="Q550">
        <f t="shared" si="318"/>
        <v>1855.1323676267327</v>
      </c>
      <c r="R550">
        <f t="shared" si="318"/>
        <v>2233.3700820636523</v>
      </c>
      <c r="S550">
        <f t="shared" si="318"/>
        <v>2088.6449193861249</v>
      </c>
      <c r="T550">
        <f t="shared" si="318"/>
        <v>2345.185790536199</v>
      </c>
      <c r="U550">
        <f t="shared" si="318"/>
        <v>1623.7448750879601</v>
      </c>
      <c r="V550">
        <f t="shared" si="318"/>
        <v>1758.1790715589448</v>
      </c>
      <c r="W550">
        <f t="shared" si="318"/>
        <v>1334.2708771474909</v>
      </c>
      <c r="Y550" s="6">
        <f t="shared" si="309"/>
        <v>38209.533990501011</v>
      </c>
      <c r="Z550">
        <f t="shared" si="310"/>
        <v>-2947.625147844763</v>
      </c>
    </row>
    <row r="551" spans="1:26" x14ac:dyDescent="0.25">
      <c r="A551" t="s">
        <v>52</v>
      </c>
      <c r="D551">
        <f t="shared" ref="D551:W551" si="319">D47*D155</f>
        <v>997.75621277317691</v>
      </c>
      <c r="E551">
        <f t="shared" si="319"/>
        <v>971.04419747201678</v>
      </c>
      <c r="F551">
        <f t="shared" si="319"/>
        <v>954.76481031187416</v>
      </c>
      <c r="G551">
        <f t="shared" si="319"/>
        <v>798.36594931625643</v>
      </c>
      <c r="H551">
        <f t="shared" si="319"/>
        <v>978.98315144258197</v>
      </c>
      <c r="I551">
        <f t="shared" si="319"/>
        <v>1222.0473889353029</v>
      </c>
      <c r="J551">
        <f t="shared" si="319"/>
        <v>547.56686286402385</v>
      </c>
      <c r="K551">
        <f t="shared" si="319"/>
        <v>661.90657084954239</v>
      </c>
      <c r="L551">
        <f t="shared" si="319"/>
        <v>908.43429231420362</v>
      </c>
      <c r="M551">
        <f t="shared" si="319"/>
        <v>785.35241767860623</v>
      </c>
      <c r="N551">
        <f t="shared" si="319"/>
        <v>766.00708303494719</v>
      </c>
      <c r="O551">
        <f t="shared" si="319"/>
        <v>691.40730332064027</v>
      </c>
      <c r="P551">
        <f t="shared" si="319"/>
        <v>804.51625820782863</v>
      </c>
      <c r="Q551">
        <f t="shared" si="319"/>
        <v>675.67831301714875</v>
      </c>
      <c r="R551">
        <f t="shared" si="319"/>
        <v>798.98980913634216</v>
      </c>
      <c r="S551">
        <f t="shared" si="319"/>
        <v>773.63349964182464</v>
      </c>
      <c r="T551">
        <f t="shared" si="319"/>
        <v>560.14658773809253</v>
      </c>
      <c r="U551">
        <f t="shared" si="319"/>
        <v>676.30837562674424</v>
      </c>
      <c r="V551">
        <f t="shared" si="319"/>
        <v>573.03488505285623</v>
      </c>
      <c r="W551">
        <f t="shared" si="319"/>
        <v>743.47428130155413</v>
      </c>
      <c r="Y551" s="6">
        <f t="shared" si="309"/>
        <v>15889.418250035564</v>
      </c>
      <c r="Z551">
        <f t="shared" si="310"/>
        <v>-552.78643539834684</v>
      </c>
    </row>
    <row r="552" spans="1:26" x14ac:dyDescent="0.25">
      <c r="A552" t="s">
        <v>53</v>
      </c>
      <c r="D552">
        <f t="shared" ref="D552:W552" si="320">D48*D156</f>
        <v>656.11386181085084</v>
      </c>
      <c r="E552">
        <f t="shared" si="320"/>
        <v>630.16024568248406</v>
      </c>
      <c r="F552">
        <f t="shared" si="320"/>
        <v>569.30081208794275</v>
      </c>
      <c r="G552">
        <f t="shared" si="320"/>
        <v>755.83739737177325</v>
      </c>
      <c r="H552">
        <f t="shared" si="320"/>
        <v>711.45761348431938</v>
      </c>
      <c r="I552">
        <f t="shared" si="320"/>
        <v>596.6609449237003</v>
      </c>
      <c r="J552">
        <f t="shared" si="320"/>
        <v>836.43730716285438</v>
      </c>
      <c r="K552">
        <f t="shared" si="320"/>
        <v>966.06067425548201</v>
      </c>
      <c r="L552">
        <f t="shared" si="320"/>
        <v>1040.5993265038137</v>
      </c>
      <c r="M552">
        <f t="shared" si="320"/>
        <v>863.88870683487789</v>
      </c>
      <c r="N552">
        <f t="shared" si="320"/>
        <v>669.23242678982399</v>
      </c>
      <c r="O552">
        <f t="shared" si="320"/>
        <v>656.02283970106134</v>
      </c>
      <c r="P552">
        <f t="shared" si="320"/>
        <v>765.68376375159778</v>
      </c>
      <c r="Q552">
        <f t="shared" si="320"/>
        <v>401.22228343641513</v>
      </c>
      <c r="R552">
        <f t="shared" si="320"/>
        <v>595.91027326625363</v>
      </c>
      <c r="S552">
        <f t="shared" si="320"/>
        <v>631.2146856769067</v>
      </c>
      <c r="T552">
        <f t="shared" si="320"/>
        <v>861.84624965904334</v>
      </c>
      <c r="U552">
        <f t="shared" si="320"/>
        <v>677.65412666736904</v>
      </c>
      <c r="V552">
        <f t="shared" si="320"/>
        <v>563.36425930026326</v>
      </c>
      <c r="W552">
        <f t="shared" si="320"/>
        <v>558.64849173746279</v>
      </c>
      <c r="Y552" s="6">
        <f t="shared" si="309"/>
        <v>14007.316290104296</v>
      </c>
      <c r="Z552">
        <f t="shared" si="310"/>
        <v>-997.85754790463693</v>
      </c>
    </row>
    <row r="553" spans="1:26" x14ac:dyDescent="0.25">
      <c r="A553" t="s">
        <v>54</v>
      </c>
      <c r="D553">
        <f t="shared" ref="D553:W553" si="321">D49*D157</f>
        <v>805.28573558697587</v>
      </c>
      <c r="E553">
        <f t="shared" si="321"/>
        <v>1166.8346334937578</v>
      </c>
      <c r="F553">
        <f t="shared" si="321"/>
        <v>969.12820561711237</v>
      </c>
      <c r="G553">
        <f t="shared" si="321"/>
        <v>606.37204260259671</v>
      </c>
      <c r="H553">
        <f t="shared" si="321"/>
        <v>523.84319717106064</v>
      </c>
      <c r="I553">
        <f t="shared" si="321"/>
        <v>673.5397324030049</v>
      </c>
      <c r="J553">
        <f t="shared" si="321"/>
        <v>425.14906110834551</v>
      </c>
      <c r="K553">
        <f t="shared" si="321"/>
        <v>570.44981490275268</v>
      </c>
      <c r="L553">
        <f t="shared" si="321"/>
        <v>822.56650756760735</v>
      </c>
      <c r="M553">
        <f t="shared" si="321"/>
        <v>989.67578358287062</v>
      </c>
      <c r="N553">
        <f t="shared" si="321"/>
        <v>1084.4243472271257</v>
      </c>
      <c r="O553">
        <f t="shared" si="321"/>
        <v>1132.9555043296402</v>
      </c>
      <c r="P553">
        <f t="shared" si="321"/>
        <v>1152.8717177133926</v>
      </c>
      <c r="Q553">
        <f t="shared" si="321"/>
        <v>947.68327059266483</v>
      </c>
      <c r="R553">
        <f t="shared" si="321"/>
        <v>382.94484089477828</v>
      </c>
      <c r="S553">
        <f t="shared" si="321"/>
        <v>541.75500310390316</v>
      </c>
      <c r="T553">
        <f t="shared" si="321"/>
        <v>532.44625046992473</v>
      </c>
      <c r="U553">
        <f t="shared" si="321"/>
        <v>655.98663155194868</v>
      </c>
      <c r="V553">
        <f t="shared" si="321"/>
        <v>452.50851775846945</v>
      </c>
      <c r="W553">
        <f t="shared" si="321"/>
        <v>905.71305711290074</v>
      </c>
      <c r="Y553" s="6">
        <f t="shared" si="309"/>
        <v>15342.133854790829</v>
      </c>
      <c r="Z553">
        <f t="shared" si="310"/>
        <v>-855.37953937443092</v>
      </c>
    </row>
    <row r="554" spans="1:26" x14ac:dyDescent="0.25">
      <c r="A554" t="s">
        <v>55</v>
      </c>
      <c r="D554">
        <f t="shared" ref="D554:W554" si="322">D50*D158</f>
        <v>1272.0825782509446</v>
      </c>
      <c r="E554">
        <f t="shared" si="322"/>
        <v>1215.0879843338582</v>
      </c>
      <c r="F554">
        <f t="shared" si="322"/>
        <v>779.77083551622684</v>
      </c>
      <c r="G554">
        <f t="shared" si="322"/>
        <v>1090.4321097515738</v>
      </c>
      <c r="H554">
        <f t="shared" si="322"/>
        <v>939.63385192047667</v>
      </c>
      <c r="I554">
        <f t="shared" si="322"/>
        <v>1071.6284008511834</v>
      </c>
      <c r="J554">
        <f t="shared" si="322"/>
        <v>743.38551076504507</v>
      </c>
      <c r="K554">
        <f t="shared" si="322"/>
        <v>647.23785579550622</v>
      </c>
      <c r="L554">
        <f t="shared" si="322"/>
        <v>725.95431795976344</v>
      </c>
      <c r="M554">
        <f t="shared" si="322"/>
        <v>770.10476149293095</v>
      </c>
      <c r="N554">
        <f t="shared" si="322"/>
        <v>766.73088752936405</v>
      </c>
      <c r="O554">
        <f t="shared" si="322"/>
        <v>359.97490722338193</v>
      </c>
      <c r="P554">
        <f t="shared" si="322"/>
        <v>541.6705937249917</v>
      </c>
      <c r="Q554">
        <f t="shared" si="322"/>
        <v>994.79886138404629</v>
      </c>
      <c r="R554">
        <f t="shared" si="322"/>
        <v>519.43373329196811</v>
      </c>
      <c r="S554">
        <f t="shared" si="322"/>
        <v>845.47203857478769</v>
      </c>
      <c r="T554">
        <f t="shared" si="322"/>
        <v>469.47878852279285</v>
      </c>
      <c r="U554">
        <f t="shared" si="322"/>
        <v>467.1630934573667</v>
      </c>
      <c r="V554">
        <f t="shared" si="322"/>
        <v>1066.0153033636229</v>
      </c>
      <c r="W554">
        <f t="shared" si="322"/>
        <v>903.82675931159736</v>
      </c>
      <c r="Y554" s="6">
        <f t="shared" si="309"/>
        <v>16189.883173021428</v>
      </c>
      <c r="Z554">
        <f t="shared" si="310"/>
        <v>-490.67080210900849</v>
      </c>
    </row>
    <row r="555" spans="1:26" x14ac:dyDescent="0.25">
      <c r="A555" t="s">
        <v>56</v>
      </c>
      <c r="D555">
        <f t="shared" ref="D555:W555" si="323">D51*D159</f>
        <v>1333.7084578033825</v>
      </c>
      <c r="E555">
        <f t="shared" si="323"/>
        <v>965.83863596795538</v>
      </c>
      <c r="F555">
        <f t="shared" si="323"/>
        <v>977.82735867068618</v>
      </c>
      <c r="G555">
        <f t="shared" si="323"/>
        <v>894.61225063277914</v>
      </c>
      <c r="H555">
        <f t="shared" si="323"/>
        <v>612.92783050829132</v>
      </c>
      <c r="I555">
        <f t="shared" si="323"/>
        <v>804.14853016233292</v>
      </c>
      <c r="J555">
        <f t="shared" si="323"/>
        <v>795.5761598882641</v>
      </c>
      <c r="K555">
        <f t="shared" si="323"/>
        <v>1009.791687315496</v>
      </c>
      <c r="L555">
        <f t="shared" si="323"/>
        <v>648.95501515948342</v>
      </c>
      <c r="M555">
        <f t="shared" si="323"/>
        <v>757.401588946532</v>
      </c>
      <c r="N555">
        <f t="shared" si="323"/>
        <v>578.48042063406183</v>
      </c>
      <c r="O555">
        <f t="shared" si="323"/>
        <v>885.72966082473943</v>
      </c>
      <c r="P555">
        <f t="shared" si="323"/>
        <v>962.07882987238111</v>
      </c>
      <c r="Q555">
        <f t="shared" si="323"/>
        <v>535.77814831803016</v>
      </c>
      <c r="R555">
        <f t="shared" si="323"/>
        <v>636.78373580705875</v>
      </c>
      <c r="S555">
        <f t="shared" si="323"/>
        <v>584.72130546418634</v>
      </c>
      <c r="T555">
        <f t="shared" si="323"/>
        <v>396.66421872489792</v>
      </c>
      <c r="U555">
        <f t="shared" si="323"/>
        <v>400.42253155741679</v>
      </c>
      <c r="V555">
        <f t="shared" si="323"/>
        <v>1168.0001802126603</v>
      </c>
      <c r="W555">
        <f t="shared" si="323"/>
        <v>911.96173103935587</v>
      </c>
      <c r="Y555" s="6">
        <f t="shared" si="309"/>
        <v>15861.408277509994</v>
      </c>
      <c r="Z555">
        <f t="shared" si="310"/>
        <v>-688.27132104138343</v>
      </c>
    </row>
    <row r="556" spans="1:26" x14ac:dyDescent="0.25">
      <c r="A556" t="s">
        <v>57</v>
      </c>
      <c r="D556">
        <f t="shared" ref="D556:W556" si="324">D52*D160</f>
        <v>925.9866332244344</v>
      </c>
      <c r="E556">
        <f t="shared" si="324"/>
        <v>1011.6529619100933</v>
      </c>
      <c r="F556">
        <f t="shared" si="324"/>
        <v>941.55307756299123</v>
      </c>
      <c r="G556">
        <f t="shared" si="324"/>
        <v>963.85139740749901</v>
      </c>
      <c r="H556">
        <f t="shared" si="324"/>
        <v>778.6883943291399</v>
      </c>
      <c r="I556">
        <f t="shared" si="324"/>
        <v>908.89726233064744</v>
      </c>
      <c r="J556">
        <f t="shared" si="324"/>
        <v>685.00511732247639</v>
      </c>
      <c r="K556">
        <f t="shared" si="324"/>
        <v>854.28889587906883</v>
      </c>
      <c r="L556">
        <f t="shared" si="324"/>
        <v>898.1150505994849</v>
      </c>
      <c r="M556">
        <f t="shared" si="324"/>
        <v>985.15659720480426</v>
      </c>
      <c r="N556">
        <f t="shared" si="324"/>
        <v>998.32707980428484</v>
      </c>
      <c r="O556">
        <f t="shared" si="324"/>
        <v>822.18446371084997</v>
      </c>
      <c r="P556">
        <f t="shared" si="324"/>
        <v>1011.3581882405263</v>
      </c>
      <c r="Q556">
        <f t="shared" si="324"/>
        <v>1021.1499901161724</v>
      </c>
      <c r="R556">
        <f t="shared" si="324"/>
        <v>775.9353064077078</v>
      </c>
      <c r="S556">
        <f t="shared" si="324"/>
        <v>667.08448944254212</v>
      </c>
      <c r="T556">
        <f t="shared" si="324"/>
        <v>722.17300597372298</v>
      </c>
      <c r="U556">
        <f t="shared" si="324"/>
        <v>1054.7896793435875</v>
      </c>
      <c r="V556">
        <f t="shared" si="324"/>
        <v>788.13997758793084</v>
      </c>
      <c r="W556">
        <f t="shared" si="324"/>
        <v>765.15915749572127</v>
      </c>
      <c r="Y556" s="6">
        <f t="shared" si="309"/>
        <v>17579.496725893689</v>
      </c>
      <c r="Z556">
        <f t="shared" si="310"/>
        <v>-1067.1504353179628</v>
      </c>
    </row>
    <row r="557" spans="1:26" x14ac:dyDescent="0.25">
      <c r="A557" t="s">
        <v>58</v>
      </c>
      <c r="D557">
        <f t="shared" ref="D557:W557" si="325">D53*D161</f>
        <v>497.16550713456462</v>
      </c>
      <c r="E557">
        <f t="shared" si="325"/>
        <v>682.52986299533177</v>
      </c>
      <c r="F557">
        <f t="shared" si="325"/>
        <v>1105.0421614356223</v>
      </c>
      <c r="G557">
        <f t="shared" si="325"/>
        <v>1738.4065809430658</v>
      </c>
      <c r="H557">
        <f t="shared" si="325"/>
        <v>657.50570043973778</v>
      </c>
      <c r="I557">
        <f t="shared" si="325"/>
        <v>429.374629894424</v>
      </c>
      <c r="J557">
        <f t="shared" si="325"/>
        <v>575.93801841395702</v>
      </c>
      <c r="K557">
        <f t="shared" si="325"/>
        <v>764.12122822128742</v>
      </c>
      <c r="L557">
        <f t="shared" si="325"/>
        <v>749.58312851324013</v>
      </c>
      <c r="M557">
        <f t="shared" si="325"/>
        <v>654.826626973712</v>
      </c>
      <c r="N557">
        <f t="shared" si="325"/>
        <v>520.06290926044096</v>
      </c>
      <c r="O557">
        <f t="shared" si="325"/>
        <v>878.895899493397</v>
      </c>
      <c r="P557">
        <f t="shared" si="325"/>
        <v>496.45742164893107</v>
      </c>
      <c r="Q557">
        <f t="shared" si="325"/>
        <v>513.31702354389893</v>
      </c>
      <c r="R557">
        <f t="shared" si="325"/>
        <v>477.45859799518092</v>
      </c>
      <c r="S557">
        <f t="shared" si="325"/>
        <v>628.20505981359111</v>
      </c>
      <c r="T557">
        <f t="shared" si="325"/>
        <v>812.20295725418578</v>
      </c>
      <c r="U557">
        <f t="shared" si="325"/>
        <v>345.88889327231817</v>
      </c>
      <c r="V557">
        <f t="shared" si="325"/>
        <v>338.04351469762594</v>
      </c>
      <c r="W557">
        <f t="shared" si="325"/>
        <v>748.05780829166054</v>
      </c>
      <c r="Y557" s="6">
        <f t="shared" si="309"/>
        <v>13613.08353023617</v>
      </c>
      <c r="Z557">
        <f t="shared" si="310"/>
        <v>-581.99912627407832</v>
      </c>
    </row>
    <row r="558" spans="1:26" x14ac:dyDescent="0.25">
      <c r="A558" t="s">
        <v>59</v>
      </c>
      <c r="D558">
        <f t="shared" ref="D558:W558" si="326">D54*D162</f>
        <v>779.87686372657299</v>
      </c>
      <c r="E558">
        <f t="shared" si="326"/>
        <v>486.20907578677532</v>
      </c>
      <c r="F558">
        <f t="shared" si="326"/>
        <v>537.55583498009378</v>
      </c>
      <c r="G558">
        <f t="shared" si="326"/>
        <v>728.47167705540699</v>
      </c>
      <c r="H558">
        <f t="shared" si="326"/>
        <v>463.56095640584516</v>
      </c>
      <c r="I558">
        <f t="shared" si="326"/>
        <v>612.53987403604742</v>
      </c>
      <c r="J558">
        <f t="shared" si="326"/>
        <v>767.63067551735207</v>
      </c>
      <c r="K558">
        <f t="shared" si="326"/>
        <v>608.29507091580399</v>
      </c>
      <c r="L558">
        <f t="shared" si="326"/>
        <v>398.49129206429745</v>
      </c>
      <c r="M558">
        <f t="shared" si="326"/>
        <v>658.56872702208182</v>
      </c>
      <c r="N558">
        <f t="shared" si="326"/>
        <v>926.46359944289418</v>
      </c>
      <c r="O558">
        <f t="shared" si="326"/>
        <v>727.79348549449071</v>
      </c>
      <c r="P558">
        <f t="shared" si="326"/>
        <v>685.38785102510485</v>
      </c>
      <c r="Q558">
        <f t="shared" si="326"/>
        <v>448.95470148069097</v>
      </c>
      <c r="R558">
        <f t="shared" si="326"/>
        <v>601.61319200254638</v>
      </c>
      <c r="S558">
        <f t="shared" si="326"/>
        <v>783.90689837724904</v>
      </c>
      <c r="T558">
        <f t="shared" si="326"/>
        <v>632.35788774763614</v>
      </c>
      <c r="U558">
        <f t="shared" si="326"/>
        <v>659.19511716905606</v>
      </c>
      <c r="V558">
        <f t="shared" si="326"/>
        <v>830.97453057716234</v>
      </c>
      <c r="W558">
        <f t="shared" si="326"/>
        <v>845.80253100941343</v>
      </c>
      <c r="Y558" s="6">
        <f t="shared" si="309"/>
        <v>13183.649841836521</v>
      </c>
      <c r="Z558">
        <f t="shared" si="310"/>
        <v>-979.12280130829106</v>
      </c>
    </row>
    <row r="559" spans="1:26" x14ac:dyDescent="0.25">
      <c r="A559" t="s">
        <v>60</v>
      </c>
      <c r="D559">
        <f t="shared" ref="D559:W559" si="327">D55*D163</f>
        <v>655.97512192497697</v>
      </c>
      <c r="E559">
        <f t="shared" si="327"/>
        <v>645.1699708349646</v>
      </c>
      <c r="F559">
        <f t="shared" si="327"/>
        <v>665.69175821474141</v>
      </c>
      <c r="G559">
        <f t="shared" si="327"/>
        <v>773.83668339855751</v>
      </c>
      <c r="H559">
        <f t="shared" si="327"/>
        <v>576.45740825720554</v>
      </c>
      <c r="I559">
        <f t="shared" si="327"/>
        <v>715.69786622253537</v>
      </c>
      <c r="J559">
        <f t="shared" si="327"/>
        <v>560.8864437881391</v>
      </c>
      <c r="K559">
        <f t="shared" si="327"/>
        <v>862.37727321805551</v>
      </c>
      <c r="L559">
        <f t="shared" si="327"/>
        <v>857.96578821478522</v>
      </c>
      <c r="M559">
        <f t="shared" si="327"/>
        <v>701.91375246525979</v>
      </c>
      <c r="N559">
        <f t="shared" si="327"/>
        <v>692.45853959923136</v>
      </c>
      <c r="O559">
        <f t="shared" si="327"/>
        <v>495.81212945408072</v>
      </c>
      <c r="P559">
        <f t="shared" si="327"/>
        <v>775.87768296024967</v>
      </c>
      <c r="Q559">
        <f t="shared" si="327"/>
        <v>906.69180211926152</v>
      </c>
      <c r="R559">
        <f t="shared" si="327"/>
        <v>594.8458622720716</v>
      </c>
      <c r="S559">
        <f t="shared" si="327"/>
        <v>758.01393399092171</v>
      </c>
      <c r="T559">
        <f t="shared" si="327"/>
        <v>780.03411939402429</v>
      </c>
      <c r="U559">
        <f t="shared" si="327"/>
        <v>791.77525015462754</v>
      </c>
      <c r="V559">
        <f t="shared" si="327"/>
        <v>260.06279274139098</v>
      </c>
      <c r="W559">
        <f t="shared" si="327"/>
        <v>489.41384989189623</v>
      </c>
      <c r="Y559" s="6">
        <f t="shared" si="309"/>
        <v>13560.958029116979</v>
      </c>
      <c r="Z559">
        <f t="shared" si="310"/>
        <v>-795.6008670049597</v>
      </c>
    </row>
    <row r="560" spans="1:26" x14ac:dyDescent="0.25">
      <c r="A560" t="s">
        <v>61</v>
      </c>
      <c r="D560">
        <f t="shared" ref="D560:W560" si="328">D56*D164</f>
        <v>930.75840196798822</v>
      </c>
      <c r="E560">
        <f t="shared" si="328"/>
        <v>1008.1111937044277</v>
      </c>
      <c r="F560">
        <f t="shared" si="328"/>
        <v>915.05926411953317</v>
      </c>
      <c r="G560">
        <f t="shared" si="328"/>
        <v>704.51135662321042</v>
      </c>
      <c r="H560">
        <f t="shared" si="328"/>
        <v>707.17637676037691</v>
      </c>
      <c r="I560">
        <f t="shared" si="328"/>
        <v>698.8144177025639</v>
      </c>
      <c r="J560">
        <f t="shared" si="328"/>
        <v>820.52692046889024</v>
      </c>
      <c r="K560">
        <f t="shared" si="328"/>
        <v>630.76222988757092</v>
      </c>
      <c r="L560">
        <f t="shared" si="328"/>
        <v>516.47421474566045</v>
      </c>
      <c r="M560">
        <f t="shared" si="328"/>
        <v>839.22609694155142</v>
      </c>
      <c r="N560">
        <f t="shared" si="328"/>
        <v>885.31549431862811</v>
      </c>
      <c r="O560">
        <f t="shared" si="328"/>
        <v>1175.1297864349633</v>
      </c>
      <c r="P560">
        <f t="shared" si="328"/>
        <v>768.9296131951196</v>
      </c>
      <c r="Q560">
        <f t="shared" si="328"/>
        <v>466.6886397894171</v>
      </c>
      <c r="R560">
        <f t="shared" si="328"/>
        <v>638.87963700266187</v>
      </c>
      <c r="S560">
        <f t="shared" si="328"/>
        <v>1013.6881858473572</v>
      </c>
      <c r="T560">
        <f t="shared" si="328"/>
        <v>632.97071974536755</v>
      </c>
      <c r="U560">
        <f t="shared" si="328"/>
        <v>572.78132203249038</v>
      </c>
      <c r="V560">
        <f t="shared" si="328"/>
        <v>576.41554507307387</v>
      </c>
      <c r="W560">
        <f t="shared" si="328"/>
        <v>724.26136505241629</v>
      </c>
      <c r="Y560" s="6">
        <f t="shared" si="309"/>
        <v>15226.480781413267</v>
      </c>
      <c r="Z560">
        <f t="shared" si="310"/>
        <v>-768.58418960166466</v>
      </c>
    </row>
    <row r="561" spans="1:26" x14ac:dyDescent="0.25">
      <c r="A561" t="s">
        <v>62</v>
      </c>
      <c r="D561">
        <f t="shared" ref="D561:W561" si="329">D57*D165</f>
        <v>702.27713364366434</v>
      </c>
      <c r="E561">
        <f t="shared" si="329"/>
        <v>653.27806460761906</v>
      </c>
      <c r="F561">
        <f t="shared" si="329"/>
        <v>738.45461076628885</v>
      </c>
      <c r="G561">
        <f t="shared" si="329"/>
        <v>709.92593645759996</v>
      </c>
      <c r="H561">
        <f t="shared" si="329"/>
        <v>739.35733561983545</v>
      </c>
      <c r="I561">
        <f t="shared" si="329"/>
        <v>788.16590905058479</v>
      </c>
      <c r="J561">
        <f t="shared" si="329"/>
        <v>731.38835738145099</v>
      </c>
      <c r="K561">
        <f t="shared" si="329"/>
        <v>751.11305813946353</v>
      </c>
      <c r="L561">
        <f t="shared" si="329"/>
        <v>819.37843810606125</v>
      </c>
      <c r="M561">
        <f t="shared" si="329"/>
        <v>575.76524412721528</v>
      </c>
      <c r="N561">
        <f t="shared" si="329"/>
        <v>642.46481379312536</v>
      </c>
      <c r="O561">
        <f t="shared" si="329"/>
        <v>678.84830253694156</v>
      </c>
      <c r="P561">
        <f t="shared" si="329"/>
        <v>608.37387055949114</v>
      </c>
      <c r="Q561">
        <f t="shared" si="329"/>
        <v>720.22794637966888</v>
      </c>
      <c r="R561">
        <f t="shared" si="329"/>
        <v>1046.2728228088718</v>
      </c>
      <c r="S561">
        <f t="shared" si="329"/>
        <v>954.77129779619588</v>
      </c>
      <c r="T561">
        <f t="shared" si="329"/>
        <v>203.57909565536883</v>
      </c>
      <c r="U561">
        <f t="shared" si="329"/>
        <v>726.13667873534132</v>
      </c>
      <c r="V561">
        <f t="shared" si="329"/>
        <v>713.74094005102859</v>
      </c>
      <c r="W561">
        <f t="shared" si="329"/>
        <v>592.61020287408223</v>
      </c>
      <c r="Y561" s="6">
        <f t="shared" si="309"/>
        <v>14096.130059089901</v>
      </c>
      <c r="Z561">
        <f t="shared" si="310"/>
        <v>-705.42631437628893</v>
      </c>
    </row>
    <row r="562" spans="1:26" x14ac:dyDescent="0.25">
      <c r="A562" t="s">
        <v>63</v>
      </c>
      <c r="D562">
        <f t="shared" ref="D562:W562" si="330">D58*D166</f>
        <v>739.26262462896864</v>
      </c>
      <c r="E562">
        <f t="shared" si="330"/>
        <v>705.50456473530721</v>
      </c>
      <c r="F562">
        <f t="shared" si="330"/>
        <v>772.33443507939057</v>
      </c>
      <c r="G562">
        <f t="shared" si="330"/>
        <v>720.07815760863775</v>
      </c>
      <c r="H562">
        <f t="shared" si="330"/>
        <v>968.81459908223644</v>
      </c>
      <c r="I562">
        <f t="shared" si="330"/>
        <v>721.04565997705663</v>
      </c>
      <c r="J562">
        <f t="shared" si="330"/>
        <v>713.15522116917123</v>
      </c>
      <c r="K562">
        <f t="shared" si="330"/>
        <v>683.74124744262792</v>
      </c>
      <c r="L562">
        <f t="shared" si="330"/>
        <v>813.81849175993989</v>
      </c>
      <c r="M562">
        <f t="shared" si="330"/>
        <v>1177.8534919137362</v>
      </c>
      <c r="N562">
        <f t="shared" si="330"/>
        <v>660.2795849776561</v>
      </c>
      <c r="O562">
        <f t="shared" si="330"/>
        <v>1109.7934261407536</v>
      </c>
      <c r="P562">
        <f t="shared" si="330"/>
        <v>589.24954793663744</v>
      </c>
      <c r="Q562">
        <f t="shared" si="330"/>
        <v>801.40133950984603</v>
      </c>
      <c r="R562">
        <f t="shared" si="330"/>
        <v>657.41998370549311</v>
      </c>
      <c r="S562">
        <f t="shared" si="330"/>
        <v>930.41013006611581</v>
      </c>
      <c r="T562">
        <f t="shared" si="330"/>
        <v>684.79185467404886</v>
      </c>
      <c r="U562">
        <f t="shared" si="330"/>
        <v>551.91248847897339</v>
      </c>
      <c r="V562">
        <f t="shared" si="330"/>
        <v>1021.3337953766643</v>
      </c>
      <c r="W562">
        <f t="shared" si="330"/>
        <v>886.15498368619262</v>
      </c>
      <c r="Y562" s="6">
        <f t="shared" si="309"/>
        <v>15908.355627949453</v>
      </c>
      <c r="Z562">
        <f t="shared" si="310"/>
        <v>-994.36403555378786</v>
      </c>
    </row>
    <row r="563" spans="1:26" x14ac:dyDescent="0.25">
      <c r="A563" t="s">
        <v>64</v>
      </c>
      <c r="D563">
        <f t="shared" ref="D563:W563" si="331">D59*D167</f>
        <v>887.69079476790648</v>
      </c>
      <c r="E563">
        <f t="shared" si="331"/>
        <v>927.27130713262636</v>
      </c>
      <c r="F563">
        <f t="shared" si="331"/>
        <v>884.15336141159378</v>
      </c>
      <c r="G563">
        <f t="shared" si="331"/>
        <v>746.06216977569397</v>
      </c>
      <c r="H563">
        <f t="shared" si="331"/>
        <v>683.30175903902932</v>
      </c>
      <c r="I563">
        <f t="shared" si="331"/>
        <v>973.97014357005878</v>
      </c>
      <c r="J563">
        <f t="shared" si="331"/>
        <v>706.97387308982263</v>
      </c>
      <c r="K563">
        <f t="shared" si="331"/>
        <v>836.90500659073905</v>
      </c>
      <c r="L563">
        <f t="shared" si="331"/>
        <v>941.73793132095341</v>
      </c>
      <c r="M563">
        <f t="shared" si="331"/>
        <v>829.53434897576858</v>
      </c>
      <c r="N563">
        <f t="shared" si="331"/>
        <v>570.08185156472746</v>
      </c>
      <c r="O563">
        <f t="shared" si="331"/>
        <v>774.77853683110152</v>
      </c>
      <c r="P563">
        <f t="shared" si="331"/>
        <v>641.31153348836017</v>
      </c>
      <c r="Q563">
        <f t="shared" si="331"/>
        <v>1093.2466641391502</v>
      </c>
      <c r="R563">
        <f t="shared" si="331"/>
        <v>1216.590128967521</v>
      </c>
      <c r="S563">
        <f t="shared" si="331"/>
        <v>779.36307959619785</v>
      </c>
      <c r="T563">
        <f t="shared" si="331"/>
        <v>797.03188560941965</v>
      </c>
      <c r="U563">
        <f t="shared" si="331"/>
        <v>683.96249179020185</v>
      </c>
      <c r="V563">
        <f t="shared" si="331"/>
        <v>692.74149720502328</v>
      </c>
      <c r="W563">
        <f t="shared" si="331"/>
        <v>710.00730991786372</v>
      </c>
      <c r="Y563" s="6">
        <f t="shared" si="309"/>
        <v>16376.71567478376</v>
      </c>
      <c r="Z563">
        <f t="shared" si="310"/>
        <v>-822.29840464878168</v>
      </c>
    </row>
    <row r="564" spans="1:26" x14ac:dyDescent="0.25">
      <c r="A564" t="s">
        <v>65</v>
      </c>
      <c r="D564">
        <f t="shared" ref="D564:W564" si="332">D60*D168</f>
        <v>942.77299239976412</v>
      </c>
      <c r="E564">
        <f t="shared" si="332"/>
        <v>791.58554918637878</v>
      </c>
      <c r="F564">
        <f t="shared" si="332"/>
        <v>628.78747219574211</v>
      </c>
      <c r="G564">
        <f t="shared" si="332"/>
        <v>521.34573986013288</v>
      </c>
      <c r="H564">
        <f t="shared" si="332"/>
        <v>952.18846123407138</v>
      </c>
      <c r="I564">
        <f t="shared" si="332"/>
        <v>885.38998121058216</v>
      </c>
      <c r="J564">
        <f t="shared" si="332"/>
        <v>624.55662417247447</v>
      </c>
      <c r="K564">
        <f t="shared" si="332"/>
        <v>651.97215460125369</v>
      </c>
      <c r="L564">
        <f t="shared" si="332"/>
        <v>728.29526972966357</v>
      </c>
      <c r="M564">
        <f t="shared" si="332"/>
        <v>751.96320884917009</v>
      </c>
      <c r="N564">
        <f t="shared" si="332"/>
        <v>648.75848965843136</v>
      </c>
      <c r="O564">
        <f t="shared" si="332"/>
        <v>552.33187713516975</v>
      </c>
      <c r="P564">
        <f t="shared" si="332"/>
        <v>485.37496428466847</v>
      </c>
      <c r="Q564">
        <f t="shared" si="332"/>
        <v>629.54657092100047</v>
      </c>
      <c r="R564">
        <f t="shared" si="332"/>
        <v>212.75914670487472</v>
      </c>
      <c r="S564">
        <f t="shared" si="332"/>
        <v>316.93700014485353</v>
      </c>
      <c r="T564">
        <f t="shared" si="332"/>
        <v>478.21327156307325</v>
      </c>
      <c r="U564">
        <f t="shared" si="332"/>
        <v>365.2212380335842</v>
      </c>
      <c r="V564">
        <f t="shared" si="332"/>
        <v>492.869206627479</v>
      </c>
      <c r="W564">
        <f t="shared" si="332"/>
        <v>528.97652240186653</v>
      </c>
      <c r="Y564" s="6">
        <f t="shared" si="309"/>
        <v>12189.845740914234</v>
      </c>
      <c r="Z564">
        <f t="shared" si="310"/>
        <v>-482.85083001427887</v>
      </c>
    </row>
    <row r="565" spans="1:26" x14ac:dyDescent="0.25">
      <c r="A565" t="s">
        <v>66</v>
      </c>
      <c r="D565">
        <f t="shared" ref="D565:W565" si="333">D61*D169</f>
        <v>842.50899807694248</v>
      </c>
      <c r="E565">
        <f t="shared" si="333"/>
        <v>758.31622034606551</v>
      </c>
      <c r="F565">
        <f t="shared" si="333"/>
        <v>784.28615384935938</v>
      </c>
      <c r="G565">
        <f t="shared" si="333"/>
        <v>537.88256370035458</v>
      </c>
      <c r="H565">
        <f t="shared" si="333"/>
        <v>1240.2042639196736</v>
      </c>
      <c r="I565">
        <f t="shared" si="333"/>
        <v>1179.1347136010199</v>
      </c>
      <c r="J565">
        <f t="shared" si="333"/>
        <v>1044.400779358929</v>
      </c>
      <c r="K565">
        <f t="shared" si="333"/>
        <v>1158.5972691494439</v>
      </c>
      <c r="L565">
        <f t="shared" si="333"/>
        <v>847.82685314820742</v>
      </c>
      <c r="M565">
        <f t="shared" si="333"/>
        <v>574.79340106413952</v>
      </c>
      <c r="N565">
        <f t="shared" si="333"/>
        <v>775.8767967126787</v>
      </c>
      <c r="O565">
        <f t="shared" si="333"/>
        <v>1087.9194191106371</v>
      </c>
      <c r="P565">
        <f t="shared" si="333"/>
        <v>761.25515559390385</v>
      </c>
      <c r="Q565">
        <f t="shared" si="333"/>
        <v>537.17789515967991</v>
      </c>
      <c r="R565">
        <f t="shared" si="333"/>
        <v>682.94474315843684</v>
      </c>
      <c r="S565">
        <f t="shared" si="333"/>
        <v>658.72546533077025</v>
      </c>
      <c r="T565">
        <f t="shared" si="333"/>
        <v>547.76470636038221</v>
      </c>
      <c r="U565">
        <f t="shared" si="333"/>
        <v>602.93530408560059</v>
      </c>
      <c r="V565">
        <f t="shared" si="333"/>
        <v>523.15765015086731</v>
      </c>
      <c r="W565">
        <f t="shared" si="333"/>
        <v>315.02791959418062</v>
      </c>
      <c r="Y565" s="6">
        <f t="shared" si="309"/>
        <v>15460.736271471276</v>
      </c>
      <c r="Z565">
        <f t="shared" si="310"/>
        <v>-830.14974124706862</v>
      </c>
    </row>
    <row r="566" spans="1:26" x14ac:dyDescent="0.25">
      <c r="A566" t="s">
        <v>67</v>
      </c>
      <c r="D566">
        <f t="shared" ref="D566:W566" si="334">D62*D170</f>
        <v>650.24788755589793</v>
      </c>
      <c r="E566">
        <f t="shared" si="334"/>
        <v>852.61436330769561</v>
      </c>
      <c r="F566">
        <f t="shared" si="334"/>
        <v>1254.7160147905618</v>
      </c>
      <c r="G566">
        <f t="shared" si="334"/>
        <v>739.75472182032036</v>
      </c>
      <c r="H566">
        <f t="shared" si="334"/>
        <v>933.04321192161785</v>
      </c>
      <c r="I566">
        <f t="shared" si="334"/>
        <v>982.51650222228966</v>
      </c>
      <c r="J566">
        <f t="shared" si="334"/>
        <v>1060.4187041394232</v>
      </c>
      <c r="K566">
        <f t="shared" si="334"/>
        <v>1199.0900343872481</v>
      </c>
      <c r="L566">
        <f t="shared" si="334"/>
        <v>733.47665117243787</v>
      </c>
      <c r="M566">
        <f t="shared" si="334"/>
        <v>757.22868976068003</v>
      </c>
      <c r="N566">
        <f t="shared" si="334"/>
        <v>715.60972110702505</v>
      </c>
      <c r="O566">
        <f t="shared" si="334"/>
        <v>833.01043766436692</v>
      </c>
      <c r="P566">
        <f t="shared" si="334"/>
        <v>668.44147076239085</v>
      </c>
      <c r="Q566">
        <f t="shared" si="334"/>
        <v>702.93839372033904</v>
      </c>
      <c r="R566">
        <f t="shared" si="334"/>
        <v>700.57436942122388</v>
      </c>
      <c r="S566">
        <f t="shared" si="334"/>
        <v>774.57989956440349</v>
      </c>
      <c r="T566">
        <f t="shared" si="334"/>
        <v>588.52423416543456</v>
      </c>
      <c r="U566">
        <f t="shared" si="334"/>
        <v>626.01883266616164</v>
      </c>
      <c r="V566">
        <f t="shared" si="334"/>
        <v>735.29185142594486</v>
      </c>
      <c r="W566">
        <f t="shared" si="334"/>
        <v>464.7861730861095</v>
      </c>
      <c r="Y566" s="6">
        <f t="shared" si="309"/>
        <v>15972.882164661569</v>
      </c>
      <c r="Z566">
        <f t="shared" si="310"/>
        <v>-850.26970234074395</v>
      </c>
    </row>
    <row r="567" spans="1:26" x14ac:dyDescent="0.25">
      <c r="A567" t="s">
        <v>68</v>
      </c>
      <c r="D567">
        <f t="shared" ref="D567:W567" si="335">D63*D171</f>
        <v>1214.7854465576438</v>
      </c>
      <c r="E567">
        <f t="shared" si="335"/>
        <v>1534.6170043467412</v>
      </c>
      <c r="F567">
        <f t="shared" si="335"/>
        <v>1964.2929613008666</v>
      </c>
      <c r="G567">
        <f t="shared" si="335"/>
        <v>2038.2953784314736</v>
      </c>
      <c r="H567">
        <f t="shared" si="335"/>
        <v>1466.278035519116</v>
      </c>
      <c r="I567">
        <f t="shared" si="335"/>
        <v>1214.7070180590586</v>
      </c>
      <c r="J567">
        <f t="shared" si="335"/>
        <v>1105.1270258828824</v>
      </c>
      <c r="K567">
        <f t="shared" si="335"/>
        <v>1482.3865707144382</v>
      </c>
      <c r="L567">
        <f t="shared" si="335"/>
        <v>1376.9734981129886</v>
      </c>
      <c r="M567">
        <f t="shared" si="335"/>
        <v>683.53431094982398</v>
      </c>
      <c r="N567">
        <f t="shared" si="335"/>
        <v>805.16269711434745</v>
      </c>
      <c r="O567">
        <f t="shared" si="335"/>
        <v>912.74970241949666</v>
      </c>
      <c r="P567">
        <f t="shared" si="335"/>
        <v>708.84690897240921</v>
      </c>
      <c r="Q567">
        <f t="shared" si="335"/>
        <v>880.05648907192926</v>
      </c>
      <c r="R567">
        <f t="shared" si="335"/>
        <v>1093.304113343215</v>
      </c>
      <c r="S567">
        <f t="shared" si="335"/>
        <v>1122.4777155183426</v>
      </c>
      <c r="T567">
        <f t="shared" si="335"/>
        <v>888.68093400238217</v>
      </c>
      <c r="U567">
        <f t="shared" si="335"/>
        <v>858.97563924325232</v>
      </c>
      <c r="V567">
        <f t="shared" si="335"/>
        <v>645.09353041037139</v>
      </c>
      <c r="W567">
        <f t="shared" si="335"/>
        <v>459.25854933927394</v>
      </c>
      <c r="Y567" s="6">
        <f t="shared" si="309"/>
        <v>22455.603529310054</v>
      </c>
      <c r="Z567">
        <f t="shared" si="310"/>
        <v>-610.30004623968432</v>
      </c>
    </row>
    <row r="568" spans="1:26" x14ac:dyDescent="0.25">
      <c r="A568" t="s">
        <v>69</v>
      </c>
      <c r="D568">
        <f t="shared" ref="D568:W568" si="336">D64*D172</f>
        <v>930.16831425314422</v>
      </c>
      <c r="E568">
        <f t="shared" si="336"/>
        <v>938.41198161105638</v>
      </c>
      <c r="F568">
        <f t="shared" si="336"/>
        <v>805.38952171389656</v>
      </c>
      <c r="G568">
        <f t="shared" si="336"/>
        <v>896.49747764716039</v>
      </c>
      <c r="H568">
        <f t="shared" si="336"/>
        <v>861.13240582946798</v>
      </c>
      <c r="I568">
        <f t="shared" si="336"/>
        <v>1099.8847554206243</v>
      </c>
      <c r="J568">
        <f t="shared" si="336"/>
        <v>521.25948749331269</v>
      </c>
      <c r="K568">
        <f t="shared" si="336"/>
        <v>686.79067418532213</v>
      </c>
      <c r="L568">
        <f t="shared" si="336"/>
        <v>623.68108265010028</v>
      </c>
      <c r="M568">
        <f t="shared" si="336"/>
        <v>822.60764135083389</v>
      </c>
      <c r="N568">
        <f t="shared" si="336"/>
        <v>694.04109501990001</v>
      </c>
      <c r="O568">
        <f t="shared" si="336"/>
        <v>829.41953595664802</v>
      </c>
      <c r="P568">
        <f t="shared" si="336"/>
        <v>657.52375557333437</v>
      </c>
      <c r="Q568">
        <f t="shared" si="336"/>
        <v>2493.0485180397773</v>
      </c>
      <c r="R568">
        <f t="shared" si="336"/>
        <v>507.61035480262524</v>
      </c>
      <c r="S568">
        <f t="shared" si="336"/>
        <v>533.77440499423562</v>
      </c>
      <c r="T568">
        <f t="shared" si="336"/>
        <v>544.62458834608276</v>
      </c>
      <c r="U568">
        <f t="shared" si="336"/>
        <v>678.76906384611073</v>
      </c>
      <c r="V568">
        <f t="shared" si="336"/>
        <v>499.34336743544446</v>
      </c>
      <c r="W568">
        <f t="shared" si="336"/>
        <v>547.7503029004879</v>
      </c>
      <c r="Y568" s="6">
        <f t="shared" si="309"/>
        <v>16171.728329069563</v>
      </c>
      <c r="Z568">
        <f t="shared" si="310"/>
        <v>-760.91526867808818</v>
      </c>
    </row>
    <row r="569" spans="1:26" x14ac:dyDescent="0.25">
      <c r="Y569" s="6"/>
    </row>
    <row r="570" spans="1:26" x14ac:dyDescent="0.25">
      <c r="A570" t="s">
        <v>70</v>
      </c>
      <c r="D570">
        <f t="shared" ref="D570:W570" si="337">D66*D174</f>
        <v>764.8956909787114</v>
      </c>
      <c r="E570">
        <f t="shared" si="337"/>
        <v>743.64139932088665</v>
      </c>
      <c r="F570">
        <f t="shared" si="337"/>
        <v>732.69918309920149</v>
      </c>
      <c r="G570">
        <f t="shared" si="337"/>
        <v>688.55471253478004</v>
      </c>
      <c r="H570">
        <f t="shared" si="337"/>
        <v>813.7404234782415</v>
      </c>
      <c r="I570">
        <f t="shared" si="337"/>
        <v>904.40660029019864</v>
      </c>
      <c r="J570">
        <f t="shared" si="337"/>
        <v>859.25751384795637</v>
      </c>
      <c r="K570">
        <f t="shared" si="337"/>
        <v>850.88647180672683</v>
      </c>
      <c r="L570">
        <f t="shared" si="337"/>
        <v>2023.0980820101945</v>
      </c>
      <c r="M570">
        <f t="shared" si="337"/>
        <v>755.50212655884343</v>
      </c>
      <c r="N570">
        <f t="shared" si="337"/>
        <v>621.38110551678574</v>
      </c>
      <c r="O570">
        <f t="shared" si="337"/>
        <v>839.40555846860036</v>
      </c>
      <c r="P570">
        <f t="shared" si="337"/>
        <v>638.41208548773761</v>
      </c>
      <c r="Q570">
        <f t="shared" si="337"/>
        <v>982.57217340100055</v>
      </c>
      <c r="R570">
        <f t="shared" si="337"/>
        <v>743.82923509466286</v>
      </c>
      <c r="S570">
        <f t="shared" si="337"/>
        <v>758.26658744548558</v>
      </c>
      <c r="T570">
        <f t="shared" si="337"/>
        <v>586.8620738132247</v>
      </c>
      <c r="U570">
        <f t="shared" si="337"/>
        <v>642.02549550793526</v>
      </c>
      <c r="V570">
        <f t="shared" si="337"/>
        <v>667.38114648220176</v>
      </c>
      <c r="W570">
        <f t="shared" si="337"/>
        <v>572.42210936747801</v>
      </c>
      <c r="Y570" s="6">
        <f t="shared" si="309"/>
        <v>16189.239774510856</v>
      </c>
      <c r="Z570">
        <f>SUMPRODUCT($D$574:$W$574,D570:W570)</f>
        <v>-958.42257639388936</v>
      </c>
    </row>
    <row r="571" spans="1:26" x14ac:dyDescent="0.25">
      <c r="A571" t="s">
        <v>313</v>
      </c>
      <c r="D571">
        <f t="shared" ref="D571:W571" si="338">D67*D175</f>
        <v>1063.7618846366804</v>
      </c>
      <c r="E571">
        <f t="shared" si="338"/>
        <v>1169.3027966594641</v>
      </c>
      <c r="F571">
        <f t="shared" si="338"/>
        <v>999.87956739908566</v>
      </c>
      <c r="G571">
        <f t="shared" si="338"/>
        <v>1013.6660142664404</v>
      </c>
      <c r="H571">
        <f t="shared" si="338"/>
        <v>1142.6186515520833</v>
      </c>
      <c r="I571">
        <f t="shared" si="338"/>
        <v>1011.0962297671007</v>
      </c>
      <c r="J571">
        <f t="shared" si="338"/>
        <v>925.87381940662749</v>
      </c>
      <c r="K571">
        <f t="shared" si="338"/>
        <v>983.24562977967435</v>
      </c>
      <c r="L571">
        <f t="shared" si="338"/>
        <v>953.91692116498155</v>
      </c>
      <c r="M571">
        <f t="shared" si="338"/>
        <v>860.27380432583561</v>
      </c>
      <c r="N571">
        <f t="shared" si="338"/>
        <v>771.85103378580072</v>
      </c>
      <c r="O571">
        <f t="shared" si="338"/>
        <v>823.45986936025815</v>
      </c>
      <c r="P571">
        <f t="shared" si="338"/>
        <v>1417.57</v>
      </c>
      <c r="Q571">
        <f t="shared" si="338"/>
        <v>1680</v>
      </c>
      <c r="R571">
        <f t="shared" si="338"/>
        <v>1615.6799999999998</v>
      </c>
      <c r="S571">
        <f t="shared" si="338"/>
        <v>445.23</v>
      </c>
      <c r="T571">
        <f t="shared" si="338"/>
        <v>537.56000000000006</v>
      </c>
      <c r="U571">
        <f t="shared" si="338"/>
        <v>709.41000000000008</v>
      </c>
      <c r="V571">
        <f t="shared" si="338"/>
        <v>574.91000000000008</v>
      </c>
      <c r="W571">
        <f t="shared" si="338"/>
        <v>468.59999999999997</v>
      </c>
      <c r="Y571" s="6">
        <f t="shared" si="309"/>
        <v>19167.906222104033</v>
      </c>
      <c r="Z571">
        <f>SUMPRODUCT($D$574:$W$574,D571:W571)</f>
        <v>-951.79819200569943</v>
      </c>
    </row>
    <row r="572" spans="1:26" x14ac:dyDescent="0.25">
      <c r="A572" t="s">
        <v>314</v>
      </c>
      <c r="D572">
        <f t="shared" ref="D572:W572" si="339">D68*D176</f>
        <v>1037.0381769485398</v>
      </c>
      <c r="E572">
        <f t="shared" si="339"/>
        <v>1108.59496643684</v>
      </c>
      <c r="F572">
        <f t="shared" si="339"/>
        <v>1081.7174981615149</v>
      </c>
      <c r="G572">
        <f t="shared" si="339"/>
        <v>750.91787825440008</v>
      </c>
      <c r="H572">
        <f t="shared" si="339"/>
        <v>1067.0353593346063</v>
      </c>
      <c r="I572">
        <f t="shared" si="339"/>
        <v>750.61537686905137</v>
      </c>
      <c r="J572">
        <f t="shared" si="339"/>
        <v>634.3885747965179</v>
      </c>
      <c r="K572">
        <f t="shared" si="339"/>
        <v>635.06000000000006</v>
      </c>
      <c r="L572">
        <f t="shared" si="339"/>
        <v>1022.9000000000001</v>
      </c>
      <c r="M572">
        <f t="shared" si="339"/>
        <v>1246.08</v>
      </c>
      <c r="N572">
        <f t="shared" si="339"/>
        <v>716.32</v>
      </c>
      <c r="O572">
        <f t="shared" si="339"/>
        <v>675.54000000000008</v>
      </c>
      <c r="P572">
        <f t="shared" si="339"/>
        <v>660.5678930816614</v>
      </c>
      <c r="Q572">
        <f t="shared" si="339"/>
        <v>724.99828831748641</v>
      </c>
      <c r="R572">
        <f t="shared" si="339"/>
        <v>703.53120623321502</v>
      </c>
      <c r="S572">
        <f t="shared" si="339"/>
        <v>769.27003662599361</v>
      </c>
      <c r="T572">
        <f t="shared" si="339"/>
        <v>586.92234479378283</v>
      </c>
      <c r="U572">
        <f t="shared" si="339"/>
        <v>621.31454356600148</v>
      </c>
      <c r="V572">
        <f t="shared" si="339"/>
        <v>616.99738260842537</v>
      </c>
      <c r="W572">
        <f t="shared" si="339"/>
        <v>585.73714071457437</v>
      </c>
      <c r="Y572" s="6">
        <f t="shared" si="309"/>
        <v>15995.546666742612</v>
      </c>
      <c r="Z572">
        <f>SUMPRODUCT($D$574:$W$574,D572:W572)</f>
        <v>-604.50924367882919</v>
      </c>
    </row>
    <row r="573" spans="1:26" x14ac:dyDescent="0.25">
      <c r="A573" t="s">
        <v>658</v>
      </c>
      <c r="D573">
        <f t="shared" ref="D573:W573" si="340">D69*D177</f>
        <v>1471.2053948871701</v>
      </c>
      <c r="E573">
        <f t="shared" si="340"/>
        <v>1179.5141827117038</v>
      </c>
      <c r="F573">
        <f t="shared" si="340"/>
        <v>1560.6004943805351</v>
      </c>
      <c r="G573">
        <f t="shared" si="340"/>
        <v>1644.129440767184</v>
      </c>
      <c r="H573">
        <f t="shared" si="340"/>
        <v>1475.0767038612332</v>
      </c>
      <c r="I573">
        <f t="shared" si="340"/>
        <v>1052.25</v>
      </c>
      <c r="J573">
        <f t="shared" si="340"/>
        <v>893.01551020408158</v>
      </c>
      <c r="K573">
        <f t="shared" si="340"/>
        <v>1063.5585714285712</v>
      </c>
      <c r="L573">
        <f t="shared" si="340"/>
        <v>825.92942176870747</v>
      </c>
      <c r="M573">
        <f t="shared" si="340"/>
        <v>737.6079883381924</v>
      </c>
      <c r="N573">
        <f t="shared" si="340"/>
        <v>712.8</v>
      </c>
      <c r="O573">
        <f t="shared" si="340"/>
        <v>830.5</v>
      </c>
      <c r="P573">
        <f t="shared" si="340"/>
        <v>714.45942857142859</v>
      </c>
      <c r="Q573">
        <f t="shared" si="340"/>
        <v>778.48571428571427</v>
      </c>
      <c r="R573">
        <f t="shared" si="340"/>
        <v>715.19632653061217</v>
      </c>
      <c r="S573">
        <f t="shared" si="340"/>
        <v>762.71755102040811</v>
      </c>
      <c r="T573">
        <f t="shared" si="340"/>
        <v>597.56321184892295</v>
      </c>
      <c r="U573">
        <f t="shared" si="340"/>
        <v>614.6349636042861</v>
      </c>
      <c r="V573">
        <f t="shared" si="340"/>
        <v>690.1742954709506</v>
      </c>
      <c r="W573">
        <f t="shared" si="340"/>
        <v>669.24316043202225</v>
      </c>
      <c r="Y573" s="6">
        <f t="shared" ref="Y573" si="341">SUM(D573:W573)</f>
        <v>18988.662360111724</v>
      </c>
      <c r="Z573">
        <f>SUMPRODUCT($D$574:$W$574,D573:W573)</f>
        <v>-432.32790264066102</v>
      </c>
    </row>
    <row r="574" spans="1:26" x14ac:dyDescent="0.25">
      <c r="A574" s="2" t="s">
        <v>71</v>
      </c>
      <c r="D574" s="3">
        <f>CORREL($B$2:$B$28,D542:D568)</f>
        <v>0.21683181360649967</v>
      </c>
      <c r="E574" s="3">
        <f t="shared" ref="E574:W574" si="342">CORREL($B$2:$B$28,E542:E568)</f>
        <v>0.21177773717829132</v>
      </c>
      <c r="F574" s="3">
        <f t="shared" si="342"/>
        <v>0.11575169531456209</v>
      </c>
      <c r="G574" s="3">
        <f t="shared" si="342"/>
        <v>7.5824328886481343E-2</v>
      </c>
      <c r="H574" s="3">
        <f t="shared" si="342"/>
        <v>2.661090295000831E-2</v>
      </c>
      <c r="I574" s="3">
        <f t="shared" si="342"/>
        <v>0.1743429743812506</v>
      </c>
      <c r="J574" s="3">
        <f t="shared" si="342"/>
        <v>-0.27508903941526902</v>
      </c>
      <c r="K574" s="3">
        <f t="shared" si="342"/>
        <v>-5.4574752550868626E-2</v>
      </c>
      <c r="L574" s="3">
        <f t="shared" si="342"/>
        <v>-8.6774546188401025E-2</v>
      </c>
      <c r="M574" s="3">
        <f t="shared" si="342"/>
        <v>-4.8900164259518139E-2</v>
      </c>
      <c r="N574" s="3">
        <f t="shared" si="342"/>
        <v>-0.27031283317367538</v>
      </c>
      <c r="O574" s="3">
        <f t="shared" si="342"/>
        <v>-0.18454138547716717</v>
      </c>
      <c r="P574" s="3">
        <f t="shared" si="342"/>
        <v>-0.17732280796665345</v>
      </c>
      <c r="Q574" s="3">
        <f t="shared" si="342"/>
        <v>-0.1214591056248517</v>
      </c>
      <c r="R574" s="3">
        <f t="shared" si="342"/>
        <v>-3.6847847965346993E-2</v>
      </c>
      <c r="S574" s="3">
        <f t="shared" si="342"/>
        <v>9.1956808966512288E-2</v>
      </c>
      <c r="T574" s="3">
        <f t="shared" si="342"/>
        <v>-0.31945273293950843</v>
      </c>
      <c r="U574" s="3">
        <f t="shared" si="342"/>
        <v>-0.27962289959914383</v>
      </c>
      <c r="V574" s="3">
        <f t="shared" si="342"/>
        <v>-0.3201130138546327</v>
      </c>
      <c r="W574" s="3">
        <f t="shared" si="342"/>
        <v>-1.5845418981866272E-2</v>
      </c>
    </row>
    <row r="577" spans="1:26" x14ac:dyDescent="0.25">
      <c r="D577" t="s">
        <v>190</v>
      </c>
      <c r="E577" t="s">
        <v>191</v>
      </c>
      <c r="F577" t="s">
        <v>192</v>
      </c>
      <c r="G577" t="s">
        <v>193</v>
      </c>
      <c r="H577" t="s">
        <v>194</v>
      </c>
      <c r="I577" t="s">
        <v>195</v>
      </c>
      <c r="J577" t="s">
        <v>196</v>
      </c>
      <c r="K577" t="s">
        <v>197</v>
      </c>
      <c r="L577" t="s">
        <v>331</v>
      </c>
      <c r="M577" t="s">
        <v>391</v>
      </c>
      <c r="N577" t="s">
        <v>392</v>
      </c>
      <c r="O577" t="s">
        <v>393</v>
      </c>
      <c r="P577" t="s">
        <v>498</v>
      </c>
      <c r="Q577" t="s">
        <v>499</v>
      </c>
      <c r="R577" t="s">
        <v>500</v>
      </c>
      <c r="S577" t="s">
        <v>501</v>
      </c>
      <c r="T577" t="s">
        <v>610</v>
      </c>
      <c r="U577" t="s">
        <v>611</v>
      </c>
      <c r="V577" t="s">
        <v>612</v>
      </c>
      <c r="W577" t="s">
        <v>613</v>
      </c>
      <c r="Y577" t="s">
        <v>198</v>
      </c>
      <c r="Z577" t="s">
        <v>199</v>
      </c>
    </row>
    <row r="578" spans="1:26" x14ac:dyDescent="0.25">
      <c r="A578" t="s">
        <v>43</v>
      </c>
      <c r="D578">
        <f t="shared" ref="D578:W578" si="343">D38*D182</f>
        <v>345.64371426707521</v>
      </c>
      <c r="E578">
        <f t="shared" si="343"/>
        <v>333.79441953844741</v>
      </c>
      <c r="F578">
        <f t="shared" si="343"/>
        <v>272.76860214478694</v>
      </c>
      <c r="G578">
        <f t="shared" si="343"/>
        <v>297.10309621245489</v>
      </c>
      <c r="H578">
        <f t="shared" si="343"/>
        <v>286.279434962675</v>
      </c>
      <c r="I578">
        <f t="shared" si="343"/>
        <v>232.46278671271276</v>
      </c>
      <c r="J578">
        <f t="shared" si="343"/>
        <v>290.75596302145982</v>
      </c>
      <c r="K578">
        <f t="shared" si="343"/>
        <v>246.67781551445304</v>
      </c>
      <c r="L578">
        <f t="shared" si="343"/>
        <v>226.7021326670411</v>
      </c>
      <c r="M578">
        <f t="shared" si="343"/>
        <v>111.67760829599638</v>
      </c>
      <c r="N578">
        <f t="shared" si="343"/>
        <v>144.04787071609815</v>
      </c>
      <c r="O578">
        <f t="shared" si="343"/>
        <v>211.60163803732496</v>
      </c>
      <c r="P578">
        <f t="shared" si="343"/>
        <v>176.41141553699083</v>
      </c>
      <c r="Q578">
        <f t="shared" si="343"/>
        <v>184.21345793023158</v>
      </c>
      <c r="R578">
        <f t="shared" si="343"/>
        <v>189.44055433733783</v>
      </c>
      <c r="S578">
        <f t="shared" si="343"/>
        <v>201.02976059679938</v>
      </c>
      <c r="T578">
        <f t="shared" si="343"/>
        <v>187.61122793703154</v>
      </c>
      <c r="U578">
        <f t="shared" si="343"/>
        <v>165.7578833990022</v>
      </c>
      <c r="V578">
        <f t="shared" si="343"/>
        <v>301.53650182720804</v>
      </c>
      <c r="W578">
        <f t="shared" si="343"/>
        <v>283.11856067254399</v>
      </c>
      <c r="Y578" s="6">
        <f t="shared" ref="Y578:Y608" si="344">SUM(D578:W578)</f>
        <v>4688.6344443276703</v>
      </c>
      <c r="Z578">
        <f t="shared" ref="Z578:Z604" si="345">SUMPRODUCT($D$610:$W$610,D578:W578)</f>
        <v>221.8247969064106</v>
      </c>
    </row>
    <row r="579" spans="1:26" x14ac:dyDescent="0.25">
      <c r="A579" t="s">
        <v>44</v>
      </c>
      <c r="D579">
        <f t="shared" ref="D579:W579" si="346">D39*D183</f>
        <v>280.63615331924456</v>
      </c>
      <c r="E579">
        <f t="shared" si="346"/>
        <v>234.45671874475056</v>
      </c>
      <c r="F579">
        <f t="shared" si="346"/>
        <v>344.42883721829583</v>
      </c>
      <c r="G579">
        <f t="shared" si="346"/>
        <v>193.28473933523509</v>
      </c>
      <c r="H579">
        <f t="shared" si="346"/>
        <v>204.52429523489715</v>
      </c>
      <c r="I579">
        <f t="shared" si="346"/>
        <v>180.63168328130024</v>
      </c>
      <c r="J579">
        <f t="shared" si="346"/>
        <v>128.64445286263643</v>
      </c>
      <c r="K579">
        <f t="shared" si="346"/>
        <v>87.07705658974831</v>
      </c>
      <c r="L579">
        <f t="shared" si="346"/>
        <v>136.56409907004391</v>
      </c>
      <c r="M579">
        <f t="shared" si="346"/>
        <v>154.21969170530619</v>
      </c>
      <c r="N579">
        <f t="shared" si="346"/>
        <v>247.73175627854002</v>
      </c>
      <c r="O579">
        <f t="shared" si="346"/>
        <v>201.25198687197096</v>
      </c>
      <c r="P579">
        <f t="shared" si="346"/>
        <v>136.22313291127151</v>
      </c>
      <c r="Q579">
        <f t="shared" si="346"/>
        <v>184.74253838310869</v>
      </c>
      <c r="R579">
        <f t="shared" si="346"/>
        <v>177.79793810325032</v>
      </c>
      <c r="S579">
        <f t="shared" si="346"/>
        <v>200.0682647532177</v>
      </c>
      <c r="T579">
        <f t="shared" si="346"/>
        <v>249.73051481734026</v>
      </c>
      <c r="U579">
        <f t="shared" si="346"/>
        <v>180.81588451002716</v>
      </c>
      <c r="V579">
        <f t="shared" si="346"/>
        <v>319.24145858288171</v>
      </c>
      <c r="W579">
        <f t="shared" si="346"/>
        <v>408.33521842116443</v>
      </c>
      <c r="Y579" s="6">
        <f t="shared" si="344"/>
        <v>4250.4064209942308</v>
      </c>
      <c r="Z579">
        <f t="shared" si="345"/>
        <v>205.84800888686712</v>
      </c>
    </row>
    <row r="580" spans="1:26" x14ac:dyDescent="0.25">
      <c r="A580" t="s">
        <v>45</v>
      </c>
      <c r="D580">
        <f t="shared" ref="D580:W580" si="347">D40*D184</f>
        <v>277.04809887606041</v>
      </c>
      <c r="E580">
        <f t="shared" si="347"/>
        <v>193.98709623378369</v>
      </c>
      <c r="F580">
        <f t="shared" si="347"/>
        <v>194.64070029461362</v>
      </c>
      <c r="G580">
        <f t="shared" si="347"/>
        <v>226.58552445013228</v>
      </c>
      <c r="H580">
        <f t="shared" si="347"/>
        <v>311.20947955098774</v>
      </c>
      <c r="I580">
        <f t="shared" si="347"/>
        <v>186.7926282983191</v>
      </c>
      <c r="J580">
        <f t="shared" si="347"/>
        <v>257.65810189857467</v>
      </c>
      <c r="K580">
        <f t="shared" si="347"/>
        <v>213.43240594451862</v>
      </c>
      <c r="L580">
        <f t="shared" si="347"/>
        <v>214.0432424120518</v>
      </c>
      <c r="M580">
        <f t="shared" si="347"/>
        <v>215.22670257370191</v>
      </c>
      <c r="N580">
        <f t="shared" si="347"/>
        <v>247.42717559144532</v>
      </c>
      <c r="O580">
        <f t="shared" si="347"/>
        <v>185.74208676810315</v>
      </c>
      <c r="P580">
        <f t="shared" si="347"/>
        <v>150.48366029474332</v>
      </c>
      <c r="Q580">
        <f t="shared" si="347"/>
        <v>145.6840037515264</v>
      </c>
      <c r="R580">
        <f t="shared" si="347"/>
        <v>230.47384070003085</v>
      </c>
      <c r="S580">
        <f t="shared" si="347"/>
        <v>218.8306372422924</v>
      </c>
      <c r="T580">
        <f t="shared" si="347"/>
        <v>236.86896005556343</v>
      </c>
      <c r="U580">
        <f t="shared" si="347"/>
        <v>285.49234418500646</v>
      </c>
      <c r="V580">
        <f t="shared" si="347"/>
        <v>420.90270410646889</v>
      </c>
      <c r="W580">
        <f t="shared" si="347"/>
        <v>451.74466850369942</v>
      </c>
      <c r="Y580" s="6">
        <f t="shared" si="344"/>
        <v>4864.274061731624</v>
      </c>
      <c r="Z580">
        <f t="shared" si="345"/>
        <v>104.76292019518833</v>
      </c>
    </row>
    <row r="581" spans="1:26" x14ac:dyDescent="0.25">
      <c r="A581" t="s">
        <v>46</v>
      </c>
      <c r="D581">
        <f t="shared" ref="D581:W581" si="348">D41*D185</f>
        <v>339.28108800470329</v>
      </c>
      <c r="E581">
        <f t="shared" si="348"/>
        <v>277.57225053002435</v>
      </c>
      <c r="F581">
        <f t="shared" si="348"/>
        <v>263.47116950108637</v>
      </c>
      <c r="G581">
        <f t="shared" si="348"/>
        <v>243.17874034912057</v>
      </c>
      <c r="H581">
        <f t="shared" si="348"/>
        <v>189.47714839424458</v>
      </c>
      <c r="I581">
        <f t="shared" si="348"/>
        <v>216.96812215513776</v>
      </c>
      <c r="J581">
        <f t="shared" si="348"/>
        <v>245.3191657860358</v>
      </c>
      <c r="K581">
        <f t="shared" si="348"/>
        <v>273.77920121358176</v>
      </c>
      <c r="L581">
        <f t="shared" si="348"/>
        <v>202.61652629202931</v>
      </c>
      <c r="M581">
        <f t="shared" si="348"/>
        <v>200.90705580397179</v>
      </c>
      <c r="N581">
        <f t="shared" si="348"/>
        <v>140.53478719682684</v>
      </c>
      <c r="O581">
        <f t="shared" si="348"/>
        <v>161.44780327356688</v>
      </c>
      <c r="P581">
        <f t="shared" si="348"/>
        <v>145.20789191435568</v>
      </c>
      <c r="Q581">
        <f t="shared" si="348"/>
        <v>200.24474821476792</v>
      </c>
      <c r="R581">
        <f t="shared" si="348"/>
        <v>159.12300841837794</v>
      </c>
      <c r="S581">
        <f t="shared" si="348"/>
        <v>237.74443532899178</v>
      </c>
      <c r="T581">
        <f t="shared" si="348"/>
        <v>187.04459286896167</v>
      </c>
      <c r="U581">
        <f t="shared" si="348"/>
        <v>219.10766443175595</v>
      </c>
      <c r="V581">
        <f t="shared" si="348"/>
        <v>235.83459305731247</v>
      </c>
      <c r="W581">
        <f t="shared" si="348"/>
        <v>292.92852830384714</v>
      </c>
      <c r="Y581" s="6">
        <f t="shared" si="344"/>
        <v>4431.7885210387003</v>
      </c>
      <c r="Z581">
        <f t="shared" si="345"/>
        <v>234.10333338264246</v>
      </c>
    </row>
    <row r="582" spans="1:26" x14ac:dyDescent="0.25">
      <c r="A582" t="s">
        <v>47</v>
      </c>
      <c r="D582">
        <f t="shared" ref="D582:W582" si="349">D42*D186</f>
        <v>369.07719719911938</v>
      </c>
      <c r="E582">
        <f t="shared" si="349"/>
        <v>314.48094289080205</v>
      </c>
      <c r="F582">
        <f t="shared" si="349"/>
        <v>327.42083677337718</v>
      </c>
      <c r="G582">
        <f t="shared" si="349"/>
        <v>372.26217239803651</v>
      </c>
      <c r="H582">
        <f t="shared" si="349"/>
        <v>235.45745440944953</v>
      </c>
      <c r="I582">
        <f t="shared" si="349"/>
        <v>235.87108313071843</v>
      </c>
      <c r="J582">
        <f t="shared" si="349"/>
        <v>240.04343620364</v>
      </c>
      <c r="K582">
        <f t="shared" si="349"/>
        <v>224.6082877734685</v>
      </c>
      <c r="L582">
        <f t="shared" si="349"/>
        <v>157.39987969757726</v>
      </c>
      <c r="M582">
        <f t="shared" si="349"/>
        <v>192.23731115072067</v>
      </c>
      <c r="N582">
        <f t="shared" si="349"/>
        <v>197.33905344642574</v>
      </c>
      <c r="O582">
        <f t="shared" si="349"/>
        <v>221.39375249072273</v>
      </c>
      <c r="P582">
        <f t="shared" si="349"/>
        <v>259.73830511784752</v>
      </c>
      <c r="Q582">
        <f t="shared" si="349"/>
        <v>161.29505424591861</v>
      </c>
      <c r="R582">
        <f t="shared" si="349"/>
        <v>293.7405487627679</v>
      </c>
      <c r="S582">
        <f t="shared" si="349"/>
        <v>251.79203070035626</v>
      </c>
      <c r="T582">
        <f t="shared" si="349"/>
        <v>307.76777411540445</v>
      </c>
      <c r="U582">
        <f t="shared" si="349"/>
        <v>293.52823853099369</v>
      </c>
      <c r="V582">
        <f t="shared" si="349"/>
        <v>377.22929746626164</v>
      </c>
      <c r="W582">
        <f t="shared" si="349"/>
        <v>435.27702172612703</v>
      </c>
      <c r="Y582" s="6">
        <f t="shared" si="344"/>
        <v>5467.9596782297349</v>
      </c>
      <c r="Z582">
        <f t="shared" si="345"/>
        <v>263.35495158779941</v>
      </c>
    </row>
    <row r="583" spans="1:26" x14ac:dyDescent="0.25">
      <c r="A583" t="s">
        <v>48</v>
      </c>
      <c r="D583">
        <f t="shared" ref="D583:W583" si="350">D43*D187</f>
        <v>448.04063541877565</v>
      </c>
      <c r="E583">
        <f t="shared" si="350"/>
        <v>379.98459262064756</v>
      </c>
      <c r="F583">
        <f t="shared" si="350"/>
        <v>382.53406505677918</v>
      </c>
      <c r="G583">
        <f t="shared" si="350"/>
        <v>444.67222423371192</v>
      </c>
      <c r="H583">
        <f t="shared" si="350"/>
        <v>353.28710758106905</v>
      </c>
      <c r="I583">
        <f t="shared" si="350"/>
        <v>312.34932437215878</v>
      </c>
      <c r="J583">
        <f t="shared" si="350"/>
        <v>278.6104564493171</v>
      </c>
      <c r="K583">
        <f t="shared" si="350"/>
        <v>279.65276286593348</v>
      </c>
      <c r="L583">
        <f t="shared" si="350"/>
        <v>225.23736528480325</v>
      </c>
      <c r="M583">
        <f t="shared" si="350"/>
        <v>123.04966420014635</v>
      </c>
      <c r="N583">
        <f t="shared" si="350"/>
        <v>143.33428442433845</v>
      </c>
      <c r="O583">
        <f t="shared" si="350"/>
        <v>143.93242386724953</v>
      </c>
      <c r="P583">
        <f t="shared" si="350"/>
        <v>286.42299353270863</v>
      </c>
      <c r="Q583">
        <f t="shared" si="350"/>
        <v>308.2040295999318</v>
      </c>
      <c r="R583">
        <f t="shared" si="350"/>
        <v>265.17063556582684</v>
      </c>
      <c r="S583">
        <f t="shared" si="350"/>
        <v>150.23865170807289</v>
      </c>
      <c r="T583">
        <f t="shared" si="350"/>
        <v>162.12823357741854</v>
      </c>
      <c r="U583">
        <f t="shared" si="350"/>
        <v>239.60460193923134</v>
      </c>
      <c r="V583">
        <f t="shared" si="350"/>
        <v>242.58119969348471</v>
      </c>
      <c r="W583">
        <f t="shared" si="350"/>
        <v>302.56473812059454</v>
      </c>
      <c r="Y583" s="6">
        <f t="shared" si="344"/>
        <v>5471.5999901121995</v>
      </c>
      <c r="Z583">
        <f t="shared" si="345"/>
        <v>329.81385192238707</v>
      </c>
    </row>
    <row r="584" spans="1:26" x14ac:dyDescent="0.25">
      <c r="A584" t="s">
        <v>49</v>
      </c>
      <c r="D584">
        <f t="shared" ref="D584:W584" si="351">D44*D188</f>
        <v>303.94439218890489</v>
      </c>
      <c r="E584">
        <f t="shared" si="351"/>
        <v>375.31034113971617</v>
      </c>
      <c r="F584">
        <f t="shared" si="351"/>
        <v>363.34622536935467</v>
      </c>
      <c r="G584">
        <f t="shared" si="351"/>
        <v>329.06096266835567</v>
      </c>
      <c r="H584">
        <f t="shared" si="351"/>
        <v>250.34544996596563</v>
      </c>
      <c r="I584">
        <f t="shared" si="351"/>
        <v>246.4782579741217</v>
      </c>
      <c r="J584">
        <f t="shared" si="351"/>
        <v>260.39467996041412</v>
      </c>
      <c r="K584">
        <f t="shared" si="351"/>
        <v>262.40761111630161</v>
      </c>
      <c r="L584">
        <f t="shared" si="351"/>
        <v>203.86527561758865</v>
      </c>
      <c r="M584">
        <f t="shared" si="351"/>
        <v>147.01889198417439</v>
      </c>
      <c r="N584">
        <f t="shared" si="351"/>
        <v>153.86017425328706</v>
      </c>
      <c r="O584">
        <f t="shared" si="351"/>
        <v>163.61828226744922</v>
      </c>
      <c r="P584">
        <f t="shared" si="351"/>
        <v>278.08715383108193</v>
      </c>
      <c r="Q584">
        <f t="shared" si="351"/>
        <v>300.95579130266231</v>
      </c>
      <c r="R584">
        <f t="shared" si="351"/>
        <v>276.13463075756499</v>
      </c>
      <c r="S584">
        <f t="shared" si="351"/>
        <v>200.86823397007558</v>
      </c>
      <c r="T584">
        <f t="shared" si="351"/>
        <v>188.71050395882548</v>
      </c>
      <c r="U584">
        <f t="shared" si="351"/>
        <v>264.70506635723513</v>
      </c>
      <c r="V584">
        <f t="shared" si="351"/>
        <v>276.51040396303472</v>
      </c>
      <c r="W584">
        <f t="shared" si="351"/>
        <v>336.24428264851298</v>
      </c>
      <c r="Y584" s="6">
        <f t="shared" si="344"/>
        <v>5181.8666112946285</v>
      </c>
      <c r="Z584">
        <f t="shared" si="345"/>
        <v>242.39207332908629</v>
      </c>
    </row>
    <row r="585" spans="1:26" x14ac:dyDescent="0.25">
      <c r="A585" t="s">
        <v>50</v>
      </c>
      <c r="D585">
        <f t="shared" ref="D585:W585" si="352">D45*D189</f>
        <v>347.67251537795386</v>
      </c>
      <c r="E585">
        <f t="shared" si="352"/>
        <v>289.90104950380248</v>
      </c>
      <c r="F585">
        <f t="shared" si="352"/>
        <v>383.5269646670202</v>
      </c>
      <c r="G585">
        <f t="shared" si="352"/>
        <v>307.07313071397755</v>
      </c>
      <c r="H585">
        <f t="shared" si="352"/>
        <v>274.79611744890997</v>
      </c>
      <c r="I585">
        <f t="shared" si="352"/>
        <v>303.11777157536312</v>
      </c>
      <c r="J585">
        <f t="shared" si="352"/>
        <v>244.59142513977187</v>
      </c>
      <c r="K585">
        <f t="shared" si="352"/>
        <v>251.74622168414422</v>
      </c>
      <c r="L585">
        <f t="shared" si="352"/>
        <v>322.01187478975646</v>
      </c>
      <c r="M585">
        <f t="shared" si="352"/>
        <v>177.85213034769166</v>
      </c>
      <c r="N585">
        <f t="shared" si="352"/>
        <v>280.60048462764991</v>
      </c>
      <c r="O585">
        <f t="shared" si="352"/>
        <v>276.29255971844708</v>
      </c>
      <c r="P585">
        <f t="shared" si="352"/>
        <v>266.27745007204567</v>
      </c>
      <c r="Q585">
        <f t="shared" si="352"/>
        <v>299.61964908166732</v>
      </c>
      <c r="R585">
        <f t="shared" si="352"/>
        <v>286.55808703177547</v>
      </c>
      <c r="S585">
        <f t="shared" si="352"/>
        <v>280.93995962367836</v>
      </c>
      <c r="T585">
        <f t="shared" si="352"/>
        <v>234.32345068323943</v>
      </c>
      <c r="U585">
        <f t="shared" si="352"/>
        <v>252.40001859155313</v>
      </c>
      <c r="V585">
        <f t="shared" si="352"/>
        <v>368.94707062080971</v>
      </c>
      <c r="W585">
        <f t="shared" si="352"/>
        <v>338.24857198898411</v>
      </c>
      <c r="Y585" s="6">
        <f t="shared" si="344"/>
        <v>5786.496503288241</v>
      </c>
      <c r="Z585">
        <f t="shared" si="345"/>
        <v>202.09023148498727</v>
      </c>
    </row>
    <row r="586" spans="1:26" x14ac:dyDescent="0.25">
      <c r="A586" t="s">
        <v>51</v>
      </c>
      <c r="D586">
        <f t="shared" ref="D586:W586" si="353">D46*D190</f>
        <v>350.49769893174994</v>
      </c>
      <c r="E586">
        <f t="shared" si="353"/>
        <v>424.43932102936861</v>
      </c>
      <c r="F586">
        <f t="shared" si="353"/>
        <v>516.99206739505223</v>
      </c>
      <c r="G586">
        <f t="shared" si="353"/>
        <v>454.70833807105851</v>
      </c>
      <c r="H586">
        <f t="shared" si="353"/>
        <v>303.21972648375674</v>
      </c>
      <c r="I586">
        <f t="shared" si="353"/>
        <v>285.74430768774334</v>
      </c>
      <c r="J586">
        <f t="shared" si="353"/>
        <v>292.45264121341165</v>
      </c>
      <c r="K586">
        <f t="shared" si="353"/>
        <v>207.05256554427007</v>
      </c>
      <c r="L586">
        <f t="shared" si="353"/>
        <v>279.10746805755588</v>
      </c>
      <c r="M586">
        <f t="shared" si="353"/>
        <v>262.24051900600415</v>
      </c>
      <c r="N586">
        <f t="shared" si="353"/>
        <v>322.22193924515489</v>
      </c>
      <c r="O586">
        <f t="shared" si="353"/>
        <v>211.23584651894814</v>
      </c>
      <c r="P586">
        <f t="shared" si="353"/>
        <v>354.60223639195107</v>
      </c>
      <c r="Q586">
        <f t="shared" si="353"/>
        <v>199.04153802933277</v>
      </c>
      <c r="R586">
        <f t="shared" si="353"/>
        <v>253.00809330224172</v>
      </c>
      <c r="S586">
        <f t="shared" si="353"/>
        <v>293.82179938000661</v>
      </c>
      <c r="T586">
        <f t="shared" si="353"/>
        <v>238.36155021324322</v>
      </c>
      <c r="U586">
        <f t="shared" si="353"/>
        <v>326.08312295761101</v>
      </c>
      <c r="V586">
        <f t="shared" si="353"/>
        <v>370.39529638272307</v>
      </c>
      <c r="W586">
        <f t="shared" si="353"/>
        <v>443.63904775016346</v>
      </c>
      <c r="Y586" s="6">
        <f t="shared" si="344"/>
        <v>6388.8651235913467</v>
      </c>
      <c r="Z586">
        <f t="shared" si="345"/>
        <v>274.56840840849122</v>
      </c>
    </row>
    <row r="587" spans="1:26" x14ac:dyDescent="0.25">
      <c r="A587" t="s">
        <v>52</v>
      </c>
      <c r="D587">
        <f t="shared" ref="D587:W587" si="354">D47*D191</f>
        <v>466.02823400388189</v>
      </c>
      <c r="E587">
        <f t="shared" si="354"/>
        <v>444.79281735204029</v>
      </c>
      <c r="F587">
        <f t="shared" si="354"/>
        <v>374.06836905144286</v>
      </c>
      <c r="G587">
        <f t="shared" si="354"/>
        <v>281.4158968117402</v>
      </c>
      <c r="H587">
        <f t="shared" si="354"/>
        <v>313.67344457903459</v>
      </c>
      <c r="I587">
        <f t="shared" si="354"/>
        <v>348.32882438784452</v>
      </c>
      <c r="J587">
        <f t="shared" si="354"/>
        <v>159.17399941924134</v>
      </c>
      <c r="K587">
        <f t="shared" si="354"/>
        <v>210.57421545484075</v>
      </c>
      <c r="L587">
        <f t="shared" si="354"/>
        <v>209.12860441208801</v>
      </c>
      <c r="M587">
        <f t="shared" si="354"/>
        <v>180.08317852253364</v>
      </c>
      <c r="N587">
        <f t="shared" si="354"/>
        <v>177.05653362795917</v>
      </c>
      <c r="O587">
        <f t="shared" si="354"/>
        <v>176.17063643585286</v>
      </c>
      <c r="P587">
        <f t="shared" si="354"/>
        <v>214.0820600057742</v>
      </c>
      <c r="Q587">
        <f t="shared" si="354"/>
        <v>240.92251978012965</v>
      </c>
      <c r="R587">
        <f t="shared" si="354"/>
        <v>258.36374444759423</v>
      </c>
      <c r="S587">
        <f t="shared" si="354"/>
        <v>263.24201457911272</v>
      </c>
      <c r="T587">
        <f t="shared" si="354"/>
        <v>202.21001015158416</v>
      </c>
      <c r="U587">
        <f t="shared" si="354"/>
        <v>209.04475776828232</v>
      </c>
      <c r="V587">
        <f t="shared" si="354"/>
        <v>233.30115158157196</v>
      </c>
      <c r="W587">
        <f t="shared" si="354"/>
        <v>274.33318167553705</v>
      </c>
      <c r="Y587" s="6">
        <f t="shared" si="344"/>
        <v>5235.9941940480867</v>
      </c>
      <c r="Z587">
        <f t="shared" si="345"/>
        <v>428.85168753063107</v>
      </c>
    </row>
    <row r="588" spans="1:26" x14ac:dyDescent="0.25">
      <c r="A588" t="s">
        <v>53</v>
      </c>
      <c r="D588">
        <f t="shared" ref="D588:W588" si="355">D48*D192</f>
        <v>343.49798389839572</v>
      </c>
      <c r="E588">
        <f t="shared" si="355"/>
        <v>316.48522045026994</v>
      </c>
      <c r="F588">
        <f t="shared" si="355"/>
        <v>307.21878344932253</v>
      </c>
      <c r="G588">
        <f t="shared" si="355"/>
        <v>280.90551179703823</v>
      </c>
      <c r="H588">
        <f t="shared" si="355"/>
        <v>206.00803535969371</v>
      </c>
      <c r="I588">
        <f t="shared" si="355"/>
        <v>211.9838360914417</v>
      </c>
      <c r="J588">
        <f t="shared" si="355"/>
        <v>247.13140936116002</v>
      </c>
      <c r="K588">
        <f t="shared" si="355"/>
        <v>277.93850830043698</v>
      </c>
      <c r="L588">
        <f t="shared" si="355"/>
        <v>235.80365382815378</v>
      </c>
      <c r="M588">
        <f t="shared" si="355"/>
        <v>233.75766381270088</v>
      </c>
      <c r="N588">
        <f t="shared" si="355"/>
        <v>207.16131280538406</v>
      </c>
      <c r="O588">
        <f t="shared" si="355"/>
        <v>179.89785831604394</v>
      </c>
      <c r="P588">
        <f t="shared" si="355"/>
        <v>212.66592689828954</v>
      </c>
      <c r="Q588">
        <f t="shared" si="355"/>
        <v>147.24914765688845</v>
      </c>
      <c r="R588">
        <f t="shared" si="355"/>
        <v>213.70755286856163</v>
      </c>
      <c r="S588">
        <f t="shared" si="355"/>
        <v>198.46946016363029</v>
      </c>
      <c r="T588">
        <f t="shared" si="355"/>
        <v>322.65262673760179</v>
      </c>
      <c r="U588">
        <f t="shared" si="355"/>
        <v>252.37219035040673</v>
      </c>
      <c r="V588">
        <f t="shared" si="355"/>
        <v>341.92037147693151</v>
      </c>
      <c r="W588">
        <f t="shared" si="355"/>
        <v>378.28905865393318</v>
      </c>
      <c r="Y588" s="6">
        <f t="shared" si="344"/>
        <v>5115.1161122762842</v>
      </c>
      <c r="Z588">
        <f t="shared" si="345"/>
        <v>214.50947288923447</v>
      </c>
    </row>
    <row r="589" spans="1:26" x14ac:dyDescent="0.25">
      <c r="A589" t="s">
        <v>54</v>
      </c>
      <c r="D589">
        <f t="shared" ref="D589:W589" si="356">D49*D193</f>
        <v>372.915920738539</v>
      </c>
      <c r="E589">
        <f t="shared" si="356"/>
        <v>317.88715158409207</v>
      </c>
      <c r="F589">
        <f t="shared" si="356"/>
        <v>327.41011785931471</v>
      </c>
      <c r="G589">
        <f t="shared" si="356"/>
        <v>247.01065917724492</v>
      </c>
      <c r="H589">
        <f t="shared" si="356"/>
        <v>218.22563107114786</v>
      </c>
      <c r="I589">
        <f t="shared" si="356"/>
        <v>224.27940167759914</v>
      </c>
      <c r="J589">
        <f t="shared" si="356"/>
        <v>137.98228912022071</v>
      </c>
      <c r="K589">
        <f t="shared" si="356"/>
        <v>197.62760253544434</v>
      </c>
      <c r="L589">
        <f t="shared" si="356"/>
        <v>209.40284640373568</v>
      </c>
      <c r="M589">
        <f t="shared" si="356"/>
        <v>185.12501836528091</v>
      </c>
      <c r="N589">
        <f t="shared" si="356"/>
        <v>169.00341511792666</v>
      </c>
      <c r="O589">
        <f t="shared" si="356"/>
        <v>174.97798510345933</v>
      </c>
      <c r="P589">
        <f t="shared" si="356"/>
        <v>162.53568020976914</v>
      </c>
      <c r="Q589">
        <f t="shared" si="356"/>
        <v>202.70172565250087</v>
      </c>
      <c r="R589">
        <f t="shared" si="356"/>
        <v>133.99673518071893</v>
      </c>
      <c r="S589">
        <f t="shared" si="356"/>
        <v>203.35454233465984</v>
      </c>
      <c r="T589">
        <f t="shared" si="356"/>
        <v>199.38795581817436</v>
      </c>
      <c r="U589">
        <f t="shared" si="356"/>
        <v>291.25316050016744</v>
      </c>
      <c r="V589">
        <f t="shared" si="356"/>
        <v>276.94570518361553</v>
      </c>
      <c r="W589">
        <f t="shared" si="356"/>
        <v>399.66643948272343</v>
      </c>
      <c r="Y589" s="6">
        <f t="shared" si="344"/>
        <v>4651.6899831163346</v>
      </c>
      <c r="Z589">
        <f t="shared" si="345"/>
        <v>288.11670734723123</v>
      </c>
    </row>
    <row r="590" spans="1:26" x14ac:dyDescent="0.25">
      <c r="A590" t="s">
        <v>55</v>
      </c>
      <c r="D590">
        <f t="shared" ref="D590:W590" si="357">D50*D194</f>
        <v>409.92887458773873</v>
      </c>
      <c r="E590">
        <f t="shared" si="357"/>
        <v>455.81331762371883</v>
      </c>
      <c r="F590">
        <f t="shared" si="357"/>
        <v>336.67643545365206</v>
      </c>
      <c r="G590">
        <f t="shared" si="357"/>
        <v>395.59341893913836</v>
      </c>
      <c r="H590">
        <f t="shared" si="357"/>
        <v>234.22508838676825</v>
      </c>
      <c r="I590">
        <f t="shared" si="357"/>
        <v>275.25627183253266</v>
      </c>
      <c r="J590">
        <f t="shared" si="357"/>
        <v>194.89034097471892</v>
      </c>
      <c r="K590">
        <f t="shared" si="357"/>
        <v>184.50602282759536</v>
      </c>
      <c r="L590">
        <f t="shared" si="357"/>
        <v>193.96576437973982</v>
      </c>
      <c r="M590">
        <f t="shared" si="357"/>
        <v>206.91332104146011</v>
      </c>
      <c r="N590">
        <f t="shared" si="357"/>
        <v>246.51651526669283</v>
      </c>
      <c r="O590">
        <f t="shared" si="357"/>
        <v>139.97938745803376</v>
      </c>
      <c r="P590">
        <f t="shared" si="357"/>
        <v>143.94304369553782</v>
      </c>
      <c r="Q590">
        <f t="shared" si="357"/>
        <v>253.06953833586124</v>
      </c>
      <c r="R590">
        <f t="shared" si="357"/>
        <v>205.12911917752533</v>
      </c>
      <c r="S590">
        <f t="shared" si="357"/>
        <v>272.30640703607816</v>
      </c>
      <c r="T590">
        <f t="shared" si="357"/>
        <v>190.45054557922782</v>
      </c>
      <c r="U590">
        <f t="shared" si="357"/>
        <v>197.02433109493137</v>
      </c>
      <c r="V590">
        <f t="shared" si="357"/>
        <v>276.00545443272466</v>
      </c>
      <c r="W590">
        <f t="shared" si="357"/>
        <v>297.67325035405008</v>
      </c>
      <c r="Y590" s="6">
        <f t="shared" si="344"/>
        <v>5109.8664484777264</v>
      </c>
      <c r="Z590">
        <f t="shared" si="345"/>
        <v>373.93198445839494</v>
      </c>
    </row>
    <row r="591" spans="1:26" x14ac:dyDescent="0.25">
      <c r="A591" t="s">
        <v>56</v>
      </c>
      <c r="D591">
        <f t="shared" ref="D591:W591" si="358">D51*D195</f>
        <v>529.59759430536917</v>
      </c>
      <c r="E591">
        <f t="shared" si="358"/>
        <v>348.56151144223099</v>
      </c>
      <c r="F591">
        <f t="shared" si="358"/>
        <v>347.09177086579439</v>
      </c>
      <c r="G591">
        <f t="shared" si="358"/>
        <v>290.77023061063142</v>
      </c>
      <c r="H591">
        <f t="shared" si="358"/>
        <v>260.2906136864957</v>
      </c>
      <c r="I591">
        <f t="shared" si="358"/>
        <v>258.88652739384941</v>
      </c>
      <c r="J591">
        <f t="shared" si="358"/>
        <v>230.36938538078104</v>
      </c>
      <c r="K591">
        <f t="shared" si="358"/>
        <v>256.35529997346202</v>
      </c>
      <c r="L591">
        <f t="shared" si="358"/>
        <v>223.62929914915856</v>
      </c>
      <c r="M591">
        <f t="shared" si="358"/>
        <v>218.19117827030621</v>
      </c>
      <c r="N591">
        <f t="shared" si="358"/>
        <v>150.63601663826907</v>
      </c>
      <c r="O591">
        <f t="shared" si="358"/>
        <v>221.45447330554634</v>
      </c>
      <c r="P591">
        <f t="shared" si="358"/>
        <v>215.32428530911281</v>
      </c>
      <c r="Q591">
        <f t="shared" si="358"/>
        <v>156.09298080387276</v>
      </c>
      <c r="R591">
        <f t="shared" si="358"/>
        <v>308.81513211119574</v>
      </c>
      <c r="S591">
        <f t="shared" si="358"/>
        <v>276.53746450689039</v>
      </c>
      <c r="T591">
        <f t="shared" si="358"/>
        <v>275.79072671663101</v>
      </c>
      <c r="U591">
        <f t="shared" si="358"/>
        <v>355.89937748768494</v>
      </c>
      <c r="V591">
        <f t="shared" si="358"/>
        <v>220.93858314442588</v>
      </c>
      <c r="W591">
        <f t="shared" si="358"/>
        <v>331.76909325213171</v>
      </c>
      <c r="Y591" s="6">
        <f t="shared" si="344"/>
        <v>5477.0015443538405</v>
      </c>
      <c r="Z591">
        <f t="shared" si="345"/>
        <v>386.82734731919516</v>
      </c>
    </row>
    <row r="592" spans="1:26" x14ac:dyDescent="0.25">
      <c r="A592" t="s">
        <v>57</v>
      </c>
      <c r="D592">
        <f t="shared" ref="D592:W592" si="359">D52*D196</f>
        <v>418.50609300322895</v>
      </c>
      <c r="E592">
        <f t="shared" si="359"/>
        <v>418.32491406245083</v>
      </c>
      <c r="F592">
        <f t="shared" si="359"/>
        <v>353.29615727135325</v>
      </c>
      <c r="G592">
        <f t="shared" si="359"/>
        <v>302.52770216227151</v>
      </c>
      <c r="H592">
        <f t="shared" si="359"/>
        <v>239.35363152877346</v>
      </c>
      <c r="I592">
        <f t="shared" si="359"/>
        <v>233.17962754828821</v>
      </c>
      <c r="J592">
        <f t="shared" si="359"/>
        <v>200.32399459294763</v>
      </c>
      <c r="K592">
        <f t="shared" si="359"/>
        <v>216.39715719278468</v>
      </c>
      <c r="L592">
        <f t="shared" si="359"/>
        <v>197.55057734822179</v>
      </c>
      <c r="M592">
        <f t="shared" si="359"/>
        <v>232.04863491209954</v>
      </c>
      <c r="N592">
        <f t="shared" si="359"/>
        <v>235.2554883853185</v>
      </c>
      <c r="O592">
        <f t="shared" si="359"/>
        <v>156.0299459200827</v>
      </c>
      <c r="P592">
        <f t="shared" si="359"/>
        <v>261.46811636265215</v>
      </c>
      <c r="Q592">
        <f t="shared" si="359"/>
        <v>236.63118452962348</v>
      </c>
      <c r="R592">
        <f t="shared" si="359"/>
        <v>185.74145408568032</v>
      </c>
      <c r="S592">
        <f t="shared" si="359"/>
        <v>130.30990696245519</v>
      </c>
      <c r="T592">
        <f t="shared" si="359"/>
        <v>266.41830908833577</v>
      </c>
      <c r="U592">
        <f t="shared" si="359"/>
        <v>312.2349783152585</v>
      </c>
      <c r="V592">
        <f t="shared" si="359"/>
        <v>157.59582024076232</v>
      </c>
      <c r="W592">
        <f t="shared" si="359"/>
        <v>342.46322007777894</v>
      </c>
      <c r="Y592" s="6">
        <f t="shared" si="344"/>
        <v>5095.6569135903674</v>
      </c>
      <c r="Z592">
        <f t="shared" si="345"/>
        <v>312.09674398679078</v>
      </c>
    </row>
    <row r="593" spans="1:26" x14ac:dyDescent="0.25">
      <c r="A593" t="s">
        <v>58</v>
      </c>
      <c r="D593">
        <f t="shared" ref="D593:W593" si="360">D53*D197</f>
        <v>329.78600186450319</v>
      </c>
      <c r="E593">
        <f t="shared" si="360"/>
        <v>379.51150375432752</v>
      </c>
      <c r="F593">
        <f t="shared" si="360"/>
        <v>346.70016429619488</v>
      </c>
      <c r="G593">
        <f t="shared" si="360"/>
        <v>294.8851952445853</v>
      </c>
      <c r="H593">
        <f t="shared" si="360"/>
        <v>228.91834925417763</v>
      </c>
      <c r="I593">
        <f t="shared" si="360"/>
        <v>168.55626401633489</v>
      </c>
      <c r="J593">
        <f t="shared" si="360"/>
        <v>218.30039014810211</v>
      </c>
      <c r="K593">
        <f t="shared" si="360"/>
        <v>229.41558610097707</v>
      </c>
      <c r="L593">
        <f t="shared" si="360"/>
        <v>207.67318865823762</v>
      </c>
      <c r="M593">
        <f t="shared" si="360"/>
        <v>166.30441921472817</v>
      </c>
      <c r="N593">
        <f t="shared" si="360"/>
        <v>149.90840012230015</v>
      </c>
      <c r="O593">
        <f t="shared" si="360"/>
        <v>188.74298018998221</v>
      </c>
      <c r="P593">
        <f t="shared" si="360"/>
        <v>137.9668821891492</v>
      </c>
      <c r="Q593">
        <f t="shared" si="360"/>
        <v>132.28112633011378</v>
      </c>
      <c r="R593">
        <f t="shared" si="360"/>
        <v>173.18838760444044</v>
      </c>
      <c r="S593">
        <f t="shared" si="360"/>
        <v>210.2868970425306</v>
      </c>
      <c r="T593">
        <f t="shared" si="360"/>
        <v>300.50798560110189</v>
      </c>
      <c r="U593">
        <f t="shared" si="360"/>
        <v>162.50627385387921</v>
      </c>
      <c r="V593">
        <f t="shared" si="360"/>
        <v>187.61336877058133</v>
      </c>
      <c r="W593">
        <f t="shared" si="360"/>
        <v>354.77041403852547</v>
      </c>
      <c r="Y593" s="6">
        <f t="shared" si="344"/>
        <v>4567.8237782947726</v>
      </c>
      <c r="Z593">
        <f t="shared" si="345"/>
        <v>287.11693148828351</v>
      </c>
    </row>
    <row r="594" spans="1:26" x14ac:dyDescent="0.25">
      <c r="A594" t="s">
        <v>59</v>
      </c>
      <c r="D594">
        <f t="shared" ref="D594:W594" si="361">D54*D198</f>
        <v>467.91515992910178</v>
      </c>
      <c r="E594">
        <f t="shared" si="361"/>
        <v>304.96976467031521</v>
      </c>
      <c r="F594">
        <f t="shared" si="361"/>
        <v>279.0718315497889</v>
      </c>
      <c r="G594">
        <f t="shared" si="361"/>
        <v>333.01835313852393</v>
      </c>
      <c r="H594">
        <f t="shared" si="361"/>
        <v>222.79493567134972</v>
      </c>
      <c r="I594">
        <f t="shared" si="361"/>
        <v>258.32277013278849</v>
      </c>
      <c r="J594">
        <f t="shared" si="361"/>
        <v>266.48199351358608</v>
      </c>
      <c r="K594">
        <f t="shared" si="361"/>
        <v>217.34809921794096</v>
      </c>
      <c r="L594">
        <f t="shared" si="361"/>
        <v>138.08635754882769</v>
      </c>
      <c r="M594">
        <f t="shared" si="361"/>
        <v>193.71448352483503</v>
      </c>
      <c r="N594">
        <f t="shared" si="361"/>
        <v>225.48833255263969</v>
      </c>
      <c r="O594">
        <f t="shared" si="361"/>
        <v>179.45090107434928</v>
      </c>
      <c r="P594">
        <f t="shared" si="361"/>
        <v>149.54735284698245</v>
      </c>
      <c r="Q594">
        <f t="shared" si="361"/>
        <v>124.48294856515068</v>
      </c>
      <c r="R594">
        <f t="shared" si="361"/>
        <v>117.98549469227923</v>
      </c>
      <c r="S594">
        <f t="shared" si="361"/>
        <v>207.81892962843588</v>
      </c>
      <c r="T594">
        <f t="shared" si="361"/>
        <v>270.26181478405465</v>
      </c>
      <c r="U594">
        <f t="shared" si="361"/>
        <v>277.03720021726093</v>
      </c>
      <c r="V594">
        <f t="shared" si="361"/>
        <v>287.79395210649159</v>
      </c>
      <c r="W594">
        <f t="shared" si="361"/>
        <v>340.18610350802555</v>
      </c>
      <c r="Y594" s="6">
        <f t="shared" si="344"/>
        <v>4861.7767788727278</v>
      </c>
      <c r="Z594">
        <f t="shared" si="345"/>
        <v>300.1392664148118</v>
      </c>
    </row>
    <row r="595" spans="1:26" x14ac:dyDescent="0.25">
      <c r="A595" t="s">
        <v>60</v>
      </c>
      <c r="D595">
        <f t="shared" ref="D595:W595" si="362">D55*D199</f>
        <v>315.45462277887731</v>
      </c>
      <c r="E595">
        <f t="shared" si="362"/>
        <v>322.51267476732176</v>
      </c>
      <c r="F595">
        <f t="shared" si="362"/>
        <v>288.58861936541979</v>
      </c>
      <c r="G595">
        <f t="shared" si="362"/>
        <v>297.0801248631455</v>
      </c>
      <c r="H595">
        <f t="shared" si="362"/>
        <v>221.87634421904835</v>
      </c>
      <c r="I595">
        <f t="shared" si="362"/>
        <v>195.76931554314299</v>
      </c>
      <c r="J595">
        <f t="shared" si="362"/>
        <v>227.17497467960649</v>
      </c>
      <c r="K595">
        <f t="shared" si="362"/>
        <v>302.71268292346133</v>
      </c>
      <c r="L595">
        <f t="shared" si="362"/>
        <v>215.38330651883169</v>
      </c>
      <c r="M595">
        <f t="shared" si="362"/>
        <v>164.71997126605743</v>
      </c>
      <c r="N595">
        <f t="shared" si="362"/>
        <v>158.77222003972201</v>
      </c>
      <c r="O595">
        <f t="shared" si="362"/>
        <v>149.68139164291881</v>
      </c>
      <c r="P595">
        <f t="shared" si="362"/>
        <v>244.96298007856328</v>
      </c>
      <c r="Q595">
        <f t="shared" si="362"/>
        <v>232.13036995267097</v>
      </c>
      <c r="R595">
        <f t="shared" si="362"/>
        <v>191.17635721258495</v>
      </c>
      <c r="S595">
        <f t="shared" si="362"/>
        <v>254.30962801414864</v>
      </c>
      <c r="T595">
        <f t="shared" si="362"/>
        <v>294.16158502153468</v>
      </c>
      <c r="U595">
        <f t="shared" si="362"/>
        <v>347.04952603999766</v>
      </c>
      <c r="V595">
        <f t="shared" si="362"/>
        <v>179.83487378063339</v>
      </c>
      <c r="W595">
        <f t="shared" si="362"/>
        <v>282.94511218798903</v>
      </c>
      <c r="Y595" s="6">
        <f t="shared" si="344"/>
        <v>4886.2966808956771</v>
      </c>
      <c r="Z595">
        <f t="shared" si="345"/>
        <v>234.63334334030216</v>
      </c>
    </row>
    <row r="596" spans="1:26" x14ac:dyDescent="0.25">
      <c r="A596" t="s">
        <v>61</v>
      </c>
      <c r="D596">
        <f t="shared" ref="D596:W596" si="363">D56*D200</f>
        <v>417.94142850301881</v>
      </c>
      <c r="E596">
        <f t="shared" si="363"/>
        <v>446.72522131464302</v>
      </c>
      <c r="F596">
        <f t="shared" si="363"/>
        <v>348.81012427435735</v>
      </c>
      <c r="G596">
        <f t="shared" si="363"/>
        <v>246.59384727685887</v>
      </c>
      <c r="H596">
        <f t="shared" si="363"/>
        <v>279.79714794977491</v>
      </c>
      <c r="I596">
        <f t="shared" si="363"/>
        <v>292.99590010526981</v>
      </c>
      <c r="J596">
        <f t="shared" si="363"/>
        <v>273.28755615310672</v>
      </c>
      <c r="K596">
        <f t="shared" si="363"/>
        <v>194.52449648985959</v>
      </c>
      <c r="L596">
        <f t="shared" si="363"/>
        <v>127.98355529135144</v>
      </c>
      <c r="M596">
        <f t="shared" si="363"/>
        <v>181.98357913576726</v>
      </c>
      <c r="N596">
        <f t="shared" si="363"/>
        <v>229.2408158340458</v>
      </c>
      <c r="O596">
        <f t="shared" si="363"/>
        <v>253.62901695494267</v>
      </c>
      <c r="P596">
        <f t="shared" si="363"/>
        <v>172.95929100809951</v>
      </c>
      <c r="Q596">
        <f t="shared" si="363"/>
        <v>170.84470942925191</v>
      </c>
      <c r="R596">
        <f t="shared" si="363"/>
        <v>180.73760972717002</v>
      </c>
      <c r="S596">
        <f t="shared" si="363"/>
        <v>260.43772134239163</v>
      </c>
      <c r="T596">
        <f t="shared" si="363"/>
        <v>303.92859021184944</v>
      </c>
      <c r="U596">
        <f t="shared" si="363"/>
        <v>251.45384686724489</v>
      </c>
      <c r="V596">
        <f t="shared" si="363"/>
        <v>264.66557433719134</v>
      </c>
      <c r="W596">
        <f t="shared" si="363"/>
        <v>406.66050381984508</v>
      </c>
      <c r="Y596" s="6">
        <f t="shared" si="344"/>
        <v>5305.2005360260391</v>
      </c>
      <c r="Z596">
        <f t="shared" si="345"/>
        <v>346.41321922376244</v>
      </c>
    </row>
    <row r="597" spans="1:26" x14ac:dyDescent="0.25">
      <c r="A597" t="s">
        <v>62</v>
      </c>
      <c r="D597">
        <f t="shared" ref="D597:W597" si="364">D57*D201</f>
        <v>356.57933170527258</v>
      </c>
      <c r="E597">
        <f t="shared" si="364"/>
        <v>324.97201778496571</v>
      </c>
      <c r="F597">
        <f t="shared" si="364"/>
        <v>326.00178033399777</v>
      </c>
      <c r="G597">
        <f t="shared" si="364"/>
        <v>346.66968943759429</v>
      </c>
      <c r="H597">
        <f t="shared" si="364"/>
        <v>303.46831489898091</v>
      </c>
      <c r="I597">
        <f t="shared" si="364"/>
        <v>295.87743471137941</v>
      </c>
      <c r="J597">
        <f t="shared" si="364"/>
        <v>230.66178037452426</v>
      </c>
      <c r="K597">
        <f t="shared" si="364"/>
        <v>223.47965796552205</v>
      </c>
      <c r="L597">
        <f t="shared" si="364"/>
        <v>227.43926049207616</v>
      </c>
      <c r="M597">
        <f t="shared" si="364"/>
        <v>152.14604959132993</v>
      </c>
      <c r="N597">
        <f t="shared" si="364"/>
        <v>165.46517703972427</v>
      </c>
      <c r="O597">
        <f t="shared" si="364"/>
        <v>151.50711996119023</v>
      </c>
      <c r="P597">
        <f t="shared" si="364"/>
        <v>145.49707671191359</v>
      </c>
      <c r="Q597">
        <f t="shared" si="364"/>
        <v>164.0785462124999</v>
      </c>
      <c r="R597">
        <f t="shared" si="364"/>
        <v>293.23530802393998</v>
      </c>
      <c r="S597">
        <f t="shared" si="364"/>
        <v>252.45350799402794</v>
      </c>
      <c r="T597">
        <f t="shared" si="364"/>
        <v>135.95351588246533</v>
      </c>
      <c r="U597">
        <f t="shared" si="364"/>
        <v>379.88957479355776</v>
      </c>
      <c r="V597">
        <f t="shared" si="364"/>
        <v>316.72421267919782</v>
      </c>
      <c r="W597">
        <f t="shared" si="364"/>
        <v>339.06476201675849</v>
      </c>
      <c r="Y597" s="6">
        <f t="shared" si="344"/>
        <v>5131.1641186109182</v>
      </c>
      <c r="Z597">
        <f t="shared" si="345"/>
        <v>288.7515812830913</v>
      </c>
    </row>
    <row r="598" spans="1:26" x14ac:dyDescent="0.25">
      <c r="A598" t="s">
        <v>63</v>
      </c>
      <c r="D598">
        <f t="shared" ref="D598:W598" si="365">D58*D202</f>
        <v>353.23110556363605</v>
      </c>
      <c r="E598">
        <f t="shared" si="365"/>
        <v>333.05687485596007</v>
      </c>
      <c r="F598">
        <f t="shared" si="365"/>
        <v>322.85103848708854</v>
      </c>
      <c r="G598">
        <f t="shared" si="365"/>
        <v>312.77334509899862</v>
      </c>
      <c r="H598">
        <f t="shared" si="365"/>
        <v>205.21411403188674</v>
      </c>
      <c r="I598">
        <f t="shared" si="365"/>
        <v>209.56914567480001</v>
      </c>
      <c r="J598">
        <f t="shared" si="365"/>
        <v>204.81056416256632</v>
      </c>
      <c r="K598">
        <f t="shared" si="365"/>
        <v>186.59616557961738</v>
      </c>
      <c r="L598">
        <f t="shared" si="365"/>
        <v>202.93665309631345</v>
      </c>
      <c r="M598">
        <f t="shared" si="365"/>
        <v>146.25067115344271</v>
      </c>
      <c r="N598">
        <f t="shared" si="365"/>
        <v>187.9021481969603</v>
      </c>
      <c r="O598">
        <f t="shared" si="365"/>
        <v>260.38481546466244</v>
      </c>
      <c r="P598">
        <f t="shared" si="365"/>
        <v>168.3427041387524</v>
      </c>
      <c r="Q598">
        <f t="shared" si="365"/>
        <v>251.7348210157364</v>
      </c>
      <c r="R598">
        <f t="shared" si="365"/>
        <v>263.7147026262715</v>
      </c>
      <c r="S598">
        <f t="shared" si="365"/>
        <v>322.03622406934971</v>
      </c>
      <c r="T598">
        <f t="shared" si="365"/>
        <v>346.41627354704775</v>
      </c>
      <c r="U598">
        <f t="shared" si="365"/>
        <v>278.39165495920111</v>
      </c>
      <c r="V598">
        <f t="shared" si="365"/>
        <v>335.34072169882222</v>
      </c>
      <c r="W598">
        <f t="shared" si="365"/>
        <v>340.89586433634645</v>
      </c>
      <c r="Y598" s="6">
        <f t="shared" si="344"/>
        <v>5232.4496077574613</v>
      </c>
      <c r="Z598">
        <f t="shared" si="345"/>
        <v>278.70767496500866</v>
      </c>
    </row>
    <row r="599" spans="1:26" x14ac:dyDescent="0.25">
      <c r="A599" t="s">
        <v>64</v>
      </c>
      <c r="D599">
        <f t="shared" ref="D599:W599" si="366">D59*D203</f>
        <v>405.70860602755033</v>
      </c>
      <c r="E599">
        <f t="shared" si="366"/>
        <v>406.72251582953936</v>
      </c>
      <c r="F599">
        <f t="shared" si="366"/>
        <v>392.37350709719942</v>
      </c>
      <c r="G599">
        <f t="shared" si="366"/>
        <v>305.27998389553653</v>
      </c>
      <c r="H599">
        <f t="shared" si="366"/>
        <v>260.47407779591595</v>
      </c>
      <c r="I599">
        <f t="shared" si="366"/>
        <v>250.92770621609401</v>
      </c>
      <c r="J599">
        <f t="shared" si="366"/>
        <v>223.58063559992942</v>
      </c>
      <c r="K599">
        <f t="shared" si="366"/>
        <v>261.85724377011996</v>
      </c>
      <c r="L599">
        <f t="shared" si="366"/>
        <v>275.91048855260425</v>
      </c>
      <c r="M599">
        <f t="shared" si="366"/>
        <v>198.23548247811198</v>
      </c>
      <c r="N599">
        <f t="shared" si="366"/>
        <v>136.58399840287473</v>
      </c>
      <c r="O599">
        <f t="shared" si="366"/>
        <v>209.31452084830696</v>
      </c>
      <c r="P599">
        <f t="shared" si="366"/>
        <v>164.09547249013252</v>
      </c>
      <c r="Q599">
        <f t="shared" si="366"/>
        <v>246.14240263187068</v>
      </c>
      <c r="R599">
        <f t="shared" si="366"/>
        <v>338.96000343322635</v>
      </c>
      <c r="S599">
        <f t="shared" si="366"/>
        <v>262.84306351258766</v>
      </c>
      <c r="T599">
        <f t="shared" si="366"/>
        <v>357.95146603075398</v>
      </c>
      <c r="U599">
        <f t="shared" si="366"/>
        <v>298.85059830003524</v>
      </c>
      <c r="V599">
        <f t="shared" si="366"/>
        <v>277.21980414458102</v>
      </c>
      <c r="W599">
        <f t="shared" si="366"/>
        <v>315.92001699883673</v>
      </c>
      <c r="Y599" s="6">
        <f t="shared" si="344"/>
        <v>5588.9515940558076</v>
      </c>
      <c r="Z599">
        <f t="shared" si="345"/>
        <v>349.86780016266601</v>
      </c>
    </row>
    <row r="600" spans="1:26" x14ac:dyDescent="0.25">
      <c r="A600" t="s">
        <v>65</v>
      </c>
      <c r="D600">
        <f t="shared" ref="D600:W600" si="367">D60*D204</f>
        <v>443.9914589151262</v>
      </c>
      <c r="E600">
        <f t="shared" si="367"/>
        <v>448.25056624460581</v>
      </c>
      <c r="F600">
        <f t="shared" si="367"/>
        <v>377.03180793950361</v>
      </c>
      <c r="G600">
        <f t="shared" si="367"/>
        <v>296.14753521033589</v>
      </c>
      <c r="H600">
        <f t="shared" si="367"/>
        <v>306.09389824339155</v>
      </c>
      <c r="I600">
        <f t="shared" si="367"/>
        <v>261.90414470444676</v>
      </c>
      <c r="J600">
        <f t="shared" si="367"/>
        <v>188.07777403830497</v>
      </c>
      <c r="K600">
        <f t="shared" si="367"/>
        <v>244.97559324194617</v>
      </c>
      <c r="L600">
        <f t="shared" si="367"/>
        <v>232.1608852802494</v>
      </c>
      <c r="M600">
        <f t="shared" si="367"/>
        <v>197.73837107280389</v>
      </c>
      <c r="N600">
        <f t="shared" si="367"/>
        <v>195.01785209456133</v>
      </c>
      <c r="O600">
        <f t="shared" si="367"/>
        <v>176.88628133154992</v>
      </c>
      <c r="P600">
        <f t="shared" si="367"/>
        <v>121.1341150310684</v>
      </c>
      <c r="Q600">
        <f t="shared" si="367"/>
        <v>146.41333459171167</v>
      </c>
      <c r="R600">
        <f t="shared" si="367"/>
        <v>95.534555220283309</v>
      </c>
      <c r="S600">
        <f t="shared" si="367"/>
        <v>182.93158857190406</v>
      </c>
      <c r="T600">
        <f t="shared" si="367"/>
        <v>246.52243517931353</v>
      </c>
      <c r="U600">
        <f t="shared" si="367"/>
        <v>269.59875740713471</v>
      </c>
      <c r="V600">
        <f t="shared" si="367"/>
        <v>268.84584194784344</v>
      </c>
      <c r="W600">
        <f t="shared" si="367"/>
        <v>403.53009154731933</v>
      </c>
      <c r="Y600" s="6">
        <f t="shared" si="344"/>
        <v>5102.786887813405</v>
      </c>
      <c r="Z600">
        <f t="shared" si="345"/>
        <v>367.79065144262273</v>
      </c>
    </row>
    <row r="601" spans="1:26" x14ac:dyDescent="0.25">
      <c r="A601" t="s">
        <v>66</v>
      </c>
      <c r="D601">
        <f t="shared" ref="D601:W601" si="368">D61*D205</f>
        <v>459.60372687407681</v>
      </c>
      <c r="E601">
        <f t="shared" si="368"/>
        <v>431.27385306262579</v>
      </c>
      <c r="F601">
        <f t="shared" si="368"/>
        <v>324.58238404949935</v>
      </c>
      <c r="G601">
        <f t="shared" si="368"/>
        <v>266.78671842010834</v>
      </c>
      <c r="H601">
        <f t="shared" si="368"/>
        <v>302.70118803945587</v>
      </c>
      <c r="I601">
        <f t="shared" si="368"/>
        <v>405.7781332901842</v>
      </c>
      <c r="J601">
        <f t="shared" si="368"/>
        <v>345.49389925282435</v>
      </c>
      <c r="K601">
        <f t="shared" si="368"/>
        <v>336.97742467770883</v>
      </c>
      <c r="L601">
        <f t="shared" si="368"/>
        <v>224.27590431072372</v>
      </c>
      <c r="M601">
        <f t="shared" si="368"/>
        <v>181.12290370717091</v>
      </c>
      <c r="N601">
        <f t="shared" si="368"/>
        <v>204.83573730848363</v>
      </c>
      <c r="O601">
        <f t="shared" si="368"/>
        <v>302.93407482999299</v>
      </c>
      <c r="P601">
        <f t="shared" si="368"/>
        <v>246.29411982043715</v>
      </c>
      <c r="Q601">
        <f t="shared" si="368"/>
        <v>197.21788438114277</v>
      </c>
      <c r="R601">
        <f t="shared" si="368"/>
        <v>227.64686970646736</v>
      </c>
      <c r="S601">
        <f t="shared" si="368"/>
        <v>243.48315746293122</v>
      </c>
      <c r="T601">
        <f t="shared" si="368"/>
        <v>287.63578987976632</v>
      </c>
      <c r="U601">
        <f t="shared" si="368"/>
        <v>385.3427595715952</v>
      </c>
      <c r="V601">
        <f t="shared" si="368"/>
        <v>310.94426169406097</v>
      </c>
      <c r="W601">
        <f t="shared" si="368"/>
        <v>289.8213715587309</v>
      </c>
      <c r="Y601" s="6">
        <f t="shared" si="344"/>
        <v>5974.7521618979854</v>
      </c>
      <c r="Z601">
        <f t="shared" si="345"/>
        <v>309.64527505283718</v>
      </c>
    </row>
    <row r="602" spans="1:26" x14ac:dyDescent="0.25">
      <c r="A602" t="s">
        <v>67</v>
      </c>
      <c r="D602">
        <f t="shared" ref="D602:W602" si="369">D62*D206</f>
        <v>382.61321026796725</v>
      </c>
      <c r="E602">
        <f t="shared" si="369"/>
        <v>342.22969952723412</v>
      </c>
      <c r="F602">
        <f t="shared" si="369"/>
        <v>333.57583852930395</v>
      </c>
      <c r="G602">
        <f t="shared" si="369"/>
        <v>275.27776995627005</v>
      </c>
      <c r="H602">
        <f t="shared" si="369"/>
        <v>313.37562789792997</v>
      </c>
      <c r="I602">
        <f t="shared" si="369"/>
        <v>298.50796772919284</v>
      </c>
      <c r="J602">
        <f t="shared" si="369"/>
        <v>307.16227527944898</v>
      </c>
      <c r="K602">
        <f t="shared" si="369"/>
        <v>289.41414487954916</v>
      </c>
      <c r="L602">
        <f t="shared" si="369"/>
        <v>208.21154223751225</v>
      </c>
      <c r="M602">
        <f t="shared" si="369"/>
        <v>173.61195848120258</v>
      </c>
      <c r="N602">
        <f t="shared" si="369"/>
        <v>182.23099071702913</v>
      </c>
      <c r="O602">
        <f t="shared" si="369"/>
        <v>208.94624093831644</v>
      </c>
      <c r="P602">
        <f t="shared" si="369"/>
        <v>171.64323039650455</v>
      </c>
      <c r="Q602">
        <f t="shared" si="369"/>
        <v>184.32135813061501</v>
      </c>
      <c r="R602">
        <f t="shared" si="369"/>
        <v>206.35173287367098</v>
      </c>
      <c r="S602">
        <f t="shared" si="369"/>
        <v>244.60116315045951</v>
      </c>
      <c r="T602">
        <f t="shared" si="369"/>
        <v>278.89960703527254</v>
      </c>
      <c r="U602">
        <f t="shared" si="369"/>
        <v>296.83068916792706</v>
      </c>
      <c r="V602">
        <f t="shared" si="369"/>
        <v>379.40975977119444</v>
      </c>
      <c r="W602">
        <f t="shared" si="369"/>
        <v>398.66663221747183</v>
      </c>
      <c r="Y602" s="6">
        <f t="shared" si="344"/>
        <v>5475.8814391840715</v>
      </c>
      <c r="Z602">
        <f t="shared" si="345"/>
        <v>262.51479106934545</v>
      </c>
    </row>
    <row r="603" spans="1:26" x14ac:dyDescent="0.25">
      <c r="A603" t="s">
        <v>68</v>
      </c>
      <c r="D603">
        <f t="shared" ref="D603:W603" si="370">D63*D207</f>
        <v>529.59759430536917</v>
      </c>
      <c r="E603">
        <f t="shared" si="370"/>
        <v>348.56151144223099</v>
      </c>
      <c r="F603">
        <f t="shared" si="370"/>
        <v>347.09177086579439</v>
      </c>
      <c r="G603">
        <f t="shared" si="370"/>
        <v>290.77023061063142</v>
      </c>
      <c r="H603">
        <f t="shared" si="370"/>
        <v>260.2906136864957</v>
      </c>
      <c r="I603">
        <f t="shared" si="370"/>
        <v>258.88652739384941</v>
      </c>
      <c r="J603">
        <f t="shared" si="370"/>
        <v>230.36938538078104</v>
      </c>
      <c r="K603">
        <f t="shared" si="370"/>
        <v>256.35529997346202</v>
      </c>
      <c r="L603">
        <f t="shared" si="370"/>
        <v>296.59109703389754</v>
      </c>
      <c r="M603">
        <f t="shared" si="370"/>
        <v>180.13247827674019</v>
      </c>
      <c r="N603">
        <f t="shared" si="370"/>
        <v>182.23406393072054</v>
      </c>
      <c r="O603">
        <f t="shared" si="370"/>
        <v>188.72024940149777</v>
      </c>
      <c r="P603">
        <f t="shared" si="370"/>
        <v>213.63450553420407</v>
      </c>
      <c r="Q603">
        <f t="shared" si="370"/>
        <v>248.2315912547412</v>
      </c>
      <c r="R603">
        <f t="shared" si="370"/>
        <v>300.86678081017749</v>
      </c>
      <c r="S603">
        <f t="shared" si="370"/>
        <v>302.20655008352315</v>
      </c>
      <c r="T603">
        <f t="shared" si="370"/>
        <v>260.57884013144047</v>
      </c>
      <c r="U603">
        <f t="shared" si="370"/>
        <v>330.18483294800711</v>
      </c>
      <c r="V603">
        <f t="shared" si="370"/>
        <v>326.47284508377271</v>
      </c>
      <c r="W603">
        <f t="shared" si="370"/>
        <v>404.68014274920466</v>
      </c>
      <c r="Y603" s="6">
        <f t="shared" si="344"/>
        <v>5756.4569108965406</v>
      </c>
      <c r="Z603">
        <f t="shared" si="345"/>
        <v>360.65658423788244</v>
      </c>
    </row>
    <row r="604" spans="1:26" x14ac:dyDescent="0.25">
      <c r="A604" t="s">
        <v>69</v>
      </c>
      <c r="D604">
        <f t="shared" ref="D604:W604" si="371">D64*D208</f>
        <v>443.74236058230207</v>
      </c>
      <c r="E604">
        <f t="shared" si="371"/>
        <v>483.01994919793793</v>
      </c>
      <c r="F604">
        <f t="shared" si="371"/>
        <v>418.87721470489691</v>
      </c>
      <c r="G604">
        <f t="shared" si="371"/>
        <v>378.63741123337479</v>
      </c>
      <c r="H604">
        <f t="shared" si="371"/>
        <v>358.16252780811993</v>
      </c>
      <c r="I604">
        <f t="shared" si="371"/>
        <v>380.10863267265722</v>
      </c>
      <c r="J604">
        <f t="shared" si="371"/>
        <v>162.51626817308997</v>
      </c>
      <c r="K604">
        <f t="shared" si="371"/>
        <v>180.23595074559867</v>
      </c>
      <c r="L604">
        <f t="shared" si="371"/>
        <v>202.38554169898845</v>
      </c>
      <c r="M604">
        <f t="shared" si="371"/>
        <v>198.21049874738901</v>
      </c>
      <c r="N604">
        <f t="shared" si="371"/>
        <v>185.69250749206296</v>
      </c>
      <c r="O604">
        <f t="shared" si="371"/>
        <v>174.50086183501384</v>
      </c>
      <c r="P604">
        <f t="shared" si="371"/>
        <v>186.86156077776326</v>
      </c>
      <c r="Q604">
        <f t="shared" si="371"/>
        <v>140.2217324536409</v>
      </c>
      <c r="R604">
        <f t="shared" si="371"/>
        <v>124.15008369599306</v>
      </c>
      <c r="S604">
        <f t="shared" si="371"/>
        <v>186.7441746075871</v>
      </c>
      <c r="T604">
        <f t="shared" si="371"/>
        <v>238.579439002996</v>
      </c>
      <c r="U604">
        <f t="shared" si="371"/>
        <v>284.91912496796823</v>
      </c>
      <c r="V604">
        <f t="shared" si="371"/>
        <v>252.95158802272823</v>
      </c>
      <c r="W604">
        <f t="shared" si="371"/>
        <v>314.98623227915743</v>
      </c>
      <c r="Y604" s="6">
        <f t="shared" si="344"/>
        <v>5295.5036606992662</v>
      </c>
      <c r="Z604">
        <f t="shared" si="345"/>
        <v>434.97070492538296</v>
      </c>
    </row>
    <row r="605" spans="1:26" x14ac:dyDescent="0.25">
      <c r="Y605" s="6"/>
    </row>
    <row r="606" spans="1:26" x14ac:dyDescent="0.25">
      <c r="A606" t="s">
        <v>70</v>
      </c>
      <c r="D606">
        <f t="shared" ref="D606:W606" si="372">D66*D210</f>
        <v>391.75446905638944</v>
      </c>
      <c r="E606">
        <f t="shared" si="372"/>
        <v>357.62088900137422</v>
      </c>
      <c r="F606">
        <f t="shared" si="372"/>
        <v>364.21496245694328</v>
      </c>
      <c r="G606">
        <f t="shared" si="372"/>
        <v>325.51221134088746</v>
      </c>
      <c r="H606">
        <f t="shared" si="372"/>
        <v>283.29144185424224</v>
      </c>
      <c r="I606">
        <f t="shared" si="372"/>
        <v>344.78438323137743</v>
      </c>
      <c r="J606">
        <f t="shared" si="372"/>
        <v>321.9446304709947</v>
      </c>
      <c r="K606">
        <f t="shared" si="372"/>
        <v>241.67838058648087</v>
      </c>
      <c r="L606">
        <f t="shared" si="372"/>
        <v>174.30155614709491</v>
      </c>
      <c r="M606">
        <f t="shared" si="372"/>
        <v>173.69427969845688</v>
      </c>
      <c r="N606">
        <f t="shared" si="372"/>
        <v>162.00081790534074</v>
      </c>
      <c r="O606">
        <f t="shared" si="372"/>
        <v>207.00178917762923</v>
      </c>
      <c r="P606">
        <f t="shared" si="372"/>
        <v>176.03251882810477</v>
      </c>
      <c r="Q606">
        <f t="shared" si="372"/>
        <v>195.95711422759862</v>
      </c>
      <c r="R606">
        <f t="shared" si="372"/>
        <v>225.13028285383706</v>
      </c>
      <c r="S606">
        <f t="shared" si="372"/>
        <v>249.35683596861244</v>
      </c>
      <c r="T606">
        <f t="shared" si="372"/>
        <v>265.76744468485884</v>
      </c>
      <c r="U606">
        <f t="shared" si="372"/>
        <v>315.36165231085238</v>
      </c>
      <c r="V606">
        <f t="shared" si="372"/>
        <v>308.55730821598911</v>
      </c>
      <c r="W606">
        <f t="shared" si="372"/>
        <v>350.84807056908414</v>
      </c>
      <c r="Y606" s="6">
        <f t="shared" si="344"/>
        <v>5434.8110385861482</v>
      </c>
      <c r="Z606">
        <f>SUMPRODUCT($D$610:$W$610,D606:W606)</f>
        <v>309.86188118868313</v>
      </c>
    </row>
    <row r="607" spans="1:26" x14ac:dyDescent="0.25">
      <c r="A607" t="s">
        <v>313</v>
      </c>
      <c r="D607">
        <f t="shared" ref="D607:W607" si="373">D67*D211</f>
        <v>475.77543004940793</v>
      </c>
      <c r="E607">
        <f t="shared" si="373"/>
        <v>439.96055454357781</v>
      </c>
      <c r="F607">
        <f t="shared" si="373"/>
        <v>289.88721403536982</v>
      </c>
      <c r="G607">
        <f t="shared" si="373"/>
        <v>313.56599929509935</v>
      </c>
      <c r="H607">
        <f t="shared" si="373"/>
        <v>343.82344209188176</v>
      </c>
      <c r="I607">
        <f t="shared" si="373"/>
        <v>298.35879787110201</v>
      </c>
      <c r="J607">
        <f t="shared" si="373"/>
        <v>289.15028853964736</v>
      </c>
      <c r="K607">
        <f t="shared" si="373"/>
        <v>114.2249430458665</v>
      </c>
      <c r="L607">
        <f t="shared" si="373"/>
        <v>262.26457520943808</v>
      </c>
      <c r="M607">
        <f t="shared" si="373"/>
        <v>250.29893568973782</v>
      </c>
      <c r="N607">
        <f t="shared" si="373"/>
        <v>185.35485882586997</v>
      </c>
      <c r="O607">
        <f t="shared" si="373"/>
        <v>220.07245715034864</v>
      </c>
      <c r="P607">
        <f t="shared" si="373"/>
        <v>228.80999999999997</v>
      </c>
      <c r="Q607">
        <f t="shared" si="373"/>
        <v>273</v>
      </c>
      <c r="R607">
        <f t="shared" si="373"/>
        <v>293.76</v>
      </c>
      <c r="S607">
        <f t="shared" si="373"/>
        <v>87.210000000000008</v>
      </c>
      <c r="T607">
        <f t="shared" si="373"/>
        <v>235.56</v>
      </c>
      <c r="U607">
        <f t="shared" si="373"/>
        <v>263.21999999999997</v>
      </c>
      <c r="V607">
        <f t="shared" si="373"/>
        <v>301.30099999999999</v>
      </c>
      <c r="W607">
        <f t="shared" si="373"/>
        <v>301.62</v>
      </c>
      <c r="Y607" s="6">
        <f t="shared" si="344"/>
        <v>5467.2184963473483</v>
      </c>
      <c r="Z607">
        <f>SUMPRODUCT($D$610:$W$610,D607:W607)</f>
        <v>310.60120825920308</v>
      </c>
    </row>
    <row r="608" spans="1:26" x14ac:dyDescent="0.25">
      <c r="A608" t="s">
        <v>314</v>
      </c>
      <c r="D608">
        <f t="shared" ref="D608:W608" si="374">D68*D212</f>
        <v>493.08537777992575</v>
      </c>
      <c r="E608">
        <f t="shared" si="374"/>
        <v>452.51553323093714</v>
      </c>
      <c r="F608">
        <f t="shared" si="374"/>
        <v>370.2512134098755</v>
      </c>
      <c r="G608">
        <f t="shared" si="374"/>
        <v>378.24478162111984</v>
      </c>
      <c r="H608">
        <f t="shared" si="374"/>
        <v>366.15905422036514</v>
      </c>
      <c r="I608">
        <f t="shared" si="374"/>
        <v>310.14319062259347</v>
      </c>
      <c r="J608">
        <f t="shared" si="374"/>
        <v>226.50033188657025</v>
      </c>
      <c r="K608">
        <f t="shared" si="374"/>
        <v>199.51</v>
      </c>
      <c r="L608">
        <f t="shared" si="374"/>
        <v>196.10000000000002</v>
      </c>
      <c r="M608">
        <f t="shared" si="374"/>
        <v>203.28</v>
      </c>
      <c r="N608">
        <f t="shared" si="374"/>
        <v>198.43999999999997</v>
      </c>
      <c r="O608">
        <f t="shared" si="374"/>
        <v>230.74000000000004</v>
      </c>
      <c r="P608">
        <f t="shared" si="374"/>
        <v>172.88055046941977</v>
      </c>
      <c r="Q608">
        <f t="shared" si="374"/>
        <v>194.30891869380466</v>
      </c>
      <c r="R608">
        <f t="shared" si="374"/>
        <v>222.8614472038457</v>
      </c>
      <c r="S608">
        <f t="shared" si="374"/>
        <v>254.03834852964519</v>
      </c>
      <c r="T608">
        <f t="shared" si="374"/>
        <v>290.70830031956763</v>
      </c>
      <c r="U608">
        <f t="shared" si="374"/>
        <v>307.36716284616807</v>
      </c>
      <c r="V608">
        <f t="shared" si="374"/>
        <v>309.82224549183286</v>
      </c>
      <c r="W608">
        <f t="shared" si="374"/>
        <v>348.31403774634919</v>
      </c>
      <c r="Y608" s="6">
        <f t="shared" si="344"/>
        <v>5725.2704940720196</v>
      </c>
      <c r="Z608">
        <f>SUMPRODUCT($D$610:$W$610,D608:W608)</f>
        <v>411.47591175113865</v>
      </c>
    </row>
    <row r="609" spans="1:26" x14ac:dyDescent="0.25">
      <c r="A609" t="s">
        <v>658</v>
      </c>
      <c r="D609">
        <f t="shared" ref="D609:W609" si="375">D69*D213</f>
        <v>463.89294000520988</v>
      </c>
      <c r="E609">
        <f t="shared" si="375"/>
        <v>457.7526304943716</v>
      </c>
      <c r="F609">
        <f t="shared" si="375"/>
        <v>451.412445676478</v>
      </c>
      <c r="G609">
        <f t="shared" si="375"/>
        <v>397.95105322607219</v>
      </c>
      <c r="H609">
        <f t="shared" si="375"/>
        <v>316.67046887057364</v>
      </c>
      <c r="I609">
        <f t="shared" si="375"/>
        <v>280.59999999999997</v>
      </c>
      <c r="J609">
        <f t="shared" si="375"/>
        <v>243.81673469387758</v>
      </c>
      <c r="K609">
        <f t="shared" si="375"/>
        <v>246.53918367346932</v>
      </c>
      <c r="L609">
        <f t="shared" si="375"/>
        <v>223.00094387755101</v>
      </c>
      <c r="M609">
        <f t="shared" si="375"/>
        <v>184.4019970845481</v>
      </c>
      <c r="N609">
        <f t="shared" si="375"/>
        <v>186.3</v>
      </c>
      <c r="O609">
        <f t="shared" si="375"/>
        <v>211.75</v>
      </c>
      <c r="P609">
        <f t="shared" si="375"/>
        <v>154.94626913471063</v>
      </c>
      <c r="Q609">
        <f t="shared" si="375"/>
        <v>242.99968187404588</v>
      </c>
      <c r="R609">
        <f t="shared" si="375"/>
        <v>169.77392694578603</v>
      </c>
      <c r="S609">
        <f t="shared" si="375"/>
        <v>256.2489795918367</v>
      </c>
      <c r="T609">
        <f t="shared" si="375"/>
        <v>277.38062378334234</v>
      </c>
      <c r="U609">
        <f t="shared" si="375"/>
        <v>297.00557203911433</v>
      </c>
      <c r="V609">
        <f t="shared" si="375"/>
        <v>264.75824116084397</v>
      </c>
      <c r="W609">
        <f t="shared" si="375"/>
        <v>341.15807148368845</v>
      </c>
      <c r="Y609" s="6">
        <f t="shared" ref="Y609" si="376">SUM(D609:W609)</f>
        <v>5668.3597636155191</v>
      </c>
      <c r="Z609">
        <f>SUMPRODUCT($D$610:$W$610,D609:W609)</f>
        <v>402.97096926299298</v>
      </c>
    </row>
    <row r="610" spans="1:26" x14ac:dyDescent="0.25">
      <c r="A610" s="2" t="s">
        <v>71</v>
      </c>
      <c r="D610" s="3">
        <f>CORREL($B$2:$B$28,D578:D604)</f>
        <v>0.50278709883528638</v>
      </c>
      <c r="E610" s="3">
        <f t="shared" ref="E610:W610" si="377">CORREL($B$2:$B$28,E578:E604)</f>
        <v>0.33639207160255369</v>
      </c>
      <c r="F610" s="3">
        <f t="shared" si="377"/>
        <v>0.18815859055084411</v>
      </c>
      <c r="G610" s="3">
        <f t="shared" si="377"/>
        <v>8.3690185835951322E-2</v>
      </c>
      <c r="H610" s="3">
        <f t="shared" si="377"/>
        <v>2.4223001756637875E-2</v>
      </c>
      <c r="I610" s="3">
        <f t="shared" si="377"/>
        <v>0.23151029466225825</v>
      </c>
      <c r="J610" s="3">
        <f t="shared" si="377"/>
        <v>-0.29751950804918487</v>
      </c>
      <c r="K610" s="3">
        <f t="shared" si="377"/>
        <v>-6.9781631701179347E-2</v>
      </c>
      <c r="L610" s="3">
        <f t="shared" si="377"/>
        <v>-0.17341772012908727</v>
      </c>
      <c r="M610" s="3">
        <f t="shared" si="377"/>
        <v>6.5976597216104008E-2</v>
      </c>
      <c r="N610" s="3">
        <f t="shared" si="377"/>
        <v>-0.26952755851339916</v>
      </c>
      <c r="O610" s="3">
        <f t="shared" si="377"/>
        <v>-0.13468793522184902</v>
      </c>
      <c r="P610" s="3">
        <f t="shared" si="377"/>
        <v>-0.13546227559150775</v>
      </c>
      <c r="Q610" s="3">
        <f t="shared" si="377"/>
        <v>-2.9280375008849776E-2</v>
      </c>
      <c r="R610" s="3">
        <f t="shared" si="377"/>
        <v>5.0468611174693846E-2</v>
      </c>
      <c r="S610" s="3">
        <f t="shared" si="377"/>
        <v>0.24573950632379082</v>
      </c>
      <c r="T610" s="3">
        <f t="shared" si="377"/>
        <v>4.3343036702944274E-2</v>
      </c>
      <c r="U610" s="3">
        <f t="shared" si="377"/>
        <v>-4.3829382256241035E-2</v>
      </c>
      <c r="V610" s="3">
        <f t="shared" si="377"/>
        <v>-0.1221319731248352</v>
      </c>
      <c r="W610" s="3">
        <f t="shared" si="377"/>
        <v>2.8586867108298046E-2</v>
      </c>
    </row>
    <row r="613" spans="1:26" x14ac:dyDescent="0.25">
      <c r="D613" t="s">
        <v>200</v>
      </c>
      <c r="E613" t="s">
        <v>201</v>
      </c>
      <c r="F613" t="s">
        <v>202</v>
      </c>
      <c r="G613" t="s">
        <v>203</v>
      </c>
      <c r="H613" t="s">
        <v>204</v>
      </c>
      <c r="I613" t="s">
        <v>205</v>
      </c>
      <c r="J613" t="s">
        <v>206</v>
      </c>
      <c r="K613" t="s">
        <v>207</v>
      </c>
      <c r="L613" t="s">
        <v>332</v>
      </c>
      <c r="M613" t="s">
        <v>394</v>
      </c>
      <c r="N613" t="s">
        <v>395</v>
      </c>
      <c r="O613" t="s">
        <v>396</v>
      </c>
      <c r="P613" t="s">
        <v>502</v>
      </c>
      <c r="Q613" t="s">
        <v>503</v>
      </c>
      <c r="R613" t="s">
        <v>504</v>
      </c>
      <c r="S613" t="s">
        <v>505</v>
      </c>
      <c r="T613" t="s">
        <v>614</v>
      </c>
      <c r="U613" t="s">
        <v>615</v>
      </c>
      <c r="V613" t="s">
        <v>616</v>
      </c>
      <c r="W613" t="s">
        <v>617</v>
      </c>
      <c r="Y613" t="s">
        <v>208</v>
      </c>
      <c r="Z613" t="s">
        <v>209</v>
      </c>
    </row>
    <row r="614" spans="1:26" x14ac:dyDescent="0.25">
      <c r="A614" t="s">
        <v>43</v>
      </c>
      <c r="D614">
        <f t="shared" ref="D614:W614" si="378">D38*D218</f>
        <v>261.79002277034067</v>
      </c>
      <c r="E614">
        <f t="shared" si="378"/>
        <v>244.01718469069939</v>
      </c>
      <c r="F614">
        <f t="shared" si="378"/>
        <v>219.47584700773203</v>
      </c>
      <c r="G614">
        <f t="shared" si="378"/>
        <v>290.68268719425481</v>
      </c>
      <c r="H614">
        <f t="shared" si="378"/>
        <v>249.99606123810915</v>
      </c>
      <c r="I614">
        <f t="shared" si="378"/>
        <v>198.57211891272496</v>
      </c>
      <c r="J614">
        <f t="shared" si="378"/>
        <v>322.88059920329573</v>
      </c>
      <c r="K614">
        <f t="shared" si="378"/>
        <v>207.85904010969037</v>
      </c>
      <c r="L614">
        <f t="shared" si="378"/>
        <v>207.87366198556612</v>
      </c>
      <c r="M614">
        <f t="shared" si="378"/>
        <v>99.694691802885814</v>
      </c>
      <c r="N614">
        <f t="shared" si="378"/>
        <v>141.94173791356079</v>
      </c>
      <c r="O614">
        <f t="shared" si="378"/>
        <v>193.72581950403165</v>
      </c>
      <c r="P614">
        <f t="shared" si="378"/>
        <v>191.31248567192563</v>
      </c>
      <c r="Q614">
        <f t="shared" si="378"/>
        <v>188.84297843300476</v>
      </c>
      <c r="R614">
        <f t="shared" si="378"/>
        <v>194.7414130974835</v>
      </c>
      <c r="S614">
        <f t="shared" si="378"/>
        <v>191.51066712053864</v>
      </c>
      <c r="T614">
        <f t="shared" si="378"/>
        <v>140.98759544899428</v>
      </c>
      <c r="U614">
        <f t="shared" si="378"/>
        <v>168.12969120371716</v>
      </c>
      <c r="V614">
        <f t="shared" si="378"/>
        <v>331.66110445563851</v>
      </c>
      <c r="W614">
        <f t="shared" si="378"/>
        <v>189.65135143732005</v>
      </c>
      <c r="Y614" s="6">
        <f t="shared" ref="Y614:Y644" si="379">SUM(D614:W614)</f>
        <v>4235.346759201514</v>
      </c>
      <c r="Z614">
        <f t="shared" ref="Z614:Z640" si="380">SUMPRODUCT($D$646:$W$646,D614:W614)</f>
        <v>-312.55085053243943</v>
      </c>
    </row>
    <row r="615" spans="1:26" x14ac:dyDescent="0.25">
      <c r="A615" t="s">
        <v>44</v>
      </c>
      <c r="D615">
        <f t="shared" ref="D615:W615" si="381">D39*D219</f>
        <v>252.7680950719587</v>
      </c>
      <c r="E615">
        <f t="shared" si="381"/>
        <v>215.90498405195854</v>
      </c>
      <c r="F615">
        <f t="shared" si="381"/>
        <v>343.53138003783101</v>
      </c>
      <c r="G615">
        <f t="shared" si="381"/>
        <v>231.81275559662811</v>
      </c>
      <c r="H615">
        <f t="shared" si="381"/>
        <v>207.85219790354694</v>
      </c>
      <c r="I615">
        <f t="shared" si="381"/>
        <v>197.67459627002032</v>
      </c>
      <c r="J615">
        <f t="shared" si="381"/>
        <v>119.46433917835159</v>
      </c>
      <c r="K615">
        <f t="shared" si="381"/>
        <v>106.16549639041226</v>
      </c>
      <c r="L615">
        <f t="shared" si="381"/>
        <v>126.02250056922597</v>
      </c>
      <c r="M615">
        <f t="shared" si="381"/>
        <v>185.33368462934033</v>
      </c>
      <c r="N615">
        <f t="shared" si="381"/>
        <v>253.53535551798882</v>
      </c>
      <c r="O615">
        <f t="shared" si="381"/>
        <v>162.27162821913183</v>
      </c>
      <c r="P615">
        <f t="shared" si="381"/>
        <v>121.03506101509065</v>
      </c>
      <c r="Q615">
        <f t="shared" si="381"/>
        <v>136.22102880770578</v>
      </c>
      <c r="R615">
        <f t="shared" si="381"/>
        <v>187.63520591975606</v>
      </c>
      <c r="S615">
        <f t="shared" si="381"/>
        <v>197.17398637301386</v>
      </c>
      <c r="T615">
        <f t="shared" si="381"/>
        <v>247.1482160723329</v>
      </c>
      <c r="U615">
        <f t="shared" si="381"/>
        <v>173.44109639360593</v>
      </c>
      <c r="V615">
        <f t="shared" si="381"/>
        <v>315.94401192414693</v>
      </c>
      <c r="W615">
        <f t="shared" si="381"/>
        <v>325.81423578991911</v>
      </c>
      <c r="Y615" s="6">
        <f t="shared" si="379"/>
        <v>4106.7498557319659</v>
      </c>
      <c r="Z615">
        <f t="shared" si="380"/>
        <v>-239.63191718851809</v>
      </c>
    </row>
    <row r="616" spans="1:26" x14ac:dyDescent="0.25">
      <c r="A616" t="s">
        <v>45</v>
      </c>
      <c r="D616">
        <f t="shared" ref="D616:W616" si="382">D40*D220</f>
        <v>265.90383128092799</v>
      </c>
      <c r="E616">
        <f t="shared" si="382"/>
        <v>137.88300887306713</v>
      </c>
      <c r="F616">
        <f t="shared" si="382"/>
        <v>162.07564114870127</v>
      </c>
      <c r="G616">
        <f t="shared" si="382"/>
        <v>359.83917376342202</v>
      </c>
      <c r="H616">
        <f t="shared" si="382"/>
        <v>346.70780019181535</v>
      </c>
      <c r="I616">
        <f t="shared" si="382"/>
        <v>242.60199543090226</v>
      </c>
      <c r="J616">
        <f t="shared" si="382"/>
        <v>227.3532842267</v>
      </c>
      <c r="K616">
        <f t="shared" si="382"/>
        <v>163.68864213671739</v>
      </c>
      <c r="L616">
        <f t="shared" si="382"/>
        <v>201.61638772917533</v>
      </c>
      <c r="M616">
        <f t="shared" si="382"/>
        <v>184.07426724690248</v>
      </c>
      <c r="N616">
        <f t="shared" si="382"/>
        <v>258.79087416688117</v>
      </c>
      <c r="O616">
        <f t="shared" si="382"/>
        <v>204.19625838230363</v>
      </c>
      <c r="P616">
        <f t="shared" si="382"/>
        <v>95.322357675659646</v>
      </c>
      <c r="Q616">
        <f t="shared" si="382"/>
        <v>153.17788582943459</v>
      </c>
      <c r="R616">
        <f t="shared" si="382"/>
        <v>243.18648684198621</v>
      </c>
      <c r="S616">
        <f t="shared" si="382"/>
        <v>265.86984467568828</v>
      </c>
      <c r="T616">
        <f t="shared" si="382"/>
        <v>437.07488991382854</v>
      </c>
      <c r="U616">
        <f t="shared" si="382"/>
        <v>346.97925431651146</v>
      </c>
      <c r="V616">
        <f t="shared" si="382"/>
        <v>341.85047177013763</v>
      </c>
      <c r="W616">
        <f t="shared" si="382"/>
        <v>426.62414576259056</v>
      </c>
      <c r="Y616" s="6">
        <f t="shared" si="379"/>
        <v>5064.8165013633525</v>
      </c>
      <c r="Z616">
        <f t="shared" si="380"/>
        <v>-378.49005343603983</v>
      </c>
    </row>
    <row r="617" spans="1:26" x14ac:dyDescent="0.25">
      <c r="A617" t="s">
        <v>46</v>
      </c>
      <c r="D617">
        <f t="shared" ref="D617:W617" si="383">D41*D221</f>
        <v>260.87363457239974</v>
      </c>
      <c r="E617">
        <f t="shared" si="383"/>
        <v>214.20244363741395</v>
      </c>
      <c r="F617">
        <f t="shared" si="383"/>
        <v>240.73796976710943</v>
      </c>
      <c r="G617">
        <f t="shared" si="383"/>
        <v>239.3527997715241</v>
      </c>
      <c r="H617">
        <f t="shared" si="383"/>
        <v>194.02968498256521</v>
      </c>
      <c r="I617">
        <f t="shared" si="383"/>
        <v>185.69073701096926</v>
      </c>
      <c r="J617">
        <f t="shared" si="383"/>
        <v>234.35186913577803</v>
      </c>
      <c r="K617">
        <f t="shared" si="383"/>
        <v>286.27133640013665</v>
      </c>
      <c r="L617">
        <f t="shared" si="383"/>
        <v>284.86171422615928</v>
      </c>
      <c r="M617">
        <f t="shared" si="383"/>
        <v>229.32205617664653</v>
      </c>
      <c r="N617">
        <f t="shared" si="383"/>
        <v>106.60304628568527</v>
      </c>
      <c r="O617">
        <f t="shared" si="383"/>
        <v>191.86480092271296</v>
      </c>
      <c r="P617">
        <f t="shared" si="383"/>
        <v>143.05783603498986</v>
      </c>
      <c r="Q617">
        <f t="shared" si="383"/>
        <v>200.66746305797031</v>
      </c>
      <c r="R617">
        <f t="shared" si="383"/>
        <v>118.49548595504476</v>
      </c>
      <c r="S617">
        <f t="shared" si="383"/>
        <v>239.80346738084847</v>
      </c>
      <c r="T617">
        <f t="shared" si="383"/>
        <v>162.15465676931001</v>
      </c>
      <c r="U617">
        <f t="shared" si="383"/>
        <v>158.09726414193261</v>
      </c>
      <c r="V617">
        <f t="shared" si="383"/>
        <v>218.93909650286733</v>
      </c>
      <c r="W617">
        <f t="shared" si="383"/>
        <v>265.77541636507976</v>
      </c>
      <c r="Y617" s="6">
        <f t="shared" si="379"/>
        <v>4175.152779097144</v>
      </c>
      <c r="Z617">
        <f t="shared" si="380"/>
        <v>-266.42264924331027</v>
      </c>
    </row>
    <row r="618" spans="1:26" x14ac:dyDescent="0.25">
      <c r="A618" t="s">
        <v>47</v>
      </c>
      <c r="D618">
        <f t="shared" ref="D618:W618" si="384">D42*D222</f>
        <v>375.41727038508088</v>
      </c>
      <c r="E618">
        <f t="shared" si="384"/>
        <v>333.60714843436728</v>
      </c>
      <c r="F618">
        <f t="shared" si="384"/>
        <v>283.52311862112037</v>
      </c>
      <c r="G618">
        <f t="shared" si="384"/>
        <v>375.22199159317273</v>
      </c>
      <c r="H618">
        <f t="shared" si="384"/>
        <v>257.36927523291547</v>
      </c>
      <c r="I618">
        <f t="shared" si="384"/>
        <v>211.22115730603909</v>
      </c>
      <c r="J618">
        <f t="shared" si="384"/>
        <v>240.36144546703346</v>
      </c>
      <c r="K618">
        <f t="shared" si="384"/>
        <v>223.15181562640035</v>
      </c>
      <c r="L618">
        <f t="shared" si="384"/>
        <v>158.70528926829169</v>
      </c>
      <c r="M618">
        <f t="shared" si="384"/>
        <v>222.25582395373857</v>
      </c>
      <c r="N618">
        <f t="shared" si="384"/>
        <v>237.99650900578968</v>
      </c>
      <c r="O618">
        <f t="shared" si="384"/>
        <v>259.51916347675331</v>
      </c>
      <c r="P618">
        <f t="shared" si="384"/>
        <v>296.01119069474686</v>
      </c>
      <c r="Q618">
        <f t="shared" si="384"/>
        <v>193.15708801721078</v>
      </c>
      <c r="R618">
        <f t="shared" si="384"/>
        <v>345.26460822437554</v>
      </c>
      <c r="S618">
        <f t="shared" si="384"/>
        <v>285.41136880902667</v>
      </c>
      <c r="T618">
        <f t="shared" si="384"/>
        <v>569.86985391887379</v>
      </c>
      <c r="U618">
        <f t="shared" si="384"/>
        <v>534.57014302709058</v>
      </c>
      <c r="V618">
        <f t="shared" si="384"/>
        <v>257.64430086119273</v>
      </c>
      <c r="W618">
        <f t="shared" si="384"/>
        <v>382.09078769994261</v>
      </c>
      <c r="Y618" s="6">
        <f t="shared" si="379"/>
        <v>6042.3693496231626</v>
      </c>
      <c r="Z618">
        <f t="shared" si="380"/>
        <v>-363.08725699556868</v>
      </c>
    </row>
    <row r="619" spans="1:26" x14ac:dyDescent="0.25">
      <c r="A619" t="s">
        <v>48</v>
      </c>
      <c r="D619">
        <f t="shared" ref="D619:W619" si="385">D43*D223</f>
        <v>506.5264451674368</v>
      </c>
      <c r="E619">
        <f t="shared" si="385"/>
        <v>486.72886812111233</v>
      </c>
      <c r="F619">
        <f t="shared" si="385"/>
        <v>524.80530020313415</v>
      </c>
      <c r="G619">
        <f t="shared" si="385"/>
        <v>544.50829776092212</v>
      </c>
      <c r="H619">
        <f t="shared" si="385"/>
        <v>519.12328077347854</v>
      </c>
      <c r="I619">
        <f t="shared" si="385"/>
        <v>511.05707551686356</v>
      </c>
      <c r="J619">
        <f t="shared" si="385"/>
        <v>587.13761242164753</v>
      </c>
      <c r="K619">
        <f t="shared" si="385"/>
        <v>468.99126185677164</v>
      </c>
      <c r="L619">
        <f t="shared" si="385"/>
        <v>282.22134720784879</v>
      </c>
      <c r="M619">
        <f t="shared" si="385"/>
        <v>130.4621546061457</v>
      </c>
      <c r="N619">
        <f t="shared" si="385"/>
        <v>198.79731837425541</v>
      </c>
      <c r="O619">
        <f t="shared" si="385"/>
        <v>159.94466497292561</v>
      </c>
      <c r="P619">
        <f t="shared" si="385"/>
        <v>308.90260973797734</v>
      </c>
      <c r="Q619">
        <f t="shared" si="385"/>
        <v>252.38101338139955</v>
      </c>
      <c r="R619">
        <f t="shared" si="385"/>
        <v>218.79239620295476</v>
      </c>
      <c r="S619">
        <f t="shared" si="385"/>
        <v>111.62357747205063</v>
      </c>
      <c r="T619">
        <f t="shared" si="385"/>
        <v>164.06624710892393</v>
      </c>
      <c r="U619">
        <f t="shared" si="385"/>
        <v>181.88179034291218</v>
      </c>
      <c r="V619">
        <f t="shared" si="385"/>
        <v>219.54279041812279</v>
      </c>
      <c r="W619">
        <f t="shared" si="385"/>
        <v>230.90985256959794</v>
      </c>
      <c r="Y619" s="6">
        <f t="shared" si="379"/>
        <v>6608.4039042164814</v>
      </c>
      <c r="Z619">
        <f t="shared" si="380"/>
        <v>-292.57798457581555</v>
      </c>
    </row>
    <row r="620" spans="1:26" x14ac:dyDescent="0.25">
      <c r="A620" t="s">
        <v>49</v>
      </c>
      <c r="D620">
        <f t="shared" ref="D620:W620" si="386">D44*D224</f>
        <v>242.60824345130663</v>
      </c>
      <c r="E620">
        <f t="shared" si="386"/>
        <v>326.44620096367231</v>
      </c>
      <c r="F620">
        <f t="shared" si="386"/>
        <v>360.70383382616541</v>
      </c>
      <c r="G620">
        <f t="shared" si="386"/>
        <v>287.05882986599772</v>
      </c>
      <c r="H620">
        <f t="shared" si="386"/>
        <v>208.01904689822675</v>
      </c>
      <c r="I620">
        <f t="shared" si="386"/>
        <v>239.8438199594724</v>
      </c>
      <c r="J620">
        <f t="shared" si="386"/>
        <v>242.45372280703808</v>
      </c>
      <c r="K620">
        <f t="shared" si="386"/>
        <v>281.17763430931461</v>
      </c>
      <c r="L620">
        <f t="shared" si="386"/>
        <v>182.08436082085854</v>
      </c>
      <c r="M620">
        <f t="shared" si="386"/>
        <v>174.46054335948628</v>
      </c>
      <c r="N620">
        <f t="shared" si="386"/>
        <v>184.03897572235419</v>
      </c>
      <c r="O620">
        <f t="shared" si="386"/>
        <v>198.75553253609564</v>
      </c>
      <c r="P620">
        <f t="shared" si="386"/>
        <v>377.10161100055007</v>
      </c>
      <c r="Q620">
        <f t="shared" si="386"/>
        <v>348.39132906593983</v>
      </c>
      <c r="R620">
        <f t="shared" si="386"/>
        <v>330.63775555608396</v>
      </c>
      <c r="S620">
        <f t="shared" si="386"/>
        <v>235.1653261736742</v>
      </c>
      <c r="T620">
        <f t="shared" si="386"/>
        <v>169.889102555053</v>
      </c>
      <c r="U620">
        <f t="shared" si="386"/>
        <v>269.69102324731705</v>
      </c>
      <c r="V620">
        <f t="shared" si="386"/>
        <v>289.26921864379722</v>
      </c>
      <c r="W620">
        <f t="shared" si="386"/>
        <v>221.75782328434403</v>
      </c>
      <c r="Y620" s="6">
        <f t="shared" si="379"/>
        <v>5169.5539340467485</v>
      </c>
      <c r="Z620">
        <f t="shared" si="380"/>
        <v>-360.02446912086907</v>
      </c>
    </row>
    <row r="621" spans="1:26" x14ac:dyDescent="0.25">
      <c r="A621" t="s">
        <v>50</v>
      </c>
      <c r="D621">
        <f t="shared" ref="D621:W621" si="387">D45*D225</f>
        <v>295.47750947253553</v>
      </c>
      <c r="E621">
        <f t="shared" si="387"/>
        <v>289.10923624273312</v>
      </c>
      <c r="F621">
        <f t="shared" si="387"/>
        <v>23.26591361922371</v>
      </c>
      <c r="G621">
        <f t="shared" si="387"/>
        <v>295.72495969172655</v>
      </c>
      <c r="H621">
        <f t="shared" si="387"/>
        <v>317.68702982543357</v>
      </c>
      <c r="I621">
        <f t="shared" si="387"/>
        <v>293.46449755073513</v>
      </c>
      <c r="J621">
        <f t="shared" si="387"/>
        <v>237.4979368971436</v>
      </c>
      <c r="K621">
        <f t="shared" si="387"/>
        <v>252.24945081482278</v>
      </c>
      <c r="L621">
        <f t="shared" si="387"/>
        <v>309.15100028223605</v>
      </c>
      <c r="M621">
        <f t="shared" si="387"/>
        <v>211.17057019543554</v>
      </c>
      <c r="N621">
        <f t="shared" si="387"/>
        <v>608.72647488694304</v>
      </c>
      <c r="O621">
        <f t="shared" si="387"/>
        <v>574.82957844871112</v>
      </c>
      <c r="P621">
        <f t="shared" si="387"/>
        <v>742.89892763776652</v>
      </c>
      <c r="Q621">
        <f t="shared" si="387"/>
        <v>870.82427652654451</v>
      </c>
      <c r="R621">
        <f t="shared" si="387"/>
        <v>106.47312822749662</v>
      </c>
      <c r="S621">
        <f t="shared" si="387"/>
        <v>119.76814904693779</v>
      </c>
      <c r="T621">
        <f t="shared" si="387"/>
        <v>353.17642293559561</v>
      </c>
      <c r="U621">
        <f t="shared" si="387"/>
        <v>214.61358397219934</v>
      </c>
      <c r="V621">
        <f t="shared" si="387"/>
        <v>386.96530475421207</v>
      </c>
      <c r="W621">
        <f t="shared" si="387"/>
        <v>262.34677999228018</v>
      </c>
      <c r="Y621" s="6">
        <f t="shared" si="379"/>
        <v>6765.4207310207121</v>
      </c>
      <c r="Z621">
        <f t="shared" si="380"/>
        <v>-859.61511926053049</v>
      </c>
    </row>
    <row r="622" spans="1:26" x14ac:dyDescent="0.25">
      <c r="A622" t="s">
        <v>51</v>
      </c>
      <c r="D622">
        <f t="shared" ref="D622:W622" si="388">D46*D226</f>
        <v>473.32364470793829</v>
      </c>
      <c r="E622">
        <f t="shared" si="388"/>
        <v>818.76407790544704</v>
      </c>
      <c r="F622">
        <f t="shared" si="388"/>
        <v>870.48612461969583</v>
      </c>
      <c r="G622">
        <f t="shared" si="388"/>
        <v>461.02265972433241</v>
      </c>
      <c r="H622">
        <f t="shared" si="388"/>
        <v>427.36959612159825</v>
      </c>
      <c r="I622">
        <f t="shared" si="388"/>
        <v>281.41713697654194</v>
      </c>
      <c r="J622">
        <f t="shared" si="388"/>
        <v>620.10838306902292</v>
      </c>
      <c r="K622">
        <f t="shared" si="388"/>
        <v>699.14344548362135</v>
      </c>
      <c r="L622">
        <f t="shared" si="388"/>
        <v>618.63867287148298</v>
      </c>
      <c r="M622">
        <f t="shared" si="388"/>
        <v>699.52065958965579</v>
      </c>
      <c r="N622">
        <f t="shared" si="388"/>
        <v>564.27678401346282</v>
      </c>
      <c r="O622">
        <f t="shared" si="388"/>
        <v>394.89317997604559</v>
      </c>
      <c r="P622">
        <f t="shared" si="388"/>
        <v>700.54869313797928</v>
      </c>
      <c r="Q622">
        <f t="shared" si="388"/>
        <v>500.71506085640937</v>
      </c>
      <c r="R622">
        <f t="shared" si="388"/>
        <v>615.82448068457904</v>
      </c>
      <c r="S622">
        <f t="shared" si="388"/>
        <v>615.87329273117928</v>
      </c>
      <c r="T622">
        <f t="shared" si="388"/>
        <v>669.49662918412116</v>
      </c>
      <c r="U622">
        <f t="shared" si="388"/>
        <v>591.80540055572385</v>
      </c>
      <c r="V622">
        <f t="shared" si="388"/>
        <v>696.82620889784937</v>
      </c>
      <c r="W622">
        <f t="shared" si="388"/>
        <v>632.31354765078083</v>
      </c>
      <c r="Y622" s="6">
        <f t="shared" si="379"/>
        <v>11952.36767875747</v>
      </c>
      <c r="Z622">
        <f t="shared" si="380"/>
        <v>-891.486441843938</v>
      </c>
    </row>
    <row r="623" spans="1:26" x14ac:dyDescent="0.25">
      <c r="A623" t="s">
        <v>52</v>
      </c>
      <c r="D623">
        <f t="shared" ref="D623:W623" si="389">D47*D227</f>
        <v>403.988665959066</v>
      </c>
      <c r="E623">
        <f t="shared" si="389"/>
        <v>373.56315868787908</v>
      </c>
      <c r="F623">
        <f t="shared" si="389"/>
        <v>305.22940796615183</v>
      </c>
      <c r="G623">
        <f t="shared" si="389"/>
        <v>257.9398037119692</v>
      </c>
      <c r="H623">
        <f t="shared" si="389"/>
        <v>308.80695797594552</v>
      </c>
      <c r="I623">
        <f t="shared" si="389"/>
        <v>366.94528894286719</v>
      </c>
      <c r="J623">
        <f t="shared" si="389"/>
        <v>131.32853378556729</v>
      </c>
      <c r="K623">
        <f t="shared" si="389"/>
        <v>189.10556422461764</v>
      </c>
      <c r="L623">
        <f t="shared" si="389"/>
        <v>234.325422362609</v>
      </c>
      <c r="M623">
        <f t="shared" si="389"/>
        <v>186.62515209339779</v>
      </c>
      <c r="N623">
        <f t="shared" si="389"/>
        <v>158.7744994964757</v>
      </c>
      <c r="O623">
        <f t="shared" si="389"/>
        <v>156.01167170957839</v>
      </c>
      <c r="P623">
        <f t="shared" si="389"/>
        <v>221.39068052295275</v>
      </c>
      <c r="Q623">
        <f t="shared" si="389"/>
        <v>205.10244525712903</v>
      </c>
      <c r="R623">
        <f t="shared" si="389"/>
        <v>245.26914612520005</v>
      </c>
      <c r="S623">
        <f t="shared" si="389"/>
        <v>210.42692787159245</v>
      </c>
      <c r="T623">
        <f t="shared" si="389"/>
        <v>147.79018165407251</v>
      </c>
      <c r="U623">
        <f t="shared" si="389"/>
        <v>185.46414760697039</v>
      </c>
      <c r="V623">
        <f t="shared" si="389"/>
        <v>153.60171206477989</v>
      </c>
      <c r="W623">
        <f t="shared" si="389"/>
        <v>267.57239114959407</v>
      </c>
      <c r="Y623" s="6">
        <f t="shared" si="379"/>
        <v>4709.2617591684157</v>
      </c>
      <c r="Z623">
        <f t="shared" si="380"/>
        <v>-134.57468553947768</v>
      </c>
    </row>
    <row r="624" spans="1:26" x14ac:dyDescent="0.25">
      <c r="A624" t="s">
        <v>53</v>
      </c>
      <c r="D624">
        <f t="shared" ref="D624:W624" si="390">D48*D228</f>
        <v>259.38961432593902</v>
      </c>
      <c r="E624">
        <f t="shared" si="390"/>
        <v>228.26730252672183</v>
      </c>
      <c r="F624">
        <f t="shared" si="390"/>
        <v>207.78834634196926</v>
      </c>
      <c r="G624">
        <f t="shared" si="390"/>
        <v>253.58311066276383</v>
      </c>
      <c r="H624">
        <f t="shared" si="390"/>
        <v>199.49249793222066</v>
      </c>
      <c r="I624">
        <f t="shared" si="390"/>
        <v>185.98432807921961</v>
      </c>
      <c r="J624">
        <f t="shared" si="390"/>
        <v>247.20665441462256</v>
      </c>
      <c r="K624">
        <f t="shared" si="390"/>
        <v>279.5569731880887</v>
      </c>
      <c r="L624">
        <f t="shared" si="390"/>
        <v>261.60152688623913</v>
      </c>
      <c r="M624">
        <f t="shared" si="390"/>
        <v>216.85297784429375</v>
      </c>
      <c r="N624">
        <f t="shared" si="390"/>
        <v>177.55110026531932</v>
      </c>
      <c r="O624">
        <f t="shared" si="390"/>
        <v>133.11727352082292</v>
      </c>
      <c r="P624">
        <f t="shared" si="390"/>
        <v>212.42055221147243</v>
      </c>
      <c r="Q624">
        <f t="shared" si="390"/>
        <v>112.94371780613822</v>
      </c>
      <c r="R624">
        <f t="shared" si="390"/>
        <v>174.78760078847478</v>
      </c>
      <c r="S624">
        <f t="shared" si="390"/>
        <v>191.45988519611237</v>
      </c>
      <c r="T624">
        <f t="shared" si="390"/>
        <v>281.02472550577369</v>
      </c>
      <c r="U624">
        <f t="shared" si="390"/>
        <v>236.8677389312904</v>
      </c>
      <c r="V624">
        <f t="shared" si="390"/>
        <v>246.06574512961006</v>
      </c>
      <c r="W624">
        <f t="shared" si="390"/>
        <v>238.59459186557393</v>
      </c>
      <c r="Y624" s="6">
        <f t="shared" si="379"/>
        <v>4344.5562634226662</v>
      </c>
      <c r="Z624">
        <f t="shared" si="380"/>
        <v>-301.81990379806643</v>
      </c>
    </row>
    <row r="625" spans="1:26" x14ac:dyDescent="0.25">
      <c r="A625" t="s">
        <v>54</v>
      </c>
      <c r="D625">
        <f t="shared" ref="D625:W625" si="391">D49*D229</f>
        <v>311.79260245818256</v>
      </c>
      <c r="E625">
        <f t="shared" si="391"/>
        <v>339.43041153899151</v>
      </c>
      <c r="F625">
        <f t="shared" si="391"/>
        <v>316.63958655863314</v>
      </c>
      <c r="G625">
        <f t="shared" si="391"/>
        <v>193.04419975983248</v>
      </c>
      <c r="H625">
        <f t="shared" si="391"/>
        <v>169.39752084921452</v>
      </c>
      <c r="I625">
        <f t="shared" si="391"/>
        <v>200.45020581890375</v>
      </c>
      <c r="J625">
        <f t="shared" si="391"/>
        <v>127.07974415560831</v>
      </c>
      <c r="K625">
        <f t="shared" si="391"/>
        <v>185.48878911103398</v>
      </c>
      <c r="L625">
        <f t="shared" si="391"/>
        <v>237.61035488699594</v>
      </c>
      <c r="M625">
        <f t="shared" si="391"/>
        <v>273.27447413659797</v>
      </c>
      <c r="N625">
        <f t="shared" si="391"/>
        <v>271.32183070306297</v>
      </c>
      <c r="O625">
        <f t="shared" si="391"/>
        <v>265.76875763988716</v>
      </c>
      <c r="P625">
        <f t="shared" si="391"/>
        <v>293.0318032085043</v>
      </c>
      <c r="Q625">
        <f t="shared" si="391"/>
        <v>235.15614779226678</v>
      </c>
      <c r="R625">
        <f t="shared" si="391"/>
        <v>102.79776666112593</v>
      </c>
      <c r="S625">
        <f t="shared" si="391"/>
        <v>162.88926762368283</v>
      </c>
      <c r="T625">
        <f t="shared" si="391"/>
        <v>188.48691304125205</v>
      </c>
      <c r="U625">
        <f t="shared" si="391"/>
        <v>261.50854538622832</v>
      </c>
      <c r="V625">
        <f t="shared" si="391"/>
        <v>186.17939705100565</v>
      </c>
      <c r="W625">
        <f t="shared" si="391"/>
        <v>364.21344160828522</v>
      </c>
      <c r="Y625" s="6">
        <f t="shared" si="379"/>
        <v>4685.5617599892948</v>
      </c>
      <c r="Z625">
        <f t="shared" si="380"/>
        <v>-278.30616980379773</v>
      </c>
    </row>
    <row r="626" spans="1:26" x14ac:dyDescent="0.25">
      <c r="A626" t="s">
        <v>55</v>
      </c>
      <c r="D626">
        <f t="shared" ref="D626:W626" si="392">D50*D230</f>
        <v>444.16732663168688</v>
      </c>
      <c r="E626">
        <f t="shared" si="392"/>
        <v>470.80441241741067</v>
      </c>
      <c r="F626">
        <f t="shared" si="392"/>
        <v>258.63529610953452</v>
      </c>
      <c r="G626">
        <f t="shared" si="392"/>
        <v>341.15117499615292</v>
      </c>
      <c r="H626">
        <f t="shared" si="392"/>
        <v>254.1151655402544</v>
      </c>
      <c r="I626">
        <f t="shared" si="392"/>
        <v>273.8344936793589</v>
      </c>
      <c r="J626">
        <f t="shared" si="392"/>
        <v>183.23647276156436</v>
      </c>
      <c r="K626">
        <f t="shared" si="392"/>
        <v>154.0656418756956</v>
      </c>
      <c r="L626">
        <f t="shared" si="392"/>
        <v>169.6149804373934</v>
      </c>
      <c r="M626">
        <f t="shared" si="392"/>
        <v>213.63817515176743</v>
      </c>
      <c r="N626">
        <f t="shared" si="392"/>
        <v>224.13135128984891</v>
      </c>
      <c r="O626">
        <f t="shared" si="392"/>
        <v>79.293110020212794</v>
      </c>
      <c r="P626">
        <f t="shared" si="392"/>
        <v>128.41398346020253</v>
      </c>
      <c r="Q626">
        <f t="shared" si="392"/>
        <v>273.33987032349563</v>
      </c>
      <c r="R626">
        <f t="shared" si="392"/>
        <v>160.52113867649305</v>
      </c>
      <c r="S626">
        <f t="shared" si="392"/>
        <v>232.03157797009678</v>
      </c>
      <c r="T626">
        <f t="shared" si="392"/>
        <v>124.80131944525952</v>
      </c>
      <c r="U626">
        <f t="shared" si="392"/>
        <v>152.08820987139995</v>
      </c>
      <c r="V626">
        <f t="shared" si="392"/>
        <v>358.99654680093761</v>
      </c>
      <c r="W626">
        <f t="shared" si="392"/>
        <v>318.4854918397545</v>
      </c>
      <c r="Y626" s="6">
        <f t="shared" si="379"/>
        <v>4815.3657392985206</v>
      </c>
      <c r="Z626">
        <f t="shared" si="380"/>
        <v>-182.07174418600442</v>
      </c>
    </row>
    <row r="627" spans="1:26" x14ac:dyDescent="0.25">
      <c r="A627" t="s">
        <v>56</v>
      </c>
      <c r="D627">
        <f t="shared" ref="D627:W627" si="393">D51*D231</f>
        <v>520.96800409474565</v>
      </c>
      <c r="E627">
        <f t="shared" si="393"/>
        <v>330.17175340728932</v>
      </c>
      <c r="F627">
        <f t="shared" si="393"/>
        <v>320.30056847411907</v>
      </c>
      <c r="G627">
        <f t="shared" si="393"/>
        <v>307.76366571711634</v>
      </c>
      <c r="H627">
        <f t="shared" si="393"/>
        <v>208.81844018797716</v>
      </c>
      <c r="I627">
        <f t="shared" si="393"/>
        <v>280.03046501125527</v>
      </c>
      <c r="J627">
        <f t="shared" si="393"/>
        <v>247.96199926641822</v>
      </c>
      <c r="K627">
        <f t="shared" si="393"/>
        <v>285.43536449767225</v>
      </c>
      <c r="L627">
        <f t="shared" si="393"/>
        <v>198.37841383596015</v>
      </c>
      <c r="M627">
        <f t="shared" si="393"/>
        <v>196.76775122382477</v>
      </c>
      <c r="N627">
        <f t="shared" si="393"/>
        <v>136.68619174066086</v>
      </c>
      <c r="O627">
        <f t="shared" si="393"/>
        <v>252.55460742116011</v>
      </c>
      <c r="P627">
        <f t="shared" si="393"/>
        <v>231.34663765154883</v>
      </c>
      <c r="Q627">
        <f t="shared" si="393"/>
        <v>131.1171218414018</v>
      </c>
      <c r="R627">
        <f t="shared" si="393"/>
        <v>231.45024185280587</v>
      </c>
      <c r="S627">
        <f t="shared" si="393"/>
        <v>233.01474702574563</v>
      </c>
      <c r="T627">
        <f t="shared" si="393"/>
        <v>165.15791888444383</v>
      </c>
      <c r="U627">
        <f t="shared" si="393"/>
        <v>202.32895078926916</v>
      </c>
      <c r="V627">
        <f t="shared" si="393"/>
        <v>270.89356422927995</v>
      </c>
      <c r="W627">
        <f t="shared" si="393"/>
        <v>312.23260145877049</v>
      </c>
      <c r="Y627" s="6">
        <f t="shared" si="379"/>
        <v>5063.379008611465</v>
      </c>
      <c r="Z627">
        <f t="shared" si="380"/>
        <v>-188.21600958836891</v>
      </c>
    </row>
    <row r="628" spans="1:26" x14ac:dyDescent="0.25">
      <c r="A628" t="s">
        <v>57</v>
      </c>
      <c r="D628">
        <f t="shared" ref="D628:W628" si="394">D52*D232</f>
        <v>404.7259467935703</v>
      </c>
      <c r="E628">
        <f t="shared" si="394"/>
        <v>401.50374013836432</v>
      </c>
      <c r="F628">
        <f t="shared" si="394"/>
        <v>371.70265972383345</v>
      </c>
      <c r="G628">
        <f t="shared" si="394"/>
        <v>336.75555129926551</v>
      </c>
      <c r="H628">
        <f t="shared" si="394"/>
        <v>279.00936311028858</v>
      </c>
      <c r="I628">
        <f t="shared" si="394"/>
        <v>280.47066443357767</v>
      </c>
      <c r="J628">
        <f t="shared" si="394"/>
        <v>207.64481854361702</v>
      </c>
      <c r="K628">
        <f t="shared" si="394"/>
        <v>258.26196758234198</v>
      </c>
      <c r="L628">
        <f t="shared" si="394"/>
        <v>263.13937604340151</v>
      </c>
      <c r="M628">
        <f t="shared" si="394"/>
        <v>299.22219554459127</v>
      </c>
      <c r="N628">
        <f t="shared" si="394"/>
        <v>271.78672661388708</v>
      </c>
      <c r="O628">
        <f t="shared" si="394"/>
        <v>210.38870881549767</v>
      </c>
      <c r="P628">
        <f t="shared" si="394"/>
        <v>286.10148566941081</v>
      </c>
      <c r="Q628">
        <f t="shared" si="394"/>
        <v>270.27901032784104</v>
      </c>
      <c r="R628">
        <f t="shared" si="394"/>
        <v>193.83837107224431</v>
      </c>
      <c r="S628">
        <f t="shared" si="394"/>
        <v>179.92961233940548</v>
      </c>
      <c r="T628">
        <f t="shared" si="394"/>
        <v>229.17033905593547</v>
      </c>
      <c r="U628">
        <f t="shared" si="394"/>
        <v>412.37070950410555</v>
      </c>
      <c r="V628">
        <f t="shared" si="394"/>
        <v>258.24656898354561</v>
      </c>
      <c r="W628">
        <f t="shared" si="394"/>
        <v>278.67905828688492</v>
      </c>
      <c r="Y628" s="6">
        <f t="shared" si="379"/>
        <v>5693.2268738816092</v>
      </c>
      <c r="Z628">
        <f t="shared" si="380"/>
        <v>-307.27638317009206</v>
      </c>
    </row>
    <row r="629" spans="1:26" x14ac:dyDescent="0.25">
      <c r="A629" t="s">
        <v>58</v>
      </c>
      <c r="D629">
        <f t="shared" ref="D629:W629" si="395">D53*D233</f>
        <v>213.80074591055427</v>
      </c>
      <c r="E629">
        <f t="shared" si="395"/>
        <v>277.04231806603906</v>
      </c>
      <c r="F629">
        <f t="shared" si="395"/>
        <v>455.97288077359121</v>
      </c>
      <c r="G629">
        <f t="shared" si="395"/>
        <v>608.77134335910171</v>
      </c>
      <c r="H629">
        <f t="shared" si="395"/>
        <v>201.56387977730088</v>
      </c>
      <c r="I629">
        <f t="shared" si="395"/>
        <v>145.10233479544286</v>
      </c>
      <c r="J629">
        <f t="shared" si="395"/>
        <v>190.67543557557582</v>
      </c>
      <c r="K629">
        <f t="shared" si="395"/>
        <v>234.66457974596568</v>
      </c>
      <c r="L629">
        <f t="shared" si="395"/>
        <v>231.75875995176622</v>
      </c>
      <c r="M629">
        <f t="shared" si="395"/>
        <v>157.71372267945554</v>
      </c>
      <c r="N629">
        <f t="shared" si="395"/>
        <v>135.37520893328423</v>
      </c>
      <c r="O629">
        <f t="shared" si="395"/>
        <v>247.84638192363789</v>
      </c>
      <c r="P629">
        <f t="shared" si="395"/>
        <v>135.45270152267128</v>
      </c>
      <c r="Q629">
        <f t="shared" si="395"/>
        <v>143.5138559554747</v>
      </c>
      <c r="R629">
        <f t="shared" si="395"/>
        <v>148.42571240720795</v>
      </c>
      <c r="S629">
        <f t="shared" si="395"/>
        <v>196.80177257710173</v>
      </c>
      <c r="T629">
        <f t="shared" si="395"/>
        <v>280.41793144751801</v>
      </c>
      <c r="U629">
        <f t="shared" si="395"/>
        <v>124.83538625748805</v>
      </c>
      <c r="V629">
        <f t="shared" si="395"/>
        <v>138.78970262716879</v>
      </c>
      <c r="W629">
        <f t="shared" si="395"/>
        <v>326.9387859617994</v>
      </c>
      <c r="Y629" s="6">
        <f t="shared" si="379"/>
        <v>4595.4634402481452</v>
      </c>
      <c r="Z629">
        <f t="shared" si="380"/>
        <v>-226.3737853947988</v>
      </c>
    </row>
    <row r="630" spans="1:26" x14ac:dyDescent="0.25">
      <c r="A630" t="s">
        <v>59</v>
      </c>
      <c r="D630">
        <f t="shared" ref="D630:W630" si="396">D54*D234</f>
        <v>356.6915553627378</v>
      </c>
      <c r="E630">
        <f t="shared" si="396"/>
        <v>188.27806930053515</v>
      </c>
      <c r="F630">
        <f t="shared" si="396"/>
        <v>216.98641955498974</v>
      </c>
      <c r="G630">
        <f t="shared" si="396"/>
        <v>288.21742864727861</v>
      </c>
      <c r="H630">
        <f t="shared" si="396"/>
        <v>158.10806645395371</v>
      </c>
      <c r="I630">
        <f t="shared" si="396"/>
        <v>217.99671891502086</v>
      </c>
      <c r="J630">
        <f t="shared" si="396"/>
        <v>244.97885166197281</v>
      </c>
      <c r="K630">
        <f t="shared" si="396"/>
        <v>188.28496750291842</v>
      </c>
      <c r="L630">
        <f t="shared" si="396"/>
        <v>116.65208678220974</v>
      </c>
      <c r="M630">
        <f t="shared" si="396"/>
        <v>193.72177473286317</v>
      </c>
      <c r="N630">
        <f t="shared" si="396"/>
        <v>261.93539915577247</v>
      </c>
      <c r="O630">
        <f t="shared" si="396"/>
        <v>170.88479502312362</v>
      </c>
      <c r="P630">
        <f t="shared" si="396"/>
        <v>164.72768507220118</v>
      </c>
      <c r="Q630">
        <f t="shared" si="396"/>
        <v>119.47335708873999</v>
      </c>
      <c r="R630">
        <f t="shared" si="396"/>
        <v>129.36328796317463</v>
      </c>
      <c r="S630">
        <f t="shared" si="396"/>
        <v>256.15069176705214</v>
      </c>
      <c r="T630">
        <f t="shared" si="396"/>
        <v>212.87469248565978</v>
      </c>
      <c r="U630">
        <f t="shared" si="396"/>
        <v>233.93046173930941</v>
      </c>
      <c r="V630">
        <f t="shared" si="396"/>
        <v>299.44114400105451</v>
      </c>
      <c r="W630">
        <f t="shared" si="396"/>
        <v>354.92205152651673</v>
      </c>
      <c r="Y630" s="6">
        <f t="shared" si="379"/>
        <v>4373.6195047370848</v>
      </c>
      <c r="Z630">
        <f t="shared" si="380"/>
        <v>-272.70933355578052</v>
      </c>
    </row>
    <row r="631" spans="1:26" x14ac:dyDescent="0.25">
      <c r="A631" t="s">
        <v>60</v>
      </c>
      <c r="D631">
        <f t="shared" ref="D631:W631" si="397">D55*D235</f>
        <v>297.92291402376321</v>
      </c>
      <c r="E631">
        <f t="shared" si="397"/>
        <v>263.40585130986187</v>
      </c>
      <c r="F631">
        <f t="shared" si="397"/>
        <v>241.90301370398853</v>
      </c>
      <c r="G631">
        <f t="shared" si="397"/>
        <v>292.93604351336899</v>
      </c>
      <c r="H631">
        <f t="shared" si="397"/>
        <v>198.38715071919296</v>
      </c>
      <c r="I631">
        <f t="shared" si="397"/>
        <v>234.91886598985451</v>
      </c>
      <c r="J631">
        <f t="shared" si="397"/>
        <v>206.78675411866294</v>
      </c>
      <c r="K631">
        <f t="shared" si="397"/>
        <v>276.48221793656342</v>
      </c>
      <c r="L631">
        <f t="shared" si="397"/>
        <v>199.30856643730655</v>
      </c>
      <c r="M631">
        <f t="shared" si="397"/>
        <v>169.41116908685279</v>
      </c>
      <c r="N631">
        <f t="shared" si="397"/>
        <v>192.97087084591089</v>
      </c>
      <c r="O631">
        <f t="shared" si="397"/>
        <v>154.54784537996696</v>
      </c>
      <c r="P631">
        <f t="shared" si="397"/>
        <v>241.20406638805898</v>
      </c>
      <c r="Q631">
        <f t="shared" si="397"/>
        <v>219.8553079493449</v>
      </c>
      <c r="R631">
        <f t="shared" si="397"/>
        <v>183.21144973629205</v>
      </c>
      <c r="S631">
        <f t="shared" si="397"/>
        <v>220.97773326262106</v>
      </c>
      <c r="T631">
        <f t="shared" si="397"/>
        <v>238.99341693898083</v>
      </c>
      <c r="U631">
        <f t="shared" si="397"/>
        <v>285.01979189062939</v>
      </c>
      <c r="V631">
        <f t="shared" si="397"/>
        <v>98.889447810501821</v>
      </c>
      <c r="W631">
        <f t="shared" si="397"/>
        <v>199.09577027519362</v>
      </c>
      <c r="Y631" s="6">
        <f t="shared" si="379"/>
        <v>4416.2282473169162</v>
      </c>
      <c r="Z631">
        <f t="shared" si="380"/>
        <v>-243.39251181029547</v>
      </c>
    </row>
    <row r="632" spans="1:26" x14ac:dyDescent="0.25">
      <c r="A632" t="s">
        <v>61</v>
      </c>
      <c r="D632">
        <f t="shared" ref="D632:W632" si="398">D56*D236</f>
        <v>386.26822260306824</v>
      </c>
      <c r="E632">
        <f t="shared" si="398"/>
        <v>404.92470753898903</v>
      </c>
      <c r="F632">
        <f t="shared" si="398"/>
        <v>316.27138057569056</v>
      </c>
      <c r="G632">
        <f t="shared" si="398"/>
        <v>221.972692950528</v>
      </c>
      <c r="H632">
        <f t="shared" si="398"/>
        <v>234.33992930214825</v>
      </c>
      <c r="I632">
        <f t="shared" si="398"/>
        <v>242.2977960065586</v>
      </c>
      <c r="J632">
        <f t="shared" si="398"/>
        <v>224.89331962512912</v>
      </c>
      <c r="K632">
        <f t="shared" si="398"/>
        <v>165.0089970373337</v>
      </c>
      <c r="L632">
        <f t="shared" si="398"/>
        <v>122.92518216894101</v>
      </c>
      <c r="M632">
        <f t="shared" si="398"/>
        <v>214.42143621630777</v>
      </c>
      <c r="N632">
        <f t="shared" si="398"/>
        <v>268.68976256435735</v>
      </c>
      <c r="O632">
        <f t="shared" si="398"/>
        <v>316.48972666809021</v>
      </c>
      <c r="P632">
        <f t="shared" si="398"/>
        <v>186.45608451622451</v>
      </c>
      <c r="Q632">
        <f t="shared" si="398"/>
        <v>117.32039860209066</v>
      </c>
      <c r="R632">
        <f t="shared" si="398"/>
        <v>182.23391851475219</v>
      </c>
      <c r="S632">
        <f t="shared" si="398"/>
        <v>339.65556791791647</v>
      </c>
      <c r="T632">
        <f t="shared" si="398"/>
        <v>244.91816758117147</v>
      </c>
      <c r="U632">
        <f t="shared" si="398"/>
        <v>228.47446380939911</v>
      </c>
      <c r="V632">
        <f t="shared" si="398"/>
        <v>263.57005969178562</v>
      </c>
      <c r="W632">
        <f t="shared" si="398"/>
        <v>381.15220351215856</v>
      </c>
      <c r="Y632" s="6">
        <f t="shared" si="379"/>
        <v>5062.2840174026405</v>
      </c>
      <c r="Z632">
        <f t="shared" si="380"/>
        <v>-233.49702659667398</v>
      </c>
    </row>
    <row r="633" spans="1:26" x14ac:dyDescent="0.25">
      <c r="A633" t="s">
        <v>62</v>
      </c>
      <c r="D633">
        <f t="shared" ref="D633:W633" si="399">D57*D237</f>
        <v>276.00571522127825</v>
      </c>
      <c r="E633">
        <f t="shared" si="399"/>
        <v>249.15809130103654</v>
      </c>
      <c r="F633">
        <f t="shared" si="399"/>
        <v>291.9465712366042</v>
      </c>
      <c r="G633">
        <f t="shared" si="399"/>
        <v>279.32621651925535</v>
      </c>
      <c r="H633">
        <f t="shared" si="399"/>
        <v>258.48269810428781</v>
      </c>
      <c r="I633">
        <f t="shared" si="399"/>
        <v>260.75751323319571</v>
      </c>
      <c r="J633">
        <f t="shared" si="399"/>
        <v>237.12607604732227</v>
      </c>
      <c r="K633">
        <f t="shared" si="399"/>
        <v>224.57764209257749</v>
      </c>
      <c r="L633">
        <f t="shared" si="399"/>
        <v>234.12522957531587</v>
      </c>
      <c r="M633">
        <f t="shared" si="399"/>
        <v>136.65434432480521</v>
      </c>
      <c r="N633">
        <f t="shared" si="399"/>
        <v>168.09737954443909</v>
      </c>
      <c r="O633">
        <f t="shared" si="399"/>
        <v>150.29901980087936</v>
      </c>
      <c r="P633">
        <f t="shared" si="399"/>
        <v>141.21663080877238</v>
      </c>
      <c r="Q633">
        <f t="shared" si="399"/>
        <v>166.07687245886243</v>
      </c>
      <c r="R633">
        <f t="shared" si="399"/>
        <v>319.76495538493003</v>
      </c>
      <c r="S633">
        <f t="shared" si="399"/>
        <v>277.92189329215955</v>
      </c>
      <c r="T633">
        <f t="shared" si="399"/>
        <v>47.315893278211249</v>
      </c>
      <c r="U633">
        <f t="shared" si="399"/>
        <v>284.81840197939965</v>
      </c>
      <c r="V633">
        <f t="shared" si="399"/>
        <v>248.25099270397055</v>
      </c>
      <c r="W633">
        <f t="shared" si="399"/>
        <v>256.38630284985965</v>
      </c>
      <c r="Y633" s="6">
        <f t="shared" si="379"/>
        <v>4508.3084397571638</v>
      </c>
      <c r="Z633">
        <f t="shared" si="380"/>
        <v>-235.04687363463543</v>
      </c>
    </row>
    <row r="634" spans="1:26" x14ac:dyDescent="0.25">
      <c r="A634" t="s">
        <v>63</v>
      </c>
      <c r="D634">
        <f t="shared" ref="D634:W634" si="400">D58*D238</f>
        <v>289.21553225896417</v>
      </c>
      <c r="E634">
        <f t="shared" si="400"/>
        <v>269.67341192884686</v>
      </c>
      <c r="F634">
        <f t="shared" si="400"/>
        <v>293.62833180845786</v>
      </c>
      <c r="G634">
        <f t="shared" si="400"/>
        <v>273.64890051107113</v>
      </c>
      <c r="H634">
        <f t="shared" si="400"/>
        <v>276.13831395693563</v>
      </c>
      <c r="I634">
        <f t="shared" si="400"/>
        <v>227.44461118355417</v>
      </c>
      <c r="J634">
        <f t="shared" si="400"/>
        <v>211.77361173860265</v>
      </c>
      <c r="K634">
        <f t="shared" si="400"/>
        <v>173.91724950047956</v>
      </c>
      <c r="L634">
        <f t="shared" si="400"/>
        <v>223.0829703876887</v>
      </c>
      <c r="M634">
        <f t="shared" si="400"/>
        <v>142.77770586689499</v>
      </c>
      <c r="N634">
        <f t="shared" si="400"/>
        <v>94.815475819053731</v>
      </c>
      <c r="O634">
        <f t="shared" si="400"/>
        <v>167.00992420970763</v>
      </c>
      <c r="P634">
        <f t="shared" si="400"/>
        <v>73.886524548831417</v>
      </c>
      <c r="Q634">
        <f t="shared" si="400"/>
        <v>133.3502561334995</v>
      </c>
      <c r="R634">
        <f t="shared" si="400"/>
        <v>236.06682589446433</v>
      </c>
      <c r="S634">
        <f t="shared" si="400"/>
        <v>324.52719942339542</v>
      </c>
      <c r="T634">
        <f t="shared" si="400"/>
        <v>293.33626630805816</v>
      </c>
      <c r="U634">
        <f t="shared" si="400"/>
        <v>217.39410221367334</v>
      </c>
      <c r="V634">
        <f t="shared" si="400"/>
        <v>324.04549669379827</v>
      </c>
      <c r="W634">
        <f t="shared" si="400"/>
        <v>326.06985051169693</v>
      </c>
      <c r="Y634" s="6">
        <f t="shared" si="379"/>
        <v>4571.8025608976741</v>
      </c>
      <c r="Z634">
        <f t="shared" si="380"/>
        <v>-223.01102642460489</v>
      </c>
    </row>
    <row r="635" spans="1:26" x14ac:dyDescent="0.25">
      <c r="A635" t="s">
        <v>64</v>
      </c>
      <c r="D635">
        <f t="shared" ref="D635:W635" si="401">D59*D239</f>
        <v>356.87081936039914</v>
      </c>
      <c r="E635">
        <f t="shared" si="401"/>
        <v>352.56258319797058</v>
      </c>
      <c r="F635">
        <f t="shared" si="401"/>
        <v>326.40048990081198</v>
      </c>
      <c r="G635">
        <f t="shared" si="401"/>
        <v>238.78535033951269</v>
      </c>
      <c r="H635">
        <f t="shared" si="401"/>
        <v>215.05221942979134</v>
      </c>
      <c r="I635">
        <f t="shared" si="401"/>
        <v>259.17656319889261</v>
      </c>
      <c r="J635">
        <f t="shared" si="401"/>
        <v>204.18510143493324</v>
      </c>
      <c r="K635">
        <f t="shared" si="401"/>
        <v>251.49861102993808</v>
      </c>
      <c r="L635">
        <f t="shared" si="401"/>
        <v>259.98262425227324</v>
      </c>
      <c r="M635">
        <f t="shared" si="401"/>
        <v>201.65264842784302</v>
      </c>
      <c r="N635">
        <f t="shared" si="401"/>
        <v>145.22280387989585</v>
      </c>
      <c r="O635">
        <f t="shared" si="401"/>
        <v>206.02686555550119</v>
      </c>
      <c r="P635">
        <f t="shared" si="401"/>
        <v>184.62503710670237</v>
      </c>
      <c r="Q635">
        <f t="shared" si="401"/>
        <v>352.10832862915663</v>
      </c>
      <c r="R635">
        <f t="shared" si="401"/>
        <v>336.30664695925822</v>
      </c>
      <c r="S635">
        <f t="shared" si="401"/>
        <v>214.31249155833916</v>
      </c>
      <c r="T635">
        <f t="shared" si="401"/>
        <v>285.023833334198</v>
      </c>
      <c r="U635">
        <f t="shared" si="401"/>
        <v>225.45070089401906</v>
      </c>
      <c r="V635">
        <f t="shared" si="401"/>
        <v>249.74391265100039</v>
      </c>
      <c r="W635">
        <f t="shared" si="401"/>
        <v>271.46272605868842</v>
      </c>
      <c r="Y635" s="6">
        <f t="shared" si="379"/>
        <v>5136.4503571991245</v>
      </c>
      <c r="Z635">
        <f t="shared" si="380"/>
        <v>-271.7855753497883</v>
      </c>
    </row>
    <row r="636" spans="1:26" x14ac:dyDescent="0.25">
      <c r="A636" t="s">
        <v>65</v>
      </c>
      <c r="D636">
        <f t="shared" ref="D636:W636" si="402">D60*D240</f>
        <v>383.02691804246911</v>
      </c>
      <c r="E636">
        <f t="shared" si="402"/>
        <v>325.42028909379803</v>
      </c>
      <c r="F636">
        <f t="shared" si="402"/>
        <v>234.04943594151655</v>
      </c>
      <c r="G636">
        <f t="shared" si="402"/>
        <v>180.03047822020756</v>
      </c>
      <c r="H636">
        <f t="shared" si="402"/>
        <v>290.28463406324789</v>
      </c>
      <c r="I636">
        <f t="shared" si="402"/>
        <v>238.83112080166444</v>
      </c>
      <c r="J636">
        <f t="shared" si="402"/>
        <v>147.05976287113643</v>
      </c>
      <c r="K636">
        <f t="shared" si="402"/>
        <v>189.27961126038051</v>
      </c>
      <c r="L636">
        <f t="shared" si="402"/>
        <v>185.91778025920777</v>
      </c>
      <c r="M636">
        <f t="shared" si="402"/>
        <v>207.66665437944366</v>
      </c>
      <c r="N636">
        <f t="shared" si="402"/>
        <v>155.41327308334033</v>
      </c>
      <c r="O636">
        <f t="shared" si="402"/>
        <v>137.97951569442077</v>
      </c>
      <c r="P636">
        <f t="shared" si="402"/>
        <v>96.500939825997563</v>
      </c>
      <c r="Q636">
        <f t="shared" si="402"/>
        <v>119.36532237481867</v>
      </c>
      <c r="R636">
        <f t="shared" si="402"/>
        <v>33.213722859673162</v>
      </c>
      <c r="S636">
        <f t="shared" si="402"/>
        <v>104.40457548841647</v>
      </c>
      <c r="T636">
        <f t="shared" si="402"/>
        <v>155.63596826121176</v>
      </c>
      <c r="U636">
        <f t="shared" si="402"/>
        <v>143.986170187987</v>
      </c>
      <c r="V636">
        <f t="shared" si="402"/>
        <v>187.30437438117536</v>
      </c>
      <c r="W636">
        <f t="shared" si="402"/>
        <v>216.31586825704832</v>
      </c>
      <c r="Y636" s="6">
        <f t="shared" si="379"/>
        <v>3731.6864153471611</v>
      </c>
      <c r="Z636">
        <f t="shared" si="380"/>
        <v>-119.20219703138103</v>
      </c>
    </row>
    <row r="637" spans="1:26" x14ac:dyDescent="0.25">
      <c r="A637" t="s">
        <v>66</v>
      </c>
      <c r="D637">
        <f t="shared" ref="D637:W637" si="403">D61*D241</f>
        <v>342.36035184747732</v>
      </c>
      <c r="E637">
        <f t="shared" si="403"/>
        <v>308.1483012488257</v>
      </c>
      <c r="F637">
        <f t="shared" si="403"/>
        <v>267.08897263868272</v>
      </c>
      <c r="G637">
        <f t="shared" si="403"/>
        <v>177.11360197094865</v>
      </c>
      <c r="H637">
        <f t="shared" si="403"/>
        <v>302.24372127708057</v>
      </c>
      <c r="I637">
        <f t="shared" si="403"/>
        <v>424.39793919123474</v>
      </c>
      <c r="J637">
        <f t="shared" si="403"/>
        <v>316.79736348984187</v>
      </c>
      <c r="K637">
        <f t="shared" si="403"/>
        <v>324.34050436533761</v>
      </c>
      <c r="L637">
        <f t="shared" si="403"/>
        <v>226.482309221907</v>
      </c>
      <c r="M637">
        <f t="shared" si="403"/>
        <v>144.2508795620825</v>
      </c>
      <c r="N637">
        <f t="shared" si="403"/>
        <v>207.30666558115681</v>
      </c>
      <c r="O637">
        <f t="shared" si="403"/>
        <v>302.09143762598529</v>
      </c>
      <c r="P637">
        <f t="shared" si="403"/>
        <v>210.8321793736466</v>
      </c>
      <c r="Q637">
        <f t="shared" si="403"/>
        <v>163.03294692325724</v>
      </c>
      <c r="R637">
        <f t="shared" si="403"/>
        <v>188.9016684471521</v>
      </c>
      <c r="S637">
        <f t="shared" si="403"/>
        <v>204.72273867707821</v>
      </c>
      <c r="T637">
        <f t="shared" si="403"/>
        <v>206.27828610976238</v>
      </c>
      <c r="U637">
        <f t="shared" si="403"/>
        <v>258.93560149683884</v>
      </c>
      <c r="V637">
        <f t="shared" si="403"/>
        <v>198.71059605569775</v>
      </c>
      <c r="W637">
        <f t="shared" si="403"/>
        <v>134.79774051574796</v>
      </c>
      <c r="Y637" s="6">
        <f t="shared" si="379"/>
        <v>4908.8338056197408</v>
      </c>
      <c r="Z637">
        <f t="shared" si="380"/>
        <v>-282.10048495451622</v>
      </c>
    </row>
    <row r="638" spans="1:26" x14ac:dyDescent="0.25">
      <c r="A638" t="s">
        <v>67</v>
      </c>
      <c r="D638">
        <f t="shared" ref="D638:W638" si="404">D62*D242</f>
        <v>294.83005208864751</v>
      </c>
      <c r="E638">
        <f t="shared" si="404"/>
        <v>325.97954619092775</v>
      </c>
      <c r="F638">
        <f t="shared" si="404"/>
        <v>362.49596697992183</v>
      </c>
      <c r="G638">
        <f t="shared" si="404"/>
        <v>238.9989544476482</v>
      </c>
      <c r="H638">
        <f t="shared" si="404"/>
        <v>302.62450504592999</v>
      </c>
      <c r="I638">
        <f t="shared" si="404"/>
        <v>295.57455048479517</v>
      </c>
      <c r="J638">
        <f t="shared" si="404"/>
        <v>332.62923682336822</v>
      </c>
      <c r="K638">
        <f t="shared" si="404"/>
        <v>334.13004451573272</v>
      </c>
      <c r="L638">
        <f t="shared" si="404"/>
        <v>194.51133572791701</v>
      </c>
      <c r="M638">
        <f t="shared" si="404"/>
        <v>189.90448754694</v>
      </c>
      <c r="N638">
        <f t="shared" si="404"/>
        <v>192.05422621660543</v>
      </c>
      <c r="O638">
        <f t="shared" si="404"/>
        <v>204.45970736729498</v>
      </c>
      <c r="P638">
        <f t="shared" si="404"/>
        <v>184.49649312582213</v>
      </c>
      <c r="Q638">
        <f t="shared" si="404"/>
        <v>183.27851881026882</v>
      </c>
      <c r="R638">
        <f t="shared" si="404"/>
        <v>182.3705977719344</v>
      </c>
      <c r="S638">
        <f t="shared" si="404"/>
        <v>224.99986745541707</v>
      </c>
      <c r="T638">
        <f t="shared" si="404"/>
        <v>208.91672599125761</v>
      </c>
      <c r="U638">
        <f t="shared" si="404"/>
        <v>235.86690970353268</v>
      </c>
      <c r="V638">
        <f t="shared" si="404"/>
        <v>262.09364839863019</v>
      </c>
      <c r="W638">
        <f t="shared" si="404"/>
        <v>237.33506912342602</v>
      </c>
      <c r="Y638" s="6">
        <f t="shared" si="379"/>
        <v>4987.5504438160169</v>
      </c>
      <c r="Z638">
        <f t="shared" si="380"/>
        <v>-292.79748885261654</v>
      </c>
    </row>
    <row r="639" spans="1:26" x14ac:dyDescent="0.25">
      <c r="A639" t="s">
        <v>68</v>
      </c>
      <c r="D639">
        <f t="shared" ref="D639:W639" si="405">D63*D243</f>
        <v>447.96029681722308</v>
      </c>
      <c r="E639">
        <f t="shared" si="405"/>
        <v>547.95274617094708</v>
      </c>
      <c r="F639">
        <f t="shared" si="405"/>
        <v>605.97332654746322</v>
      </c>
      <c r="G639">
        <f t="shared" si="405"/>
        <v>437.89437185404614</v>
      </c>
      <c r="H639">
        <f t="shared" si="405"/>
        <v>403.74300207349313</v>
      </c>
      <c r="I639">
        <f t="shared" si="405"/>
        <v>320.0185319797892</v>
      </c>
      <c r="J639">
        <f t="shared" si="405"/>
        <v>268.83438170513642</v>
      </c>
      <c r="K639">
        <f t="shared" si="405"/>
        <v>339.20796718744509</v>
      </c>
      <c r="L639">
        <f t="shared" si="405"/>
        <v>339.27503803523371</v>
      </c>
      <c r="M639">
        <f t="shared" si="405"/>
        <v>161.3152577784324</v>
      </c>
      <c r="N639">
        <f t="shared" si="405"/>
        <v>200.12306598853468</v>
      </c>
      <c r="O639">
        <f t="shared" si="405"/>
        <v>229.82409291165987</v>
      </c>
      <c r="P639">
        <f t="shared" si="405"/>
        <v>189.74773288537</v>
      </c>
      <c r="Q639">
        <f t="shared" si="405"/>
        <v>249.13230469755928</v>
      </c>
      <c r="R639">
        <f t="shared" si="405"/>
        <v>312.47271287138784</v>
      </c>
      <c r="S639">
        <f t="shared" si="405"/>
        <v>297.90528882815192</v>
      </c>
      <c r="T639">
        <f t="shared" si="405"/>
        <v>259.17108838462093</v>
      </c>
      <c r="U639">
        <f t="shared" si="405"/>
        <v>294.71512629858057</v>
      </c>
      <c r="V639">
        <f t="shared" si="405"/>
        <v>233.36020336773365</v>
      </c>
      <c r="W639">
        <f t="shared" si="405"/>
        <v>221.23273455552956</v>
      </c>
      <c r="Y639" s="6">
        <f t="shared" si="379"/>
        <v>6359.8592709383374</v>
      </c>
      <c r="Z639">
        <f t="shared" si="380"/>
        <v>-218.30356790691926</v>
      </c>
    </row>
    <row r="640" spans="1:26" x14ac:dyDescent="0.25">
      <c r="A640" t="s">
        <v>69</v>
      </c>
      <c r="D640">
        <f t="shared" ref="D640:W640" si="406">D64*D244</f>
        <v>356.84737502343836</v>
      </c>
      <c r="E640">
        <f t="shared" si="406"/>
        <v>362.12300280846296</v>
      </c>
      <c r="F640">
        <f t="shared" si="406"/>
        <v>310.06462192396555</v>
      </c>
      <c r="G640">
        <f t="shared" si="406"/>
        <v>305.53007736399064</v>
      </c>
      <c r="H640">
        <f t="shared" si="406"/>
        <v>278.47794371225916</v>
      </c>
      <c r="I640">
        <f t="shared" si="406"/>
        <v>343.60010394326008</v>
      </c>
      <c r="J640">
        <f t="shared" si="406"/>
        <v>142.109011633021</v>
      </c>
      <c r="K640">
        <f t="shared" si="406"/>
        <v>185.36585239054142</v>
      </c>
      <c r="L640">
        <f t="shared" si="406"/>
        <v>156.81269978530221</v>
      </c>
      <c r="M640">
        <f t="shared" si="406"/>
        <v>209.28034946338997</v>
      </c>
      <c r="N640">
        <f t="shared" si="406"/>
        <v>197.67795460490993</v>
      </c>
      <c r="O640">
        <f t="shared" si="406"/>
        <v>192.1701049101396</v>
      </c>
      <c r="P640">
        <f t="shared" si="406"/>
        <v>193.66636596599787</v>
      </c>
      <c r="Q640">
        <f t="shared" si="406"/>
        <v>126.79488937959552</v>
      </c>
      <c r="R640">
        <f t="shared" si="406"/>
        <v>114.50837253793162</v>
      </c>
      <c r="S640">
        <f t="shared" si="406"/>
        <v>141.3505326054435</v>
      </c>
      <c r="T640">
        <f t="shared" si="406"/>
        <v>169.27015403282766</v>
      </c>
      <c r="U640">
        <f t="shared" si="406"/>
        <v>224.57130111711476</v>
      </c>
      <c r="V640">
        <f t="shared" si="406"/>
        <v>156.98977659606183</v>
      </c>
      <c r="W640">
        <f t="shared" si="406"/>
        <v>208.83579369270697</v>
      </c>
      <c r="Y640" s="6">
        <f t="shared" si="379"/>
        <v>4376.046283490361</v>
      </c>
      <c r="Z640">
        <f t="shared" si="380"/>
        <v>-146.50874363156441</v>
      </c>
    </row>
    <row r="641" spans="1:26" x14ac:dyDescent="0.25">
      <c r="Y641" s="6"/>
    </row>
    <row r="642" spans="1:26" x14ac:dyDescent="0.25">
      <c r="A642" t="s">
        <v>70</v>
      </c>
      <c r="D642">
        <f t="shared" ref="D642:W642" si="407">D66*D246</f>
        <v>270.91064198772057</v>
      </c>
      <c r="E642">
        <f t="shared" si="407"/>
        <v>269.98543682173909</v>
      </c>
      <c r="F642">
        <f t="shared" si="407"/>
        <v>265.06525555220674</v>
      </c>
      <c r="G642">
        <f t="shared" si="407"/>
        <v>228.54698614074545</v>
      </c>
      <c r="H642">
        <f t="shared" si="407"/>
        <v>244.34840664291704</v>
      </c>
      <c r="I642">
        <f t="shared" si="407"/>
        <v>301.10569285869354</v>
      </c>
      <c r="J642">
        <f t="shared" si="407"/>
        <v>244.20023310619123</v>
      </c>
      <c r="K642">
        <f t="shared" si="407"/>
        <v>238.52369146370518</v>
      </c>
      <c r="L642">
        <f t="shared" si="407"/>
        <v>188.88113493848621</v>
      </c>
      <c r="M642">
        <f t="shared" si="407"/>
        <v>169.63204356250546</v>
      </c>
      <c r="N642">
        <f t="shared" si="407"/>
        <v>153.91360174233682</v>
      </c>
      <c r="O642">
        <f t="shared" si="407"/>
        <v>196.88607418134768</v>
      </c>
      <c r="P642">
        <f t="shared" si="407"/>
        <v>157.9870029770936</v>
      </c>
      <c r="Q642">
        <f t="shared" si="407"/>
        <v>185.73669510940266</v>
      </c>
      <c r="R642">
        <f t="shared" si="407"/>
        <v>206.85630849104291</v>
      </c>
      <c r="S642">
        <f t="shared" si="407"/>
        <v>222.58180042381642</v>
      </c>
      <c r="T642">
        <f t="shared" si="407"/>
        <v>199.20190235297443</v>
      </c>
      <c r="U642">
        <f t="shared" si="407"/>
        <v>236.35240623910897</v>
      </c>
      <c r="V642">
        <f t="shared" si="407"/>
        <v>232.82451986862685</v>
      </c>
      <c r="W642">
        <f t="shared" si="407"/>
        <v>236.44410463700081</v>
      </c>
      <c r="Y642" s="6">
        <f t="shared" si="379"/>
        <v>4449.9839390976622</v>
      </c>
      <c r="Z642">
        <f>SUMPRODUCT($D$646:$W$646,D642:W642)</f>
        <v>-251.83212434925719</v>
      </c>
    </row>
    <row r="643" spans="1:26" x14ac:dyDescent="0.25">
      <c r="A643" t="s">
        <v>313</v>
      </c>
      <c r="D643">
        <f t="shared" ref="D643:W643" si="408">D67*D247</f>
        <v>392.71633686794769</v>
      </c>
      <c r="E643">
        <f t="shared" si="408"/>
        <v>377.03457656061499</v>
      </c>
      <c r="F643">
        <f t="shared" si="408"/>
        <v>296.18074579989423</v>
      </c>
      <c r="G643">
        <f t="shared" si="408"/>
        <v>327.58139401963086</v>
      </c>
      <c r="H643">
        <f t="shared" si="408"/>
        <v>366.3488699468366</v>
      </c>
      <c r="I643">
        <f t="shared" si="408"/>
        <v>308.72612163488594</v>
      </c>
      <c r="J643">
        <f t="shared" si="408"/>
        <v>266.97817458285959</v>
      </c>
      <c r="K643">
        <f t="shared" si="408"/>
        <v>110.28677113126224</v>
      </c>
      <c r="L643">
        <f t="shared" si="408"/>
        <v>198.37841383596015</v>
      </c>
      <c r="M643">
        <f t="shared" si="408"/>
        <v>196.76775122382477</v>
      </c>
      <c r="N643">
        <f t="shared" si="408"/>
        <v>136.68619174066086</v>
      </c>
      <c r="O643">
        <f t="shared" si="408"/>
        <v>252.55460742116011</v>
      </c>
      <c r="P643">
        <f t="shared" si="408"/>
        <v>360.31</v>
      </c>
      <c r="Q643">
        <f t="shared" si="408"/>
        <v>510</v>
      </c>
      <c r="R643">
        <f t="shared" si="408"/>
        <v>350.88</v>
      </c>
      <c r="S643">
        <f t="shared" si="408"/>
        <v>111.69</v>
      </c>
      <c r="T643">
        <f t="shared" si="408"/>
        <v>217.44</v>
      </c>
      <c r="U643">
        <f t="shared" si="408"/>
        <v>260.01</v>
      </c>
      <c r="V643">
        <f t="shared" si="408"/>
        <v>243.81</v>
      </c>
      <c r="W643">
        <f t="shared" si="408"/>
        <v>267.3</v>
      </c>
      <c r="Y643" s="6">
        <f t="shared" si="379"/>
        <v>5551.6799547655382</v>
      </c>
      <c r="Z643">
        <f>SUMPRODUCT($D$646:$W$646,D643:W643)</f>
        <v>-325.76119540659164</v>
      </c>
    </row>
    <row r="644" spans="1:26" x14ac:dyDescent="0.25">
      <c r="A644" t="s">
        <v>314</v>
      </c>
      <c r="D644">
        <f t="shared" ref="D644:W644" si="409">D68*D248</f>
        <v>400.52388119704665</v>
      </c>
      <c r="E644">
        <f t="shared" si="409"/>
        <v>420.45466096429561</v>
      </c>
      <c r="F644">
        <f t="shared" si="409"/>
        <v>408.94009884439851</v>
      </c>
      <c r="G644">
        <f t="shared" si="409"/>
        <v>268.95910949245018</v>
      </c>
      <c r="H644">
        <f t="shared" si="409"/>
        <v>361.65997413031397</v>
      </c>
      <c r="I644">
        <f t="shared" si="409"/>
        <v>219.28462665035102</v>
      </c>
      <c r="J644">
        <f t="shared" si="409"/>
        <v>167.12374918015635</v>
      </c>
      <c r="K644">
        <f t="shared" si="409"/>
        <v>205.13</v>
      </c>
      <c r="L644">
        <f t="shared" si="409"/>
        <v>195.7318642405898</v>
      </c>
      <c r="M644">
        <f t="shared" si="409"/>
        <v>201.35594410373642</v>
      </c>
      <c r="N644">
        <f t="shared" si="409"/>
        <v>184.71977800860284</v>
      </c>
      <c r="O644">
        <f t="shared" si="409"/>
        <v>204.56335381197832</v>
      </c>
      <c r="P644">
        <f t="shared" si="409"/>
        <v>155.74548422484582</v>
      </c>
      <c r="Q644">
        <f t="shared" si="409"/>
        <v>172.29159631950736</v>
      </c>
      <c r="R644">
        <f t="shared" si="409"/>
        <v>204.68749941933268</v>
      </c>
      <c r="S644">
        <f t="shared" si="409"/>
        <v>240.20109680299103</v>
      </c>
      <c r="T644">
        <f t="shared" si="409"/>
        <v>199.06345775404924</v>
      </c>
      <c r="U644">
        <f t="shared" si="409"/>
        <v>227.03821071466263</v>
      </c>
      <c r="V644">
        <f t="shared" si="409"/>
        <v>242.15005893787875</v>
      </c>
      <c r="W644">
        <f t="shared" si="409"/>
        <v>255.90730751663421</v>
      </c>
      <c r="Y644" s="6">
        <f t="shared" si="379"/>
        <v>4935.531752313821</v>
      </c>
      <c r="Z644">
        <f>SUMPRODUCT($D$646:$W$646,D644:W644)</f>
        <v>-169.02184830305441</v>
      </c>
    </row>
    <row r="645" spans="1:26" x14ac:dyDescent="0.25">
      <c r="A645" t="s">
        <v>658</v>
      </c>
      <c r="D645">
        <f t="shared" ref="D645:W645" si="410">D69*D249</f>
        <v>542.29279112987876</v>
      </c>
      <c r="E645">
        <f t="shared" si="410"/>
        <v>452.28934178314086</v>
      </c>
      <c r="F645">
        <f t="shared" si="410"/>
        <v>579.46237414170469</v>
      </c>
      <c r="G645">
        <f t="shared" si="410"/>
        <v>596.5363794165562</v>
      </c>
      <c r="H645">
        <f t="shared" si="410"/>
        <v>420.99058076009408</v>
      </c>
      <c r="I645">
        <f t="shared" si="410"/>
        <v>295.84999999999997</v>
      </c>
      <c r="J645">
        <f t="shared" si="410"/>
        <v>235.00408163265305</v>
      </c>
      <c r="K645">
        <f t="shared" si="410"/>
        <v>255.13938775510201</v>
      </c>
      <c r="L645">
        <f t="shared" si="410"/>
        <v>206.48235544217687</v>
      </c>
      <c r="M645">
        <f t="shared" si="410"/>
        <v>176.3845189504373</v>
      </c>
      <c r="N645">
        <f t="shared" si="410"/>
        <v>189</v>
      </c>
      <c r="O645">
        <f t="shared" si="410"/>
        <v>198</v>
      </c>
      <c r="P645">
        <f t="shared" si="410"/>
        <v>425.77895500353338</v>
      </c>
      <c r="Q645">
        <f t="shared" si="410"/>
        <v>500.86406774110662</v>
      </c>
      <c r="R645">
        <f t="shared" si="410"/>
        <v>435.0346839237647</v>
      </c>
      <c r="S645">
        <f t="shared" si="410"/>
        <v>491.39510204081631</v>
      </c>
      <c r="T645">
        <f t="shared" si="410"/>
        <v>212.22053001706323</v>
      </c>
      <c r="U645">
        <f t="shared" si="410"/>
        <v>224.40756118354972</v>
      </c>
      <c r="V645">
        <f t="shared" si="410"/>
        <v>222.1309271803915</v>
      </c>
      <c r="W645">
        <f t="shared" si="410"/>
        <v>264.97252980871372</v>
      </c>
      <c r="Y645" s="6">
        <f t="shared" ref="Y645" si="411">SUM(D645:W645)</f>
        <v>6924.2361679106834</v>
      </c>
      <c r="Z645">
        <f>SUMPRODUCT($D$646:$W$646,D645:W645)</f>
        <v>-257.42401273745389</v>
      </c>
    </row>
    <row r="646" spans="1:26" x14ac:dyDescent="0.25">
      <c r="A646" s="2" t="s">
        <v>71</v>
      </c>
      <c r="D646" s="3">
        <f>CORREL($B$2:$B$28,D614:D640)</f>
        <v>0.30572936404112988</v>
      </c>
      <c r="E646" s="3">
        <f t="shared" ref="E646:W646" si="412">CORREL($B$2:$B$28,E614:E640)</f>
        <v>0.17188437951741845</v>
      </c>
      <c r="F646" s="3">
        <f t="shared" si="412"/>
        <v>0.1181804792246671</v>
      </c>
      <c r="G646" s="3">
        <f t="shared" si="412"/>
        <v>-4.2422690779989128E-2</v>
      </c>
      <c r="H646" s="3">
        <f t="shared" si="412"/>
        <v>-2.9650680319845989E-2</v>
      </c>
      <c r="I646" s="3">
        <f t="shared" si="412"/>
        <v>7.6909361479521626E-2</v>
      </c>
      <c r="J646" s="3">
        <f t="shared" si="412"/>
        <v>-0.26353229078102014</v>
      </c>
      <c r="K646" s="3">
        <f t="shared" si="412"/>
        <v>-0.13446565883573058</v>
      </c>
      <c r="L646" s="3">
        <f t="shared" si="412"/>
        <v>-0.15499950486298494</v>
      </c>
      <c r="M646" s="3">
        <f t="shared" si="412"/>
        <v>-6.7877047518676487E-2</v>
      </c>
      <c r="N646" s="3">
        <f t="shared" si="412"/>
        <v>-0.31168260233627382</v>
      </c>
      <c r="O646" s="3">
        <f t="shared" si="412"/>
        <v>-0.20573632922490034</v>
      </c>
      <c r="P646" s="3">
        <f t="shared" si="412"/>
        <v>-0.20247537023908274</v>
      </c>
      <c r="Q646" s="3">
        <f t="shared" si="412"/>
        <v>-0.22905916276711266</v>
      </c>
      <c r="R646" s="3">
        <f t="shared" si="412"/>
        <v>-1.5424523929120058E-2</v>
      </c>
      <c r="S646" s="3">
        <f t="shared" si="412"/>
        <v>2.2099965381446447E-2</v>
      </c>
      <c r="T646" s="3">
        <f t="shared" si="412"/>
        <v>-0.12262141099431433</v>
      </c>
      <c r="U646" s="3">
        <f t="shared" si="412"/>
        <v>-7.4055309071807782E-2</v>
      </c>
      <c r="V646" s="3">
        <f t="shared" si="412"/>
        <v>-0.32202626719915728</v>
      </c>
      <c r="W646" s="3">
        <f t="shared" si="412"/>
        <v>-1.3530416437883237E-2</v>
      </c>
    </row>
    <row r="649" spans="1:26" x14ac:dyDescent="0.25"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K649" t="s">
        <v>217</v>
      </c>
      <c r="L649" t="s">
        <v>333</v>
      </c>
      <c r="M649" t="s">
        <v>397</v>
      </c>
      <c r="N649" t="s">
        <v>398</v>
      </c>
      <c r="O649" t="s">
        <v>399</v>
      </c>
      <c r="P649" t="s">
        <v>506</v>
      </c>
      <c r="Q649" t="s">
        <v>507</v>
      </c>
      <c r="R649" t="s">
        <v>508</v>
      </c>
      <c r="S649" t="s">
        <v>509</v>
      </c>
      <c r="T649" t="s">
        <v>618</v>
      </c>
      <c r="U649" t="s">
        <v>619</v>
      </c>
      <c r="V649" t="s">
        <v>620</v>
      </c>
      <c r="W649" t="s">
        <v>621</v>
      </c>
      <c r="Y649" t="s">
        <v>218</v>
      </c>
      <c r="Z649" t="s">
        <v>219</v>
      </c>
    </row>
    <row r="650" spans="1:26" x14ac:dyDescent="0.25">
      <c r="A650" t="s">
        <v>43</v>
      </c>
      <c r="D650">
        <f t="shared" ref="D650:W650" si="413">D74*D110</f>
        <v>1179.0108775639642</v>
      </c>
      <c r="E650">
        <f t="shared" si="413"/>
        <v>1101.8219536353558</v>
      </c>
      <c r="F650">
        <f t="shared" si="413"/>
        <v>870.25115561718087</v>
      </c>
      <c r="G650">
        <f t="shared" si="413"/>
        <v>985.60795206968442</v>
      </c>
      <c r="H650">
        <f t="shared" si="413"/>
        <v>868.72703124894053</v>
      </c>
      <c r="I650">
        <f t="shared" si="413"/>
        <v>861.5545402109293</v>
      </c>
      <c r="J650">
        <f t="shared" si="413"/>
        <v>883.63113318025501</v>
      </c>
      <c r="K650">
        <f t="shared" si="413"/>
        <v>853.26896593751712</v>
      </c>
      <c r="L650">
        <f t="shared" si="413"/>
        <v>789.83511310630729</v>
      </c>
      <c r="M650">
        <f t="shared" si="413"/>
        <v>387.16072102127697</v>
      </c>
      <c r="N650">
        <f t="shared" si="413"/>
        <v>509.35716449782961</v>
      </c>
      <c r="O650">
        <f t="shared" si="413"/>
        <v>822.11123637608875</v>
      </c>
      <c r="P650">
        <f t="shared" si="413"/>
        <v>682.82318906158753</v>
      </c>
      <c r="Q650">
        <f t="shared" si="413"/>
        <v>694.50863113713376</v>
      </c>
      <c r="R650">
        <f t="shared" si="413"/>
        <v>741.52434395123419</v>
      </c>
      <c r="S650">
        <f t="shared" si="413"/>
        <v>695.64813907589701</v>
      </c>
      <c r="T650">
        <f t="shared" si="413"/>
        <v>661.98176411199461</v>
      </c>
      <c r="U650">
        <f t="shared" si="413"/>
        <v>507.49043064999734</v>
      </c>
      <c r="V650">
        <f t="shared" si="413"/>
        <v>841.30402658944524</v>
      </c>
      <c r="W650">
        <f t="shared" si="413"/>
        <v>814.85096107988068</v>
      </c>
      <c r="Y650" s="6">
        <f t="shared" ref="Y650:Y680" si="414">SUM(D650:W650)</f>
        <v>15752.469330122503</v>
      </c>
      <c r="Z650">
        <f t="shared" ref="Z650:Z676" si="415">SUMPRODUCT($D$682:$W$682,D650:W650)</f>
        <v>-409.30129319306803</v>
      </c>
    </row>
    <row r="651" spans="1:26" x14ac:dyDescent="0.25">
      <c r="A651" t="s">
        <v>44</v>
      </c>
      <c r="D651">
        <f t="shared" ref="D651:W651" si="416">D75*D111</f>
        <v>744.48515171127883</v>
      </c>
      <c r="E651">
        <f t="shared" si="416"/>
        <v>696.4335699891501</v>
      </c>
      <c r="F651">
        <f t="shared" si="416"/>
        <v>1114.1739762405239</v>
      </c>
      <c r="G651">
        <f t="shared" si="416"/>
        <v>631.51581500676321</v>
      </c>
      <c r="H651">
        <f t="shared" si="416"/>
        <v>731.74179761557218</v>
      </c>
      <c r="I651">
        <f t="shared" si="416"/>
        <v>573.96916586219504</v>
      </c>
      <c r="J651">
        <f t="shared" si="416"/>
        <v>397.78757793057184</v>
      </c>
      <c r="K651">
        <f t="shared" si="416"/>
        <v>356.24058313794785</v>
      </c>
      <c r="L651">
        <f t="shared" si="416"/>
        <v>480.9796346973497</v>
      </c>
      <c r="M651">
        <f t="shared" si="416"/>
        <v>559.27468562954516</v>
      </c>
      <c r="N651">
        <f t="shared" si="416"/>
        <v>1029.7236726383571</v>
      </c>
      <c r="O651">
        <f t="shared" si="416"/>
        <v>799.19806486838365</v>
      </c>
      <c r="P651">
        <f t="shared" si="416"/>
        <v>422.57303169921119</v>
      </c>
      <c r="Q651">
        <f t="shared" si="416"/>
        <v>615.50175143220395</v>
      </c>
      <c r="R651">
        <f t="shared" si="416"/>
        <v>571.45011500712565</v>
      </c>
      <c r="S651">
        <f t="shared" si="416"/>
        <v>626.92906012540129</v>
      </c>
      <c r="T651">
        <f t="shared" si="416"/>
        <v>811.92061036904317</v>
      </c>
      <c r="U651">
        <f t="shared" si="416"/>
        <v>603.92424577104862</v>
      </c>
      <c r="V651">
        <f t="shared" si="416"/>
        <v>950.99848330298232</v>
      </c>
      <c r="W651">
        <f t="shared" si="416"/>
        <v>1268.1097478721708</v>
      </c>
      <c r="Y651" s="6">
        <f t="shared" si="414"/>
        <v>13986.930740906826</v>
      </c>
      <c r="Z651">
        <f t="shared" si="415"/>
        <v>-416.46968887972105</v>
      </c>
    </row>
    <row r="652" spans="1:26" x14ac:dyDescent="0.25">
      <c r="A652" t="s">
        <v>45</v>
      </c>
      <c r="D652">
        <f t="shared" ref="D652:W652" si="417">D76*D112</f>
        <v>690.60627815706312</v>
      </c>
      <c r="E652">
        <f t="shared" si="417"/>
        <v>540.15319737738162</v>
      </c>
      <c r="F652">
        <f t="shared" si="417"/>
        <v>220.34466883620007</v>
      </c>
      <c r="G652">
        <f t="shared" si="417"/>
        <v>673.65196488572474</v>
      </c>
      <c r="H652">
        <f t="shared" si="417"/>
        <v>999.95981585582444</v>
      </c>
      <c r="I652">
        <f t="shared" si="417"/>
        <v>627.18798324993713</v>
      </c>
      <c r="J652">
        <f t="shared" si="417"/>
        <v>1033.6470924068808</v>
      </c>
      <c r="K652">
        <f t="shared" si="417"/>
        <v>784.23573482162897</v>
      </c>
      <c r="L652">
        <f t="shared" si="417"/>
        <v>753.45706892792202</v>
      </c>
      <c r="M652">
        <f t="shared" si="417"/>
        <v>774.37718386706956</v>
      </c>
      <c r="N652">
        <f t="shared" si="417"/>
        <v>847.34063478895632</v>
      </c>
      <c r="O652">
        <f t="shared" si="417"/>
        <v>644.14228755556996</v>
      </c>
      <c r="P652">
        <f t="shared" si="417"/>
        <v>443.60676736028751</v>
      </c>
      <c r="Q652">
        <f t="shared" si="417"/>
        <v>506.48166700313948</v>
      </c>
      <c r="R652">
        <f t="shared" si="417"/>
        <v>794.02858119467203</v>
      </c>
      <c r="S652">
        <f t="shared" si="417"/>
        <v>744.71611690933389</v>
      </c>
      <c r="T652">
        <f t="shared" si="417"/>
        <v>754.04224054043175</v>
      </c>
      <c r="U652">
        <f t="shared" si="417"/>
        <v>898.67038033379856</v>
      </c>
      <c r="V652">
        <f t="shared" si="417"/>
        <v>1192.8031014467092</v>
      </c>
      <c r="W652">
        <f t="shared" si="417"/>
        <v>1282.5218459588136</v>
      </c>
      <c r="Y652" s="6">
        <f t="shared" si="414"/>
        <v>15205.974611477346</v>
      </c>
      <c r="Z652">
        <f t="shared" si="415"/>
        <v>-902.59072045782625</v>
      </c>
    </row>
    <row r="653" spans="1:26" x14ac:dyDescent="0.25">
      <c r="A653" t="s">
        <v>46</v>
      </c>
      <c r="D653">
        <f t="shared" ref="D653:W653" si="418">D77*D113</f>
        <v>896.72551085583586</v>
      </c>
      <c r="E653">
        <f t="shared" si="418"/>
        <v>728.44720649872352</v>
      </c>
      <c r="F653">
        <f t="shared" si="418"/>
        <v>722.82393847320418</v>
      </c>
      <c r="G653">
        <f t="shared" si="418"/>
        <v>701.62129317829658</v>
      </c>
      <c r="H653">
        <f t="shared" si="418"/>
        <v>545.99976891170911</v>
      </c>
      <c r="I653">
        <f t="shared" si="418"/>
        <v>675.98511324316371</v>
      </c>
      <c r="J653">
        <f t="shared" si="418"/>
        <v>800.28971503973094</v>
      </c>
      <c r="K653">
        <f t="shared" si="418"/>
        <v>926.45324952980013</v>
      </c>
      <c r="L653">
        <f t="shared" si="418"/>
        <v>768.9294022432249</v>
      </c>
      <c r="M653">
        <f t="shared" si="418"/>
        <v>669.74341666294561</v>
      </c>
      <c r="N653">
        <f t="shared" si="418"/>
        <v>401.24781217964807</v>
      </c>
      <c r="O653">
        <f t="shared" si="418"/>
        <v>551.90068600779045</v>
      </c>
      <c r="P653">
        <f t="shared" si="418"/>
        <v>459.40263934768353</v>
      </c>
      <c r="Q653">
        <f t="shared" si="418"/>
        <v>624.99192480335716</v>
      </c>
      <c r="R653">
        <f t="shared" si="418"/>
        <v>522.26728487086655</v>
      </c>
      <c r="S653">
        <f t="shared" si="418"/>
        <v>818.27667359220936</v>
      </c>
      <c r="T653">
        <f t="shared" si="418"/>
        <v>578.76197487670845</v>
      </c>
      <c r="U653">
        <f t="shared" si="418"/>
        <v>624.10887557566184</v>
      </c>
      <c r="V653">
        <f t="shared" si="418"/>
        <v>652.63083201111749</v>
      </c>
      <c r="W653">
        <f t="shared" si="418"/>
        <v>829.79637364916528</v>
      </c>
      <c r="Y653" s="6">
        <f t="shared" si="414"/>
        <v>13500.40369155084</v>
      </c>
      <c r="Z653">
        <f t="shared" si="415"/>
        <v>-432.97294783962235</v>
      </c>
    </row>
    <row r="654" spans="1:26" x14ac:dyDescent="0.25">
      <c r="A654" t="s">
        <v>47</v>
      </c>
      <c r="D654">
        <f t="shared" ref="D654:W654" si="419">D78*D114</f>
        <v>975.69343414384116</v>
      </c>
      <c r="E654">
        <f t="shared" si="419"/>
        <v>903.78432126408222</v>
      </c>
      <c r="F654">
        <f t="shared" si="419"/>
        <v>886.00984810688237</v>
      </c>
      <c r="G654">
        <f t="shared" si="419"/>
        <v>1126.3287157612763</v>
      </c>
      <c r="H654">
        <f t="shared" si="419"/>
        <v>764.30430520942173</v>
      </c>
      <c r="I654">
        <f t="shared" si="419"/>
        <v>821.04933805868541</v>
      </c>
      <c r="J654">
        <f t="shared" si="419"/>
        <v>826.37667543507223</v>
      </c>
      <c r="K654">
        <f t="shared" si="419"/>
        <v>788.57927095563525</v>
      </c>
      <c r="L654">
        <f t="shared" si="419"/>
        <v>516.08495778722647</v>
      </c>
      <c r="M654">
        <f t="shared" si="419"/>
        <v>643.4751954323707</v>
      </c>
      <c r="N654">
        <f t="shared" si="419"/>
        <v>621.48876779929242</v>
      </c>
      <c r="O654">
        <f t="shared" si="419"/>
        <v>710.73521729532956</v>
      </c>
      <c r="P654">
        <f t="shared" si="419"/>
        <v>842.13526297348096</v>
      </c>
      <c r="Q654">
        <f t="shared" si="419"/>
        <v>570.71592442177257</v>
      </c>
      <c r="R654">
        <f t="shared" si="419"/>
        <v>975.96897874217666</v>
      </c>
      <c r="S654">
        <f t="shared" si="419"/>
        <v>823.90930053620855</v>
      </c>
      <c r="T654">
        <f t="shared" si="419"/>
        <v>980.29918873289898</v>
      </c>
      <c r="U654">
        <f t="shared" si="419"/>
        <v>980.83042776256798</v>
      </c>
      <c r="V654">
        <f t="shared" si="419"/>
        <v>985.64798742549101</v>
      </c>
      <c r="W654">
        <f t="shared" si="419"/>
        <v>1168.0854621692044</v>
      </c>
      <c r="Y654" s="6">
        <f t="shared" si="414"/>
        <v>16911.502580012915</v>
      </c>
      <c r="Z654">
        <f t="shared" si="415"/>
        <v>-429.29597237134919</v>
      </c>
    </row>
    <row r="655" spans="1:26" x14ac:dyDescent="0.25">
      <c r="A655" t="s">
        <v>48</v>
      </c>
      <c r="D655">
        <f t="shared" ref="D655:W655" si="420">D79*D115</f>
        <v>1155.8657365130557</v>
      </c>
      <c r="E655">
        <f t="shared" si="420"/>
        <v>1100.99033339889</v>
      </c>
      <c r="F655">
        <f t="shared" si="420"/>
        <v>1112.6262914314566</v>
      </c>
      <c r="G655">
        <f t="shared" si="420"/>
        <v>1462.399580933547</v>
      </c>
      <c r="H655">
        <f t="shared" si="420"/>
        <v>2203.0537154857166</v>
      </c>
      <c r="I655">
        <f t="shared" si="420"/>
        <v>1013.1711632343881</v>
      </c>
      <c r="J655">
        <f t="shared" si="420"/>
        <v>907.88064529766893</v>
      </c>
      <c r="K655">
        <f t="shared" si="420"/>
        <v>1015.4656062737671</v>
      </c>
      <c r="L655">
        <f t="shared" si="420"/>
        <v>717.61621707487279</v>
      </c>
      <c r="M655">
        <f t="shared" si="420"/>
        <v>437.76817515607405</v>
      </c>
      <c r="N655">
        <f t="shared" si="420"/>
        <v>446.83381872917681</v>
      </c>
      <c r="O655">
        <f t="shared" si="420"/>
        <v>387.23526693024894</v>
      </c>
      <c r="P655">
        <f t="shared" si="420"/>
        <v>900.24988405098043</v>
      </c>
      <c r="Q655">
        <f t="shared" si="420"/>
        <v>1115.7222323886187</v>
      </c>
      <c r="R655">
        <f t="shared" si="420"/>
        <v>638.66171179884714</v>
      </c>
      <c r="S655">
        <f t="shared" si="420"/>
        <v>685.81084789528757</v>
      </c>
      <c r="T655">
        <f t="shared" si="420"/>
        <v>396.96083287462983</v>
      </c>
      <c r="U655">
        <f t="shared" si="420"/>
        <v>728.91756724098445</v>
      </c>
      <c r="V655">
        <f t="shared" si="420"/>
        <v>712.54072960860253</v>
      </c>
      <c r="W655">
        <f t="shared" si="420"/>
        <v>735.41826483127136</v>
      </c>
      <c r="Y655" s="6">
        <f t="shared" si="414"/>
        <v>17875.188621148081</v>
      </c>
      <c r="Z655">
        <f t="shared" si="415"/>
        <v>-494.14116012140266</v>
      </c>
    </row>
    <row r="656" spans="1:26" x14ac:dyDescent="0.25">
      <c r="A656" t="s">
        <v>49</v>
      </c>
      <c r="D656">
        <f t="shared" ref="D656:W656" si="421">D80*D116</f>
        <v>808.82558241742788</v>
      </c>
      <c r="E656">
        <f t="shared" si="421"/>
        <v>1070.4904454359448</v>
      </c>
      <c r="F656">
        <f t="shared" si="421"/>
        <v>1005.1181637349815</v>
      </c>
      <c r="G656">
        <f t="shared" si="421"/>
        <v>1050.7477584497481</v>
      </c>
      <c r="H656">
        <f t="shared" si="421"/>
        <v>986.53173269954823</v>
      </c>
      <c r="I656">
        <f t="shared" si="421"/>
        <v>1030.5978469018162</v>
      </c>
      <c r="J656">
        <f t="shared" si="421"/>
        <v>880.25197164289307</v>
      </c>
      <c r="K656">
        <f t="shared" si="421"/>
        <v>704.16499645338502</v>
      </c>
      <c r="L656">
        <f t="shared" si="421"/>
        <v>907.04789213519132</v>
      </c>
      <c r="M656">
        <f t="shared" si="421"/>
        <v>409.70208932945138</v>
      </c>
      <c r="N656">
        <f t="shared" si="421"/>
        <v>458.53627882872007</v>
      </c>
      <c r="O656">
        <f t="shared" si="421"/>
        <v>507.95856561055285</v>
      </c>
      <c r="P656">
        <f t="shared" si="421"/>
        <v>907.72266507886866</v>
      </c>
      <c r="Q656">
        <f t="shared" si="421"/>
        <v>1221.8631291960874</v>
      </c>
      <c r="R656">
        <f t="shared" si="421"/>
        <v>973.47875759620808</v>
      </c>
      <c r="S656">
        <f t="shared" si="421"/>
        <v>603.26697238018414</v>
      </c>
      <c r="T656">
        <f t="shared" si="421"/>
        <v>618.61918368237968</v>
      </c>
      <c r="U656">
        <f t="shared" si="421"/>
        <v>784.03937001886015</v>
      </c>
      <c r="V656">
        <f t="shared" si="421"/>
        <v>880.92510302716414</v>
      </c>
      <c r="W656">
        <f t="shared" si="421"/>
        <v>920.23161764731879</v>
      </c>
      <c r="Y656" s="6">
        <f t="shared" si="414"/>
        <v>16730.120122266733</v>
      </c>
      <c r="Z656">
        <f t="shared" si="415"/>
        <v>-414.09208561854615</v>
      </c>
    </row>
    <row r="657" spans="1:26" x14ac:dyDescent="0.25">
      <c r="A657" t="s">
        <v>50</v>
      </c>
      <c r="D657">
        <f t="shared" ref="D657:W657" si="422">D81*D117</f>
        <v>964.81761085852349</v>
      </c>
      <c r="E657">
        <f t="shared" si="422"/>
        <v>851.15179930597344</v>
      </c>
      <c r="F657">
        <f t="shared" si="422"/>
        <v>1104.1261005323352</v>
      </c>
      <c r="G657">
        <f t="shared" si="422"/>
        <v>1077.6868040555514</v>
      </c>
      <c r="H657">
        <f t="shared" si="422"/>
        <v>906.35130036256248</v>
      </c>
      <c r="I657">
        <f t="shared" si="422"/>
        <v>1026.6381082535058</v>
      </c>
      <c r="J657">
        <f t="shared" si="422"/>
        <v>831.81333113857829</v>
      </c>
      <c r="K657">
        <f t="shared" si="422"/>
        <v>809.53598445235775</v>
      </c>
      <c r="L657">
        <f t="shared" si="422"/>
        <v>1013.1557111706409</v>
      </c>
      <c r="M657">
        <f t="shared" si="422"/>
        <v>762.50595679450282</v>
      </c>
      <c r="N657">
        <f t="shared" si="422"/>
        <v>1052.8005463110403</v>
      </c>
      <c r="O657">
        <f t="shared" si="422"/>
        <v>991.16535992921979</v>
      </c>
      <c r="P657">
        <f t="shared" si="422"/>
        <v>818.84423893163137</v>
      </c>
      <c r="Q657">
        <f t="shared" si="422"/>
        <v>873.293946518697</v>
      </c>
      <c r="R657">
        <f t="shared" si="422"/>
        <v>777.5097440509511</v>
      </c>
      <c r="S657">
        <f t="shared" si="422"/>
        <v>810.59482878665688</v>
      </c>
      <c r="T657">
        <f t="shared" si="422"/>
        <v>750.85631369620853</v>
      </c>
      <c r="U657">
        <f t="shared" si="422"/>
        <v>871.03720231158911</v>
      </c>
      <c r="V657">
        <f t="shared" si="422"/>
        <v>1084.2904796139203</v>
      </c>
      <c r="W657">
        <f t="shared" si="422"/>
        <v>950.16853745756214</v>
      </c>
      <c r="Y657" s="6">
        <f t="shared" si="414"/>
        <v>18328.343904532008</v>
      </c>
      <c r="Z657">
        <f t="shared" si="415"/>
        <v>-750.62924842637858</v>
      </c>
    </row>
    <row r="658" spans="1:26" x14ac:dyDescent="0.25">
      <c r="A658" t="s">
        <v>51</v>
      </c>
      <c r="D658">
        <f t="shared" ref="D658:W658" si="423">D82*D118</f>
        <v>834.71434346388844</v>
      </c>
      <c r="E658">
        <f t="shared" si="423"/>
        <v>1126.4729577085143</v>
      </c>
      <c r="F658">
        <f t="shared" si="423"/>
        <v>1774.4344088107086</v>
      </c>
      <c r="G658">
        <f t="shared" si="423"/>
        <v>1166.8579666432274</v>
      </c>
      <c r="H658">
        <f t="shared" si="423"/>
        <v>983.73953816498204</v>
      </c>
      <c r="I658">
        <f t="shared" si="423"/>
        <v>824.46202298354058</v>
      </c>
      <c r="J658">
        <f t="shared" si="423"/>
        <v>890.62719904605683</v>
      </c>
      <c r="K658">
        <f t="shared" si="423"/>
        <v>613.20009530008679</v>
      </c>
      <c r="L658">
        <f t="shared" si="423"/>
        <v>904.86273870140974</v>
      </c>
      <c r="M658">
        <f t="shared" si="423"/>
        <v>906.72178536844865</v>
      </c>
      <c r="N658">
        <f t="shared" si="423"/>
        <v>1212.9748455275651</v>
      </c>
      <c r="O658">
        <f t="shared" si="423"/>
        <v>856.25712496481333</v>
      </c>
      <c r="P658">
        <f t="shared" si="423"/>
        <v>1145.4676026281027</v>
      </c>
      <c r="Q658">
        <f t="shared" si="423"/>
        <v>632.66321782653711</v>
      </c>
      <c r="R658">
        <f t="shared" si="423"/>
        <v>841.16105975908954</v>
      </c>
      <c r="S658">
        <f t="shared" si="423"/>
        <v>957.98813147835619</v>
      </c>
      <c r="T658">
        <f t="shared" si="423"/>
        <v>667.19497798384305</v>
      </c>
      <c r="U658">
        <f t="shared" si="423"/>
        <v>923.12795165357829</v>
      </c>
      <c r="V658">
        <f t="shared" si="423"/>
        <v>997.83101537784285</v>
      </c>
      <c r="W658">
        <f t="shared" si="423"/>
        <v>1050.4388570702486</v>
      </c>
      <c r="Y658" s="6">
        <f t="shared" si="414"/>
        <v>19311.197840460845</v>
      </c>
      <c r="Z658">
        <f t="shared" si="415"/>
        <v>-692.16465796933005</v>
      </c>
    </row>
    <row r="659" spans="1:26" x14ac:dyDescent="0.25">
      <c r="A659" t="s">
        <v>52</v>
      </c>
      <c r="D659">
        <f t="shared" ref="D659:W659" si="424">D83*D119</f>
        <v>941.15678803595767</v>
      </c>
      <c r="E659">
        <f t="shared" si="424"/>
        <v>1026.90525865626</v>
      </c>
      <c r="F659">
        <f t="shared" si="424"/>
        <v>904.61185681159679</v>
      </c>
      <c r="G659">
        <f t="shared" si="424"/>
        <v>610.67943185608044</v>
      </c>
      <c r="H659">
        <f t="shared" si="424"/>
        <v>641.36008087732637</v>
      </c>
      <c r="I659">
        <f t="shared" si="424"/>
        <v>1127.9384715154106</v>
      </c>
      <c r="J659">
        <f t="shared" si="424"/>
        <v>470.17531959143406</v>
      </c>
      <c r="K659">
        <f t="shared" si="424"/>
        <v>643.51449248854863</v>
      </c>
      <c r="L659">
        <f t="shared" si="424"/>
        <v>623.03086120661339</v>
      </c>
      <c r="M659">
        <f t="shared" si="424"/>
        <v>657.29507453461827</v>
      </c>
      <c r="N659">
        <f t="shared" si="424"/>
        <v>619.53146740199111</v>
      </c>
      <c r="O659">
        <f t="shared" si="424"/>
        <v>657.95307969001533</v>
      </c>
      <c r="P659">
        <f t="shared" si="424"/>
        <v>721.23856397781299</v>
      </c>
      <c r="Q659">
        <f t="shared" si="424"/>
        <v>785.10876668326375</v>
      </c>
      <c r="R659">
        <f t="shared" si="424"/>
        <v>817.94908274835609</v>
      </c>
      <c r="S659">
        <f t="shared" si="424"/>
        <v>940.38403202513871</v>
      </c>
      <c r="T659">
        <f t="shared" si="424"/>
        <v>612.95980022660069</v>
      </c>
      <c r="U659">
        <f t="shared" si="424"/>
        <v>696.20067349545275</v>
      </c>
      <c r="V659">
        <f t="shared" si="424"/>
        <v>778.38287554606302</v>
      </c>
      <c r="W659">
        <f t="shared" si="424"/>
        <v>740.71396468605747</v>
      </c>
      <c r="Y659" s="6">
        <f t="shared" si="414"/>
        <v>15017.089942054601</v>
      </c>
      <c r="Z659">
        <f t="shared" si="415"/>
        <v>-86.610163207067117</v>
      </c>
    </row>
    <row r="660" spans="1:26" x14ac:dyDescent="0.25">
      <c r="A660" t="s">
        <v>53</v>
      </c>
      <c r="D660">
        <f t="shared" ref="D660:W660" si="425">D84*D120</f>
        <v>1052.9018957113458</v>
      </c>
      <c r="E660">
        <f t="shared" si="425"/>
        <v>922.54732385583145</v>
      </c>
      <c r="F660">
        <f t="shared" si="425"/>
        <v>925.42850277189541</v>
      </c>
      <c r="G660">
        <f t="shared" si="425"/>
        <v>916.57635754109117</v>
      </c>
      <c r="H660">
        <f t="shared" si="425"/>
        <v>714.01503209992893</v>
      </c>
      <c r="I660">
        <f t="shared" si="425"/>
        <v>712.71573051121106</v>
      </c>
      <c r="J660">
        <f t="shared" si="425"/>
        <v>981.40554605920363</v>
      </c>
      <c r="K660">
        <f t="shared" si="425"/>
        <v>1003.7537014837203</v>
      </c>
      <c r="L660">
        <f t="shared" si="425"/>
        <v>913.26198188407841</v>
      </c>
      <c r="M660">
        <f t="shared" si="425"/>
        <v>921.92979708459382</v>
      </c>
      <c r="N660">
        <f t="shared" si="425"/>
        <v>723.6558352112794</v>
      </c>
      <c r="O660">
        <f t="shared" si="425"/>
        <v>726.11854567486171</v>
      </c>
      <c r="P660">
        <f t="shared" si="425"/>
        <v>791.26393528885183</v>
      </c>
      <c r="Q660">
        <f t="shared" si="425"/>
        <v>520.34658075571406</v>
      </c>
      <c r="R660">
        <f t="shared" si="425"/>
        <v>698.94785631455238</v>
      </c>
      <c r="S660">
        <f t="shared" si="425"/>
        <v>732.52075653106965</v>
      </c>
      <c r="T660">
        <f t="shared" si="425"/>
        <v>1098.5575761895736</v>
      </c>
      <c r="U660">
        <f t="shared" si="425"/>
        <v>852.70888749651465</v>
      </c>
      <c r="V660">
        <f t="shared" si="425"/>
        <v>1004.796179381185</v>
      </c>
      <c r="W660">
        <f t="shared" si="425"/>
        <v>1024.0268334329708</v>
      </c>
      <c r="Y660" s="6">
        <f t="shared" si="414"/>
        <v>17237.478855279474</v>
      </c>
      <c r="Z660">
        <f t="shared" si="415"/>
        <v>-735.41667001262351</v>
      </c>
    </row>
    <row r="661" spans="1:26" x14ac:dyDescent="0.25">
      <c r="A661" t="s">
        <v>54</v>
      </c>
      <c r="D661">
        <f t="shared" ref="D661:W661" si="426">D85*D121</f>
        <v>1163.0533754559503</v>
      </c>
      <c r="E661">
        <f t="shared" si="426"/>
        <v>1000.3942495652326</v>
      </c>
      <c r="F661">
        <f t="shared" si="426"/>
        <v>912.51547174982261</v>
      </c>
      <c r="G661">
        <f t="shared" si="426"/>
        <v>866.4487926135015</v>
      </c>
      <c r="H661">
        <f t="shared" si="426"/>
        <v>703.50275709234961</v>
      </c>
      <c r="I661">
        <f t="shared" si="426"/>
        <v>766.94340817366219</v>
      </c>
      <c r="J661">
        <f t="shared" si="426"/>
        <v>398.12973552889758</v>
      </c>
      <c r="K661">
        <f t="shared" si="426"/>
        <v>574.31430760681553</v>
      </c>
      <c r="L661">
        <f t="shared" si="426"/>
        <v>700.51799685735739</v>
      </c>
      <c r="M661">
        <f t="shared" si="426"/>
        <v>614.95559744443995</v>
      </c>
      <c r="N661">
        <f t="shared" si="426"/>
        <v>611.31048503644013</v>
      </c>
      <c r="O661">
        <f t="shared" si="426"/>
        <v>546.91493199930039</v>
      </c>
      <c r="P661">
        <f t="shared" si="426"/>
        <v>567.84623008499966</v>
      </c>
      <c r="Q661">
        <f t="shared" si="426"/>
        <v>734.05722523436418</v>
      </c>
      <c r="R661">
        <f t="shared" si="426"/>
        <v>405.46705278514867</v>
      </c>
      <c r="S661">
        <f t="shared" si="426"/>
        <v>697.23055514088458</v>
      </c>
      <c r="T661">
        <f t="shared" si="426"/>
        <v>603.78778235732784</v>
      </c>
      <c r="U661">
        <f t="shared" si="426"/>
        <v>885.27051924721718</v>
      </c>
      <c r="V661">
        <f t="shared" si="426"/>
        <v>808.75174268429623</v>
      </c>
      <c r="W661">
        <f t="shared" si="426"/>
        <v>1119.1743325134776</v>
      </c>
      <c r="Y661" s="6">
        <f t="shared" si="414"/>
        <v>14680.586549171485</v>
      </c>
      <c r="Z661">
        <f t="shared" si="415"/>
        <v>-170.78146444334322</v>
      </c>
    </row>
    <row r="662" spans="1:26" x14ac:dyDescent="0.25">
      <c r="A662" t="s">
        <v>55</v>
      </c>
      <c r="D662">
        <f t="shared" ref="D662:W662" si="427">D86*D122</f>
        <v>1351.9361087889874</v>
      </c>
      <c r="E662">
        <f t="shared" si="427"/>
        <v>1374.6957025021284</v>
      </c>
      <c r="F662">
        <f t="shared" si="427"/>
        <v>1140.5152754692681</v>
      </c>
      <c r="G662">
        <f t="shared" si="427"/>
        <v>1340.9606194337593</v>
      </c>
      <c r="H662">
        <f t="shared" si="427"/>
        <v>855.05247645902944</v>
      </c>
      <c r="I662">
        <f t="shared" si="427"/>
        <v>1068.6236799719898</v>
      </c>
      <c r="J662">
        <f t="shared" si="427"/>
        <v>693.87789818768999</v>
      </c>
      <c r="K662">
        <f t="shared" si="427"/>
        <v>659.43902537743509</v>
      </c>
      <c r="L662">
        <f t="shared" si="427"/>
        <v>762.09177271500232</v>
      </c>
      <c r="M662">
        <f t="shared" si="427"/>
        <v>760.25035291453867</v>
      </c>
      <c r="N662">
        <f t="shared" si="427"/>
        <v>878.04630658072881</v>
      </c>
      <c r="O662">
        <f t="shared" si="427"/>
        <v>435.1396502302801</v>
      </c>
      <c r="P662">
        <f t="shared" si="427"/>
        <v>489.11575640025296</v>
      </c>
      <c r="Q662">
        <f t="shared" si="427"/>
        <v>874.04021652693814</v>
      </c>
      <c r="R662">
        <f t="shared" si="427"/>
        <v>675.28500641654739</v>
      </c>
      <c r="S662">
        <f t="shared" si="427"/>
        <v>975.35199848487377</v>
      </c>
      <c r="T662">
        <f t="shared" si="427"/>
        <v>682.55319040110771</v>
      </c>
      <c r="U662">
        <f t="shared" si="427"/>
        <v>655.52893247828899</v>
      </c>
      <c r="V662">
        <f t="shared" si="427"/>
        <v>956.45091320763072</v>
      </c>
      <c r="W662">
        <f t="shared" si="427"/>
        <v>996.88774187525337</v>
      </c>
      <c r="Y662" s="6">
        <f t="shared" si="414"/>
        <v>17625.84262442173</v>
      </c>
      <c r="Z662">
        <f t="shared" si="415"/>
        <v>-104.58244547210877</v>
      </c>
    </row>
    <row r="663" spans="1:26" x14ac:dyDescent="0.25">
      <c r="A663" t="s">
        <v>56</v>
      </c>
      <c r="D663">
        <f t="shared" ref="D663:W663" si="428">D87*D123</f>
        <v>1549.3621845388279</v>
      </c>
      <c r="E663">
        <f t="shared" si="428"/>
        <v>1108.4187838231976</v>
      </c>
      <c r="F663">
        <f t="shared" si="428"/>
        <v>1163.8850335813286</v>
      </c>
      <c r="G663">
        <f t="shared" si="428"/>
        <v>954.49242219228245</v>
      </c>
      <c r="H663">
        <f t="shared" si="428"/>
        <v>806.65569452493003</v>
      </c>
      <c r="I663">
        <f t="shared" si="428"/>
        <v>796.24548505010489</v>
      </c>
      <c r="J663">
        <f t="shared" si="428"/>
        <v>609.80175534335399</v>
      </c>
      <c r="K663">
        <f t="shared" si="428"/>
        <v>851.21632148525202</v>
      </c>
      <c r="L663">
        <f t="shared" si="428"/>
        <v>727.97402122643484</v>
      </c>
      <c r="M663">
        <f t="shared" si="428"/>
        <v>760.89069213317771</v>
      </c>
      <c r="N663">
        <f t="shared" si="428"/>
        <v>537.28030048310404</v>
      </c>
      <c r="O663">
        <f t="shared" si="428"/>
        <v>771.76468631578166</v>
      </c>
      <c r="P663">
        <f t="shared" si="428"/>
        <v>781.52801740243262</v>
      </c>
      <c r="Q663">
        <f t="shared" si="428"/>
        <v>581.3757756493153</v>
      </c>
      <c r="R663">
        <f t="shared" si="428"/>
        <v>967.41931944336079</v>
      </c>
      <c r="S663">
        <f t="shared" si="428"/>
        <v>773.24188581002261</v>
      </c>
      <c r="T663">
        <f t="shared" si="428"/>
        <v>768.34289871477256</v>
      </c>
      <c r="U663">
        <f t="shared" si="428"/>
        <v>922.73101941620553</v>
      </c>
      <c r="V663">
        <f t="shared" si="428"/>
        <v>806.91187648673895</v>
      </c>
      <c r="W663">
        <f t="shared" si="428"/>
        <v>1114.3799178295233</v>
      </c>
      <c r="Y663" s="6">
        <f t="shared" si="414"/>
        <v>17353.918091450148</v>
      </c>
      <c r="Z663">
        <f t="shared" si="415"/>
        <v>-249.14739349950321</v>
      </c>
    </row>
    <row r="664" spans="1:26" x14ac:dyDescent="0.25">
      <c r="A664" t="s">
        <v>57</v>
      </c>
      <c r="D664">
        <f t="shared" ref="D664:W664" si="429">D88*D124</f>
        <v>1234.6606218249728</v>
      </c>
      <c r="E664">
        <f t="shared" si="429"/>
        <v>1267.9179919774658</v>
      </c>
      <c r="F664">
        <f t="shared" si="429"/>
        <v>1066.159796923595</v>
      </c>
      <c r="G664">
        <f t="shared" si="429"/>
        <v>909.84005747911669</v>
      </c>
      <c r="H664">
        <f t="shared" si="429"/>
        <v>743.94622083924844</v>
      </c>
      <c r="I664">
        <f t="shared" si="429"/>
        <v>748.76318536580516</v>
      </c>
      <c r="J664">
        <f t="shared" si="429"/>
        <v>649.61333289756396</v>
      </c>
      <c r="K664">
        <f t="shared" si="429"/>
        <v>693.7181293393744</v>
      </c>
      <c r="L664">
        <f t="shared" si="429"/>
        <v>598.84249753074198</v>
      </c>
      <c r="M664">
        <f t="shared" si="429"/>
        <v>763.04920920973393</v>
      </c>
      <c r="N664">
        <f t="shared" si="429"/>
        <v>818.45843742238981</v>
      </c>
      <c r="O664">
        <f t="shared" si="429"/>
        <v>513.47904571365325</v>
      </c>
      <c r="P664">
        <f t="shared" si="429"/>
        <v>954.59908102399731</v>
      </c>
      <c r="Q664">
        <f t="shared" si="429"/>
        <v>828.65580691157948</v>
      </c>
      <c r="R664">
        <f t="shared" si="429"/>
        <v>665.39469300414885</v>
      </c>
      <c r="S664">
        <f t="shared" si="429"/>
        <v>722.39935604322818</v>
      </c>
      <c r="T664">
        <f t="shared" si="429"/>
        <v>842.10675452235762</v>
      </c>
      <c r="U664">
        <f t="shared" si="429"/>
        <v>900.05501042783169</v>
      </c>
      <c r="V664">
        <f t="shared" si="429"/>
        <v>518.68163786365108</v>
      </c>
      <c r="W664">
        <f t="shared" si="429"/>
        <v>1067.0607722060531</v>
      </c>
      <c r="Y664" s="6">
        <f t="shared" si="414"/>
        <v>16507.401638526509</v>
      </c>
      <c r="Z664">
        <f t="shared" si="415"/>
        <v>-292.33616863459707</v>
      </c>
    </row>
    <row r="665" spans="1:26" x14ac:dyDescent="0.25">
      <c r="A665" t="s">
        <v>58</v>
      </c>
      <c r="D665">
        <f t="shared" ref="D665:W665" si="430">D89*D125</f>
        <v>852.60913633590212</v>
      </c>
      <c r="E665">
        <f t="shared" si="430"/>
        <v>1039.2136489833449</v>
      </c>
      <c r="F665">
        <f t="shared" si="430"/>
        <v>913.34078273491696</v>
      </c>
      <c r="G665">
        <f t="shared" si="430"/>
        <v>859.59245552492473</v>
      </c>
      <c r="H665">
        <f t="shared" si="430"/>
        <v>747.88254748624934</v>
      </c>
      <c r="I665">
        <f t="shared" si="430"/>
        <v>503.61820592923999</v>
      </c>
      <c r="J665">
        <f t="shared" si="430"/>
        <v>704.19557149373372</v>
      </c>
      <c r="K665">
        <f t="shared" si="430"/>
        <v>725.25939306548264</v>
      </c>
      <c r="L665">
        <f t="shared" si="430"/>
        <v>624.9459896605905</v>
      </c>
      <c r="M665">
        <f t="shared" si="430"/>
        <v>594.83528952704523</v>
      </c>
      <c r="N665">
        <f t="shared" si="430"/>
        <v>509.54766892416308</v>
      </c>
      <c r="O665">
        <f t="shared" si="430"/>
        <v>597.25133208050886</v>
      </c>
      <c r="P665">
        <f t="shared" si="430"/>
        <v>425.24732040923988</v>
      </c>
      <c r="Q665">
        <f t="shared" si="430"/>
        <v>473.3109585219824</v>
      </c>
      <c r="R665">
        <f t="shared" si="430"/>
        <v>500.93434126801378</v>
      </c>
      <c r="S665">
        <f t="shared" si="430"/>
        <v>743.28900874680062</v>
      </c>
      <c r="T665">
        <f t="shared" si="430"/>
        <v>984.94604882816554</v>
      </c>
      <c r="U665">
        <f t="shared" si="430"/>
        <v>560.43459978137469</v>
      </c>
      <c r="V665">
        <f t="shared" si="430"/>
        <v>577.50377717255355</v>
      </c>
      <c r="W665">
        <f t="shared" si="430"/>
        <v>1049.9140991842844</v>
      </c>
      <c r="Y665" s="6">
        <f t="shared" si="414"/>
        <v>13987.872175658518</v>
      </c>
      <c r="Z665">
        <f t="shared" si="415"/>
        <v>-348.77666418985655</v>
      </c>
    </row>
    <row r="666" spans="1:26" x14ac:dyDescent="0.25">
      <c r="A666" t="s">
        <v>59</v>
      </c>
      <c r="D666">
        <f t="shared" ref="D666:W666" si="431">D90*D126</f>
        <v>1314.3613719625068</v>
      </c>
      <c r="E666">
        <f t="shared" si="431"/>
        <v>940.01733510116514</v>
      </c>
      <c r="F666">
        <f t="shared" si="431"/>
        <v>811.67890090477113</v>
      </c>
      <c r="G666">
        <f t="shared" si="431"/>
        <v>997.02802538317871</v>
      </c>
      <c r="H666">
        <f t="shared" si="431"/>
        <v>698.73274207047416</v>
      </c>
      <c r="I666">
        <f t="shared" si="431"/>
        <v>788.20662685550531</v>
      </c>
      <c r="J666">
        <f t="shared" si="431"/>
        <v>908.19954477377144</v>
      </c>
      <c r="K666">
        <f t="shared" si="431"/>
        <v>711.3810849551038</v>
      </c>
      <c r="L666">
        <f t="shared" si="431"/>
        <v>433.91128996459202</v>
      </c>
      <c r="M666">
        <f t="shared" si="431"/>
        <v>648.14947105749911</v>
      </c>
      <c r="N666">
        <f t="shared" si="431"/>
        <v>722.42677022333851</v>
      </c>
      <c r="O666">
        <f t="shared" si="431"/>
        <v>651.61595141606085</v>
      </c>
      <c r="P666">
        <f t="shared" si="431"/>
        <v>507.51856286355473</v>
      </c>
      <c r="Q666">
        <f t="shared" si="431"/>
        <v>394.92379113243464</v>
      </c>
      <c r="R666">
        <f t="shared" si="431"/>
        <v>449.81365594353798</v>
      </c>
      <c r="S666">
        <f t="shared" si="431"/>
        <v>706.03043989266075</v>
      </c>
      <c r="T666">
        <f t="shared" si="431"/>
        <v>868.51146355325989</v>
      </c>
      <c r="U666">
        <f t="shared" si="431"/>
        <v>894.59975767165804</v>
      </c>
      <c r="V666">
        <f t="shared" si="431"/>
        <v>944.27465223428874</v>
      </c>
      <c r="W666">
        <f t="shared" si="431"/>
        <v>1018.279071099653</v>
      </c>
      <c r="Y666" s="6">
        <f t="shared" si="414"/>
        <v>15409.660509059015</v>
      </c>
      <c r="Z666">
        <f t="shared" si="415"/>
        <v>-365.19650535251702</v>
      </c>
    </row>
    <row r="667" spans="1:26" x14ac:dyDescent="0.25">
      <c r="A667" t="s">
        <v>60</v>
      </c>
      <c r="D667">
        <f t="shared" ref="D667:W667" si="432">D91*D127</f>
        <v>880.14542333788938</v>
      </c>
      <c r="E667">
        <f t="shared" si="432"/>
        <v>828.63712281387473</v>
      </c>
      <c r="F667">
        <f t="shared" si="432"/>
        <v>882.71881103234705</v>
      </c>
      <c r="G667">
        <f t="shared" si="432"/>
        <v>864.15814418686966</v>
      </c>
      <c r="H667">
        <f t="shared" si="432"/>
        <v>697.97990989547282</v>
      </c>
      <c r="I667">
        <f t="shared" si="432"/>
        <v>644.10561591551993</v>
      </c>
      <c r="J667">
        <f t="shared" si="432"/>
        <v>758.21313352820857</v>
      </c>
      <c r="K667">
        <f t="shared" si="432"/>
        <v>1043.6570049371308</v>
      </c>
      <c r="L667">
        <f t="shared" si="432"/>
        <v>831.14418210424856</v>
      </c>
      <c r="M667">
        <f t="shared" si="432"/>
        <v>681.32176507013696</v>
      </c>
      <c r="N667">
        <f t="shared" si="432"/>
        <v>601.3864773159687</v>
      </c>
      <c r="O667">
        <f t="shared" si="432"/>
        <v>490.29683361856956</v>
      </c>
      <c r="P667">
        <f t="shared" si="432"/>
        <v>850.1101762268529</v>
      </c>
      <c r="Q667">
        <f t="shared" si="432"/>
        <v>913.01368018237235</v>
      </c>
      <c r="R667">
        <f t="shared" si="432"/>
        <v>722.64669993965072</v>
      </c>
      <c r="S667">
        <f t="shared" si="432"/>
        <v>820.15978115607584</v>
      </c>
      <c r="T667">
        <f t="shared" si="432"/>
        <v>1102.5933222703886</v>
      </c>
      <c r="U667">
        <f t="shared" si="432"/>
        <v>1096.8528191514265</v>
      </c>
      <c r="V667">
        <f t="shared" si="432"/>
        <v>567.81298563880546</v>
      </c>
      <c r="W667">
        <f t="shared" si="432"/>
        <v>851.32948848816511</v>
      </c>
      <c r="Y667" s="6">
        <f t="shared" si="414"/>
        <v>16128.283376809974</v>
      </c>
      <c r="Z667">
        <f t="shared" si="415"/>
        <v>-577.4380549895028</v>
      </c>
    </row>
    <row r="668" spans="1:26" x14ac:dyDescent="0.25">
      <c r="A668" t="s">
        <v>61</v>
      </c>
      <c r="D668">
        <f t="shared" ref="D668:W668" si="433">D92*D128</f>
        <v>1181.8004223508519</v>
      </c>
      <c r="E668">
        <f t="shared" si="433"/>
        <v>1373.0452836609809</v>
      </c>
      <c r="F668">
        <f t="shared" si="433"/>
        <v>1055.392360453528</v>
      </c>
      <c r="G668">
        <f t="shared" si="433"/>
        <v>948.44895788067527</v>
      </c>
      <c r="H668">
        <f t="shared" si="433"/>
        <v>934.35597693356044</v>
      </c>
      <c r="I668">
        <f t="shared" si="433"/>
        <v>994.11969642046449</v>
      </c>
      <c r="J668">
        <f t="shared" si="433"/>
        <v>958.05946831784922</v>
      </c>
      <c r="K668">
        <f t="shared" si="433"/>
        <v>755.74253196989275</v>
      </c>
      <c r="L668">
        <f t="shared" si="433"/>
        <v>439.67171861635791</v>
      </c>
      <c r="M668">
        <f t="shared" si="433"/>
        <v>666.51425712091509</v>
      </c>
      <c r="N668">
        <f t="shared" si="433"/>
        <v>738.52558335540618</v>
      </c>
      <c r="O668">
        <f t="shared" si="433"/>
        <v>840.63057660628976</v>
      </c>
      <c r="P668">
        <f t="shared" si="433"/>
        <v>595.49822660093696</v>
      </c>
      <c r="Q668">
        <f t="shared" si="433"/>
        <v>526.57758047365314</v>
      </c>
      <c r="R668">
        <f t="shared" si="433"/>
        <v>584.44589724481261</v>
      </c>
      <c r="S668">
        <f t="shared" si="433"/>
        <v>823.85015047325214</v>
      </c>
      <c r="T668">
        <f t="shared" si="433"/>
        <v>972.84845185704455</v>
      </c>
      <c r="U668">
        <f t="shared" si="433"/>
        <v>751.06850739261404</v>
      </c>
      <c r="V668">
        <f t="shared" si="433"/>
        <v>692.51578943717641</v>
      </c>
      <c r="W668">
        <f t="shared" si="433"/>
        <v>1041.3091097172105</v>
      </c>
      <c r="Y668" s="6">
        <f t="shared" si="414"/>
        <v>16874.420546883473</v>
      </c>
      <c r="Z668">
        <f t="shared" si="415"/>
        <v>-273.07254405780577</v>
      </c>
    </row>
    <row r="669" spans="1:26" x14ac:dyDescent="0.25">
      <c r="A669" t="s">
        <v>62</v>
      </c>
      <c r="D669">
        <f t="shared" ref="D669:W669" si="434">D93*D129</f>
        <v>917.53202653480014</v>
      </c>
      <c r="E669">
        <f t="shared" si="434"/>
        <v>890.13537657017253</v>
      </c>
      <c r="F669">
        <f t="shared" si="434"/>
        <v>854.85539332512985</v>
      </c>
      <c r="G669">
        <f t="shared" si="434"/>
        <v>946.83334128721253</v>
      </c>
      <c r="H669">
        <f t="shared" si="434"/>
        <v>864.02479471192885</v>
      </c>
      <c r="I669">
        <f t="shared" si="434"/>
        <v>886.57818017015347</v>
      </c>
      <c r="J669">
        <f t="shared" si="434"/>
        <v>652.1171131414626</v>
      </c>
      <c r="K669">
        <f t="shared" si="434"/>
        <v>630.29995591801526</v>
      </c>
      <c r="L669">
        <f t="shared" si="434"/>
        <v>679.08208035092696</v>
      </c>
      <c r="M669">
        <f t="shared" si="434"/>
        <v>440.07420842128272</v>
      </c>
      <c r="N669">
        <f t="shared" si="434"/>
        <v>414.56477766826066</v>
      </c>
      <c r="O669">
        <f t="shared" si="434"/>
        <v>398.34752274554597</v>
      </c>
      <c r="P669">
        <f t="shared" si="434"/>
        <v>435.1935275802162</v>
      </c>
      <c r="Q669">
        <f t="shared" si="434"/>
        <v>482.74032581181581</v>
      </c>
      <c r="R669">
        <f t="shared" si="434"/>
        <v>916.66649584812046</v>
      </c>
      <c r="S669">
        <f t="shared" si="434"/>
        <v>731.79904211497342</v>
      </c>
      <c r="T669">
        <f t="shared" si="434"/>
        <v>991.84044929485492</v>
      </c>
      <c r="U669">
        <f t="shared" si="434"/>
        <v>1066.6575825562622</v>
      </c>
      <c r="V669">
        <f t="shared" si="434"/>
        <v>912.78776221443536</v>
      </c>
      <c r="W669">
        <f t="shared" si="434"/>
        <v>869.35070846136716</v>
      </c>
      <c r="Y669" s="6">
        <f t="shared" si="414"/>
        <v>14981.480664726938</v>
      </c>
      <c r="Z669">
        <f t="shared" si="415"/>
        <v>-194.16796763721868</v>
      </c>
    </row>
    <row r="670" spans="1:26" x14ac:dyDescent="0.25">
      <c r="A670" t="s">
        <v>63</v>
      </c>
      <c r="D670">
        <f t="shared" ref="D670:W670" si="435">D94*D130</f>
        <v>1035.8724253855294</v>
      </c>
      <c r="E670">
        <f t="shared" si="435"/>
        <v>1057.4556808725681</v>
      </c>
      <c r="F670">
        <f t="shared" si="435"/>
        <v>1015.8248112692808</v>
      </c>
      <c r="G670">
        <f t="shared" si="435"/>
        <v>978.84362548938248</v>
      </c>
      <c r="H670">
        <f t="shared" si="435"/>
        <v>710.00686447168016</v>
      </c>
      <c r="I670">
        <f t="shared" si="435"/>
        <v>731.44603565957686</v>
      </c>
      <c r="J670">
        <f t="shared" si="435"/>
        <v>669.69047690839773</v>
      </c>
      <c r="K670">
        <f t="shared" si="435"/>
        <v>674.9048334026229</v>
      </c>
      <c r="L670">
        <f t="shared" si="435"/>
        <v>726.8557355560223</v>
      </c>
      <c r="M670">
        <f t="shared" si="435"/>
        <v>621.89673156875801</v>
      </c>
      <c r="N670">
        <f t="shared" si="435"/>
        <v>633.42089359922659</v>
      </c>
      <c r="O670">
        <f t="shared" si="435"/>
        <v>935.6880691520912</v>
      </c>
      <c r="P670">
        <f t="shared" si="435"/>
        <v>560.95730867299415</v>
      </c>
      <c r="Q670">
        <f t="shared" si="435"/>
        <v>803.40941185608244</v>
      </c>
      <c r="R670">
        <f t="shared" si="435"/>
        <v>884.62689224346957</v>
      </c>
      <c r="S670">
        <f t="shared" si="435"/>
        <v>1051.4584681731924</v>
      </c>
      <c r="T670">
        <f t="shared" si="435"/>
        <v>1031.8927669530326</v>
      </c>
      <c r="U670">
        <f t="shared" si="435"/>
        <v>855.43251799161396</v>
      </c>
      <c r="V670">
        <f t="shared" si="435"/>
        <v>1070.8547474731947</v>
      </c>
      <c r="W670">
        <f t="shared" si="435"/>
        <v>1136.3405280679187</v>
      </c>
      <c r="Y670" s="6">
        <f t="shared" si="414"/>
        <v>17186.878824766638</v>
      </c>
      <c r="Z670">
        <f t="shared" si="415"/>
        <v>-310.58844990711879</v>
      </c>
    </row>
    <row r="671" spans="1:26" x14ac:dyDescent="0.25">
      <c r="A671" t="s">
        <v>64</v>
      </c>
      <c r="D671">
        <f t="shared" ref="D671:W671" si="436">D95*D131</f>
        <v>1205.6380767966257</v>
      </c>
      <c r="E671">
        <f t="shared" si="436"/>
        <v>1255.9033604815231</v>
      </c>
      <c r="F671">
        <f t="shared" si="436"/>
        <v>1244.1350707429499</v>
      </c>
      <c r="G671">
        <f t="shared" si="436"/>
        <v>1054.0669049404844</v>
      </c>
      <c r="H671">
        <f t="shared" si="436"/>
        <v>958.76433762952115</v>
      </c>
      <c r="I671">
        <f t="shared" si="436"/>
        <v>968.68154059402968</v>
      </c>
      <c r="J671">
        <f t="shared" si="436"/>
        <v>808.42867736919527</v>
      </c>
      <c r="K671">
        <f t="shared" si="436"/>
        <v>942.16943100078765</v>
      </c>
      <c r="L671">
        <f t="shared" si="436"/>
        <v>1053.1863516797371</v>
      </c>
      <c r="M671">
        <f t="shared" si="436"/>
        <v>770.60132348313016</v>
      </c>
      <c r="N671">
        <f t="shared" si="436"/>
        <v>497.22867554430621</v>
      </c>
      <c r="O671">
        <f t="shared" si="436"/>
        <v>713.65959753174604</v>
      </c>
      <c r="P671">
        <f t="shared" si="436"/>
        <v>542.25431271963976</v>
      </c>
      <c r="Q671">
        <f t="shared" si="436"/>
        <v>1121.5548381157237</v>
      </c>
      <c r="R671">
        <f t="shared" si="436"/>
        <v>1196.3640910226848</v>
      </c>
      <c r="S671">
        <f t="shared" si="436"/>
        <v>978.76711336939752</v>
      </c>
      <c r="T671">
        <f t="shared" si="436"/>
        <v>1146.5710704966707</v>
      </c>
      <c r="U671">
        <f t="shared" si="436"/>
        <v>1004.9420646806317</v>
      </c>
      <c r="V671">
        <f t="shared" si="436"/>
        <v>848.08553073575388</v>
      </c>
      <c r="W671">
        <f t="shared" si="436"/>
        <v>947.60188120539499</v>
      </c>
      <c r="Y671" s="6">
        <f t="shared" si="414"/>
        <v>19258.604250139932</v>
      </c>
      <c r="Z671">
        <f t="shared" si="415"/>
        <v>-316.94918609840869</v>
      </c>
    </row>
    <row r="672" spans="1:26" x14ac:dyDescent="0.25">
      <c r="A672" t="s">
        <v>65</v>
      </c>
      <c r="D672">
        <f t="shared" ref="D672:W672" si="437">D96*D132</f>
        <v>1368.2648970949579</v>
      </c>
      <c r="E672">
        <f t="shared" si="437"/>
        <v>1324.8789104032819</v>
      </c>
      <c r="F672">
        <f t="shared" si="437"/>
        <v>1217.0127856334952</v>
      </c>
      <c r="G672">
        <f t="shared" si="437"/>
        <v>910.08083855878328</v>
      </c>
      <c r="H672">
        <f t="shared" si="437"/>
        <v>1047.47106755607</v>
      </c>
      <c r="I672">
        <f t="shared" si="437"/>
        <v>971.80117982244246</v>
      </c>
      <c r="J672">
        <f t="shared" si="437"/>
        <v>785.38461467073068</v>
      </c>
      <c r="K672">
        <f t="shared" si="437"/>
        <v>859.823250200899</v>
      </c>
      <c r="L672">
        <f t="shared" si="437"/>
        <v>863.8019903787208</v>
      </c>
      <c r="M672">
        <f t="shared" si="437"/>
        <v>684.88370153263759</v>
      </c>
      <c r="N672">
        <f t="shared" si="437"/>
        <v>800.77591103416933</v>
      </c>
      <c r="O672">
        <f t="shared" si="437"/>
        <v>680.52429760919017</v>
      </c>
      <c r="P672">
        <f t="shared" si="437"/>
        <v>413.98653327030638</v>
      </c>
      <c r="Q672">
        <f t="shared" si="437"/>
        <v>476.3595054371504</v>
      </c>
      <c r="R672">
        <f t="shared" si="437"/>
        <v>318.24748681879225</v>
      </c>
      <c r="S672">
        <f t="shared" si="437"/>
        <v>533.49377107365729</v>
      </c>
      <c r="T672">
        <f t="shared" si="437"/>
        <v>811.80519208231658</v>
      </c>
      <c r="U672">
        <f t="shared" si="437"/>
        <v>813.94747153663093</v>
      </c>
      <c r="V672">
        <f t="shared" si="437"/>
        <v>825.79366855821945</v>
      </c>
      <c r="W672">
        <f t="shared" si="437"/>
        <v>1228.1417105060693</v>
      </c>
      <c r="Y672" s="6">
        <f t="shared" si="414"/>
        <v>16936.478783778519</v>
      </c>
      <c r="Z672">
        <f t="shared" si="415"/>
        <v>-384.75717915220451</v>
      </c>
    </row>
    <row r="673" spans="1:26" x14ac:dyDescent="0.25">
      <c r="A673" t="s">
        <v>66</v>
      </c>
      <c r="D673">
        <f t="shared" ref="D673:W673" si="438">D97*D133</f>
        <v>1415.7100186365844</v>
      </c>
      <c r="E673">
        <f t="shared" si="438"/>
        <v>1252.9708818982322</v>
      </c>
      <c r="F673">
        <f t="shared" si="438"/>
        <v>1080.5586514764682</v>
      </c>
      <c r="G673">
        <f t="shared" si="438"/>
        <v>894.96653429159153</v>
      </c>
      <c r="H673">
        <f t="shared" si="438"/>
        <v>978.16432859203928</v>
      </c>
      <c r="I673">
        <f t="shared" si="438"/>
        <v>1213.4365780210155</v>
      </c>
      <c r="J673">
        <f t="shared" si="438"/>
        <v>1139.0027614566691</v>
      </c>
      <c r="K673">
        <f t="shared" si="438"/>
        <v>1179.5688686294718</v>
      </c>
      <c r="L673">
        <f t="shared" si="438"/>
        <v>754.96359527991854</v>
      </c>
      <c r="M673">
        <f t="shared" si="438"/>
        <v>659.44672117088146</v>
      </c>
      <c r="N673">
        <f t="shared" si="438"/>
        <v>829.24159430477948</v>
      </c>
      <c r="O673">
        <f t="shared" si="438"/>
        <v>1146.2290797817188</v>
      </c>
      <c r="P673">
        <f t="shared" si="438"/>
        <v>929.97551791439355</v>
      </c>
      <c r="Q673">
        <f t="shared" si="438"/>
        <v>663.56234217739075</v>
      </c>
      <c r="R673">
        <f t="shared" si="438"/>
        <v>879.71818203723217</v>
      </c>
      <c r="S673">
        <f t="shared" si="438"/>
        <v>920.53891814943256</v>
      </c>
      <c r="T673">
        <f t="shared" si="438"/>
        <v>916.42756436603372</v>
      </c>
      <c r="U673">
        <f t="shared" si="438"/>
        <v>1136.7002631787498</v>
      </c>
      <c r="V673">
        <f t="shared" si="438"/>
        <v>960.62674255924628</v>
      </c>
      <c r="W673">
        <f t="shared" si="438"/>
        <v>825.16377716009856</v>
      </c>
      <c r="Y673" s="6">
        <f t="shared" si="414"/>
        <v>19776.972921081946</v>
      </c>
      <c r="Z673">
        <f t="shared" si="415"/>
        <v>-582.33305061611134</v>
      </c>
    </row>
    <row r="674" spans="1:26" x14ac:dyDescent="0.25">
      <c r="A674" t="s">
        <v>67</v>
      </c>
      <c r="D674">
        <f t="shared" ref="D674:W674" si="439">D98*D134</f>
        <v>1087.5501213279438</v>
      </c>
      <c r="E674">
        <f t="shared" si="439"/>
        <v>912.99135950190566</v>
      </c>
      <c r="F674">
        <f t="shared" si="439"/>
        <v>1032.9973984074472</v>
      </c>
      <c r="G674">
        <f t="shared" si="439"/>
        <v>727.78376501021739</v>
      </c>
      <c r="H674">
        <f t="shared" si="439"/>
        <v>950.25406426765676</v>
      </c>
      <c r="I674">
        <f t="shared" si="439"/>
        <v>772.15889094170586</v>
      </c>
      <c r="J674">
        <f t="shared" si="439"/>
        <v>802.3479530012961</v>
      </c>
      <c r="K674">
        <f t="shared" si="439"/>
        <v>871.95116376817361</v>
      </c>
      <c r="L674">
        <f t="shared" si="439"/>
        <v>530.3725178147314</v>
      </c>
      <c r="M674">
        <f t="shared" si="439"/>
        <v>683.63313769871411</v>
      </c>
      <c r="N674">
        <f t="shared" si="439"/>
        <v>679.44300156256418</v>
      </c>
      <c r="O674">
        <f t="shared" si="439"/>
        <v>736.1493199402023</v>
      </c>
      <c r="P674">
        <f t="shared" si="439"/>
        <v>621.50218380120748</v>
      </c>
      <c r="Q674">
        <f t="shared" si="439"/>
        <v>683.55586641352136</v>
      </c>
      <c r="R674">
        <f t="shared" si="439"/>
        <v>748.91038162839754</v>
      </c>
      <c r="S674">
        <f t="shared" si="439"/>
        <v>799.98264892349994</v>
      </c>
      <c r="T674">
        <f t="shared" si="439"/>
        <v>952.83369792498661</v>
      </c>
      <c r="U674">
        <f t="shared" si="439"/>
        <v>902.99359467444015</v>
      </c>
      <c r="V674">
        <f t="shared" si="439"/>
        <v>1224.0546354862952</v>
      </c>
      <c r="W674">
        <f t="shared" si="439"/>
        <v>1125.2640096803052</v>
      </c>
      <c r="Y674" s="6">
        <f t="shared" si="414"/>
        <v>16846.729711775213</v>
      </c>
      <c r="Z674">
        <f t="shared" si="415"/>
        <v>-445.80854378009093</v>
      </c>
    </row>
    <row r="675" spans="1:26" x14ac:dyDescent="0.25">
      <c r="A675" t="s">
        <v>68</v>
      </c>
      <c r="D675">
        <f t="shared" ref="D675:W675" si="440">D99*D135</f>
        <v>1225.1789718540665</v>
      </c>
      <c r="E675">
        <f t="shared" si="440"/>
        <v>1401.9456458522877</v>
      </c>
      <c r="F675">
        <f t="shared" si="440"/>
        <v>1312.7858980609547</v>
      </c>
      <c r="G675">
        <f t="shared" si="440"/>
        <v>1142.643659794501</v>
      </c>
      <c r="H675">
        <f t="shared" si="440"/>
        <v>936.63000120921515</v>
      </c>
      <c r="I675">
        <f t="shared" si="440"/>
        <v>926.51308078401973</v>
      </c>
      <c r="J675">
        <f t="shared" si="440"/>
        <v>557.11411314813722</v>
      </c>
      <c r="K675">
        <f t="shared" si="440"/>
        <v>601.05503930523878</v>
      </c>
      <c r="L675">
        <f t="shared" si="440"/>
        <v>808.94184162793931</v>
      </c>
      <c r="M675">
        <f t="shared" si="440"/>
        <v>392.83582627993661</v>
      </c>
      <c r="N675">
        <f t="shared" si="440"/>
        <v>596.08747675463576</v>
      </c>
      <c r="O675">
        <f t="shared" si="440"/>
        <v>532.28385615070317</v>
      </c>
      <c r="P675">
        <f t="shared" si="440"/>
        <v>760.51122920021112</v>
      </c>
      <c r="Q675">
        <f t="shared" si="440"/>
        <v>893.35018181052271</v>
      </c>
      <c r="R675">
        <f t="shared" si="440"/>
        <v>1109.8664080356541</v>
      </c>
      <c r="S675">
        <f t="shared" si="440"/>
        <v>1191.2161994209068</v>
      </c>
      <c r="T675">
        <f t="shared" si="440"/>
        <v>948.73868826701789</v>
      </c>
      <c r="U675">
        <f t="shared" si="440"/>
        <v>1018.4717642850084</v>
      </c>
      <c r="V675">
        <f t="shared" si="440"/>
        <v>1088.1516838880784</v>
      </c>
      <c r="W675">
        <f t="shared" si="440"/>
        <v>1130.3846730278681</v>
      </c>
      <c r="Y675" s="6">
        <f t="shared" si="414"/>
        <v>18574.706238756902</v>
      </c>
      <c r="Z675">
        <f t="shared" si="415"/>
        <v>26.402048492711351</v>
      </c>
    </row>
    <row r="676" spans="1:26" x14ac:dyDescent="0.25">
      <c r="A676" t="s">
        <v>69</v>
      </c>
      <c r="D676">
        <f t="shared" ref="D676:W676" si="441">D100*D136</f>
        <v>1055.0754813642918</v>
      </c>
      <c r="E676">
        <f t="shared" si="441"/>
        <v>1321.7160472906226</v>
      </c>
      <c r="F676">
        <f t="shared" si="441"/>
        <v>1214.0649888897203</v>
      </c>
      <c r="G676">
        <f t="shared" si="441"/>
        <v>1015.1068244748844</v>
      </c>
      <c r="H676">
        <f t="shared" si="441"/>
        <v>1075.4525872087349</v>
      </c>
      <c r="I676">
        <f t="shared" si="441"/>
        <v>1031.8639083708674</v>
      </c>
      <c r="J676">
        <f t="shared" si="441"/>
        <v>367.97827794918891</v>
      </c>
      <c r="K676">
        <f t="shared" si="441"/>
        <v>550.37967683421164</v>
      </c>
      <c r="L676">
        <f t="shared" si="441"/>
        <v>360.74225795045658</v>
      </c>
      <c r="M676">
        <f t="shared" si="441"/>
        <v>614.63153733753131</v>
      </c>
      <c r="N676">
        <f t="shared" si="441"/>
        <v>681.8879037413268</v>
      </c>
      <c r="O676">
        <f t="shared" si="441"/>
        <v>679.76431479529106</v>
      </c>
      <c r="P676">
        <f t="shared" si="441"/>
        <v>602.31864207834508</v>
      </c>
      <c r="Q676">
        <f t="shared" si="441"/>
        <v>941.6667809151935</v>
      </c>
      <c r="R676">
        <f t="shared" si="441"/>
        <v>377.36865808001988</v>
      </c>
      <c r="S676">
        <f t="shared" si="441"/>
        <v>623.94593831290706</v>
      </c>
      <c r="T676">
        <f t="shared" si="441"/>
        <v>754.17849975729973</v>
      </c>
      <c r="U676">
        <f t="shared" si="441"/>
        <v>913.45665524739206</v>
      </c>
      <c r="V676">
        <f t="shared" si="441"/>
        <v>856.93267475939945</v>
      </c>
      <c r="W676">
        <f t="shared" si="441"/>
        <v>781.20875483338625</v>
      </c>
      <c r="Y676" s="6">
        <f t="shared" si="414"/>
        <v>15819.740410191069</v>
      </c>
      <c r="Z676">
        <f t="shared" si="415"/>
        <v>-12.319543510654404</v>
      </c>
    </row>
    <row r="677" spans="1:26" x14ac:dyDescent="0.25">
      <c r="Y677" s="6"/>
    </row>
    <row r="678" spans="1:26" x14ac:dyDescent="0.25">
      <c r="A678" t="s">
        <v>70</v>
      </c>
      <c r="D678">
        <f t="shared" ref="D678:W678" si="442">D102*D138</f>
        <v>1244.3857025937348</v>
      </c>
      <c r="E678">
        <f t="shared" si="442"/>
        <v>1091.7171798672125</v>
      </c>
      <c r="F678">
        <f t="shared" si="442"/>
        <v>1139.9890774701107</v>
      </c>
      <c r="G678">
        <f t="shared" si="442"/>
        <v>1061.4526273726856</v>
      </c>
      <c r="H678">
        <f t="shared" si="442"/>
        <v>1019.201766605836</v>
      </c>
      <c r="I678">
        <f t="shared" si="442"/>
        <v>1242.7349079697296</v>
      </c>
      <c r="J678">
        <f t="shared" si="442"/>
        <v>1140.0346567498393</v>
      </c>
      <c r="K678">
        <f t="shared" si="442"/>
        <v>995.854293411404</v>
      </c>
      <c r="L678">
        <f t="shared" si="442"/>
        <v>654.25485069459171</v>
      </c>
      <c r="M678">
        <f t="shared" si="442"/>
        <v>635.15676387832912</v>
      </c>
      <c r="N678">
        <f t="shared" si="442"/>
        <v>649.72591851193931</v>
      </c>
      <c r="O678">
        <f t="shared" si="442"/>
        <v>736.14626343129703</v>
      </c>
      <c r="P678">
        <f t="shared" si="442"/>
        <v>605.87143795378233</v>
      </c>
      <c r="Q678">
        <f t="shared" si="442"/>
        <v>755.61053165865076</v>
      </c>
      <c r="R678">
        <f t="shared" si="442"/>
        <v>783.05343467873888</v>
      </c>
      <c r="S678">
        <f t="shared" si="442"/>
        <v>850.27430529534911</v>
      </c>
      <c r="T678">
        <f t="shared" si="442"/>
        <v>948.28351639028153</v>
      </c>
      <c r="U678">
        <f t="shared" si="442"/>
        <v>970.23133400495624</v>
      </c>
      <c r="V678">
        <f t="shared" si="442"/>
        <v>974.50731279884928</v>
      </c>
      <c r="W678">
        <f t="shared" si="442"/>
        <v>1005.8541473721206</v>
      </c>
      <c r="Y678" s="6">
        <f t="shared" si="414"/>
        <v>18504.340028709441</v>
      </c>
      <c r="Z678">
        <f>SUMPRODUCT($D$682:$W$682,D678:W678)</f>
        <v>-405.01402834188133</v>
      </c>
    </row>
    <row r="679" spans="1:26" x14ac:dyDescent="0.25">
      <c r="A679" t="s">
        <v>313</v>
      </c>
      <c r="D679">
        <f t="shared" ref="D679:W679" si="443">D103*D139</f>
        <v>1499.1179115141961</v>
      </c>
      <c r="E679">
        <f t="shared" si="443"/>
        <v>1455.1246328802945</v>
      </c>
      <c r="F679">
        <f t="shared" si="443"/>
        <v>877.27104750785361</v>
      </c>
      <c r="G679">
        <f t="shared" si="443"/>
        <v>985.01228999412092</v>
      </c>
      <c r="H679">
        <f t="shared" si="443"/>
        <v>1231.5288924363033</v>
      </c>
      <c r="I679">
        <f t="shared" si="443"/>
        <v>1181.8426916600833</v>
      </c>
      <c r="J679">
        <f t="shared" si="443"/>
        <v>1223.0177865221351</v>
      </c>
      <c r="K679">
        <f t="shared" si="443"/>
        <v>655.27328585800115</v>
      </c>
      <c r="L679">
        <f t="shared" si="443"/>
        <v>597.06227266565759</v>
      </c>
      <c r="M679">
        <f t="shared" si="443"/>
        <v>650.95299827045585</v>
      </c>
      <c r="N679">
        <f t="shared" si="443"/>
        <v>510.26742965851616</v>
      </c>
      <c r="O679">
        <f t="shared" si="443"/>
        <v>626.32384850635628</v>
      </c>
      <c r="P679">
        <f t="shared" si="443"/>
        <v>844.8</v>
      </c>
      <c r="Q679">
        <f t="shared" si="443"/>
        <v>891.45</v>
      </c>
      <c r="R679">
        <f t="shared" si="443"/>
        <v>966.81</v>
      </c>
      <c r="S679">
        <f t="shared" si="443"/>
        <v>308.22000000000003</v>
      </c>
      <c r="T679">
        <f t="shared" si="443"/>
        <v>991.6</v>
      </c>
      <c r="U679">
        <f t="shared" si="443"/>
        <v>1029.5999999999999</v>
      </c>
      <c r="V679">
        <f t="shared" si="443"/>
        <v>806</v>
      </c>
      <c r="W679">
        <f t="shared" si="443"/>
        <v>871</v>
      </c>
      <c r="Y679" s="6">
        <f t="shared" si="414"/>
        <v>18202.275087473972</v>
      </c>
      <c r="Z679">
        <f>SUMPRODUCT($D$682:$W$682,D679:W679)</f>
        <v>-366.96277476765431</v>
      </c>
    </row>
    <row r="680" spans="1:26" x14ac:dyDescent="0.25">
      <c r="A680" t="s">
        <v>314</v>
      </c>
      <c r="D680">
        <f t="shared" ref="D680:W680" si="444">D104*D140</f>
        <v>1521.6808835058018</v>
      </c>
      <c r="E680">
        <f t="shared" si="444"/>
        <v>1140.6033322807589</v>
      </c>
      <c r="F680">
        <f t="shared" si="444"/>
        <v>887.58987917876857</v>
      </c>
      <c r="G680">
        <f t="shared" si="444"/>
        <v>1051.2271741861323</v>
      </c>
      <c r="H680">
        <f t="shared" si="444"/>
        <v>1148.5181890395938</v>
      </c>
      <c r="I680">
        <f t="shared" si="444"/>
        <v>1081.0216408850554</v>
      </c>
      <c r="J680">
        <f t="shared" si="444"/>
        <v>802.43133581571612</v>
      </c>
      <c r="K680">
        <f t="shared" si="444"/>
        <v>879.62000000000012</v>
      </c>
      <c r="L680">
        <f t="shared" si="444"/>
        <v>609.84</v>
      </c>
      <c r="M680">
        <f t="shared" si="444"/>
        <v>641.69999999999993</v>
      </c>
      <c r="N680">
        <f t="shared" si="444"/>
        <v>610.29999999999995</v>
      </c>
      <c r="O680">
        <f t="shared" si="444"/>
        <v>745.92</v>
      </c>
      <c r="P680">
        <f t="shared" si="444"/>
        <v>601.388528234403</v>
      </c>
      <c r="Q680">
        <f t="shared" si="444"/>
        <v>645.83165825199978</v>
      </c>
      <c r="R680">
        <f t="shared" si="444"/>
        <v>730.11767066167386</v>
      </c>
      <c r="S680">
        <f t="shared" si="444"/>
        <v>817.6723053489701</v>
      </c>
      <c r="T680">
        <f t="shared" si="444"/>
        <v>981.84626658224283</v>
      </c>
      <c r="U680">
        <f t="shared" si="444"/>
        <v>908.16200527127387</v>
      </c>
      <c r="V680">
        <f t="shared" si="444"/>
        <v>870.21224580181638</v>
      </c>
      <c r="W680">
        <f t="shared" si="444"/>
        <v>1003.0863665343217</v>
      </c>
      <c r="Y680" s="6">
        <f t="shared" si="414"/>
        <v>17678.769481578525</v>
      </c>
      <c r="Z680">
        <f>SUMPRODUCT($D$682:$W$682,D680:W680)</f>
        <v>-266.65880309666034</v>
      </c>
    </row>
    <row r="681" spans="1:26" x14ac:dyDescent="0.25">
      <c r="A681" t="s">
        <v>658</v>
      </c>
      <c r="D681">
        <f t="shared" ref="D681:W681" si="445">D105*D141</f>
        <v>1287.0400023605459</v>
      </c>
      <c r="E681">
        <f t="shared" si="445"/>
        <v>1313.8738265925267</v>
      </c>
      <c r="F681">
        <f t="shared" si="445"/>
        <v>1341.3795014621267</v>
      </c>
      <c r="G681">
        <f t="shared" si="445"/>
        <v>1205.0563447319396</v>
      </c>
      <c r="H681">
        <f t="shared" si="445"/>
        <v>1021.3278032483385</v>
      </c>
      <c r="I681">
        <f t="shared" si="445"/>
        <v>1004.9100000000001</v>
      </c>
      <c r="J681">
        <f t="shared" si="445"/>
        <v>759.63642857142872</v>
      </c>
      <c r="K681">
        <f t="shared" si="445"/>
        <v>799.07257142857156</v>
      </c>
      <c r="L681">
        <f t="shared" si="445"/>
        <v>684.93909523809532</v>
      </c>
      <c r="M681">
        <f t="shared" si="445"/>
        <v>652.90583090379027</v>
      </c>
      <c r="N681">
        <f t="shared" si="445"/>
        <v>658.44</v>
      </c>
      <c r="O681">
        <f t="shared" si="445"/>
        <v>720.13</v>
      </c>
      <c r="P681">
        <f t="shared" si="445"/>
        <v>568.23509317938942</v>
      </c>
      <c r="Q681">
        <f t="shared" si="445"/>
        <v>623.72639380166186</v>
      </c>
      <c r="R681">
        <f t="shared" si="445"/>
        <v>507.2051008797597</v>
      </c>
      <c r="S681">
        <f t="shared" si="445"/>
        <v>767.3640816326531</v>
      </c>
      <c r="T681">
        <f t="shared" si="445"/>
        <v>925.26600178795002</v>
      </c>
      <c r="U681">
        <f t="shared" si="445"/>
        <v>882.26722159970143</v>
      </c>
      <c r="V681">
        <f t="shared" si="445"/>
        <v>861.68163328473065</v>
      </c>
      <c r="W681">
        <f t="shared" si="445"/>
        <v>1016.6587654521367</v>
      </c>
      <c r="Y681" s="6">
        <f t="shared" ref="Y681" si="446">SUM(D681:W681)</f>
        <v>17601.115696155342</v>
      </c>
      <c r="Z681">
        <f>SUMPRODUCT($D$682:$W$682,D681:W681)</f>
        <v>-228.71885411536019</v>
      </c>
    </row>
    <row r="682" spans="1:26" x14ac:dyDescent="0.25">
      <c r="A682" s="2" t="s">
        <v>71</v>
      </c>
      <c r="D682" s="3">
        <f>CORREL($B$2:$B$28,D650:D676)</f>
        <v>0.16437979516860646</v>
      </c>
      <c r="E682" s="3">
        <f t="shared" ref="E682:W682" si="447">CORREL($B$2:$B$28,E650:E676)</f>
        <v>0.27385211256835862</v>
      </c>
      <c r="F682" s="3">
        <f t="shared" si="447"/>
        <v>0.1031457881224785</v>
      </c>
      <c r="G682" s="3">
        <f t="shared" si="447"/>
        <v>-2.1958259875361489E-2</v>
      </c>
      <c r="H682" s="3">
        <f t="shared" si="447"/>
        <v>-0.13869919534565059</v>
      </c>
      <c r="I682" s="3">
        <f t="shared" si="447"/>
        <v>0.26659529964191814</v>
      </c>
      <c r="J682" s="3">
        <f t="shared" si="447"/>
        <v>-0.3680003400033221</v>
      </c>
      <c r="K682" s="3">
        <f t="shared" si="447"/>
        <v>-0.21752242737493116</v>
      </c>
      <c r="L682" s="3">
        <f t="shared" si="447"/>
        <v>-0.29552886886920887</v>
      </c>
      <c r="M682" s="3">
        <f t="shared" si="447"/>
        <v>-0.11595699062197715</v>
      </c>
      <c r="N682" s="3">
        <f t="shared" si="447"/>
        <v>-0.32718234013171754</v>
      </c>
      <c r="O682" s="3">
        <f t="shared" si="447"/>
        <v>-0.20702426552114819</v>
      </c>
      <c r="P682" s="3">
        <f t="shared" si="447"/>
        <v>-0.14694722649357378</v>
      </c>
      <c r="Q682" s="3">
        <f t="shared" si="447"/>
        <v>1.1920003007788998E-3</v>
      </c>
      <c r="R682" s="3">
        <f t="shared" si="447"/>
        <v>2.4598425080014377E-2</v>
      </c>
      <c r="S682" s="3">
        <f t="shared" si="447"/>
        <v>0.24068254754564106</v>
      </c>
      <c r="T682" s="3">
        <f t="shared" si="447"/>
        <v>-2.0427659695127932E-2</v>
      </c>
      <c r="U682" s="3">
        <f t="shared" si="447"/>
        <v>-1.8621424797529602E-2</v>
      </c>
      <c r="V682" s="3">
        <f t="shared" si="447"/>
        <v>-1.5411953615112143E-2</v>
      </c>
      <c r="W682" s="3">
        <f t="shared" si="447"/>
        <v>-7.8963941328265095E-3</v>
      </c>
    </row>
    <row r="685" spans="1:26" x14ac:dyDescent="0.25">
      <c r="D685" t="s">
        <v>220</v>
      </c>
      <c r="E685" t="s">
        <v>221</v>
      </c>
      <c r="F685" t="s">
        <v>222</v>
      </c>
      <c r="G685" t="s">
        <v>223</v>
      </c>
      <c r="H685" t="s">
        <v>224</v>
      </c>
      <c r="I685" t="s">
        <v>225</v>
      </c>
      <c r="J685" t="s">
        <v>226</v>
      </c>
      <c r="K685" t="s">
        <v>227</v>
      </c>
      <c r="L685" t="s">
        <v>334</v>
      </c>
      <c r="M685" t="s">
        <v>400</v>
      </c>
      <c r="N685" t="s">
        <v>401</v>
      </c>
      <c r="O685" t="s">
        <v>402</v>
      </c>
      <c r="P685" t="s">
        <v>510</v>
      </c>
      <c r="Q685" t="s">
        <v>511</v>
      </c>
      <c r="R685" t="s">
        <v>512</v>
      </c>
      <c r="S685" t="s">
        <v>513</v>
      </c>
      <c r="T685" t="s">
        <v>622</v>
      </c>
      <c r="U685" t="s">
        <v>623</v>
      </c>
      <c r="V685" t="s">
        <v>624</v>
      </c>
      <c r="W685" t="s">
        <v>625</v>
      </c>
      <c r="Y685" t="s">
        <v>228</v>
      </c>
      <c r="Z685" t="s">
        <v>229</v>
      </c>
    </row>
    <row r="686" spans="1:26" x14ac:dyDescent="0.25">
      <c r="A686" t="s">
        <v>43</v>
      </c>
      <c r="D686">
        <f t="shared" ref="D686:W686" si="448">D74*D146</f>
        <v>367.90341576402449</v>
      </c>
      <c r="E686">
        <f t="shared" si="448"/>
        <v>307.19918140334806</v>
      </c>
      <c r="F686">
        <f t="shared" si="448"/>
        <v>259.19262432251054</v>
      </c>
      <c r="G686">
        <f t="shared" si="448"/>
        <v>400.45164505780292</v>
      </c>
      <c r="H686">
        <f t="shared" si="448"/>
        <v>298.81046196142472</v>
      </c>
      <c r="I686">
        <f t="shared" si="448"/>
        <v>291.6529131817652</v>
      </c>
      <c r="J686">
        <f t="shared" si="448"/>
        <v>510.7810621107817</v>
      </c>
      <c r="K686">
        <f t="shared" si="448"/>
        <v>274.52831339324138</v>
      </c>
      <c r="L686">
        <f t="shared" si="448"/>
        <v>333.79499796038453</v>
      </c>
      <c r="M686">
        <f t="shared" si="448"/>
        <v>119.64846759398844</v>
      </c>
      <c r="N686">
        <f t="shared" si="448"/>
        <v>202.05786960320989</v>
      </c>
      <c r="O686">
        <f t="shared" si="448"/>
        <v>282.61836603007521</v>
      </c>
      <c r="P686">
        <f t="shared" si="448"/>
        <v>285.70301617849071</v>
      </c>
      <c r="Q686">
        <f t="shared" si="448"/>
        <v>315.24137366315057</v>
      </c>
      <c r="R686">
        <f t="shared" si="448"/>
        <v>374.02223857268194</v>
      </c>
      <c r="S686">
        <f t="shared" si="448"/>
        <v>283.8123787204006</v>
      </c>
      <c r="T686">
        <f t="shared" si="448"/>
        <v>210.42982734304525</v>
      </c>
      <c r="U686">
        <f t="shared" si="448"/>
        <v>199.35816588206345</v>
      </c>
      <c r="V686">
        <f t="shared" si="448"/>
        <v>694.6235531238766</v>
      </c>
      <c r="W686">
        <f t="shared" si="448"/>
        <v>236.91991445767374</v>
      </c>
      <c r="Y686" s="6">
        <f t="shared" ref="Y686:Y716" si="449">SUM(D686:W686)</f>
        <v>6248.7497863239387</v>
      </c>
      <c r="Z686">
        <f t="shared" ref="Z686:Z712" si="450">SUMPRODUCT($D$718:$W$718,D686:W686)</f>
        <v>-882.6305033783342</v>
      </c>
    </row>
    <row r="687" spans="1:26" x14ac:dyDescent="0.25">
      <c r="A687" t="s">
        <v>44</v>
      </c>
      <c r="D687">
        <f t="shared" ref="D687:W687" si="451">D75*D147</f>
        <v>285.61781771060231</v>
      </c>
      <c r="E687">
        <f t="shared" si="451"/>
        <v>261.18744882520173</v>
      </c>
      <c r="F687">
        <f t="shared" si="451"/>
        <v>516.49278885801391</v>
      </c>
      <c r="G687">
        <f t="shared" si="451"/>
        <v>255.9734394845139</v>
      </c>
      <c r="H687">
        <f t="shared" si="451"/>
        <v>343.94490154258642</v>
      </c>
      <c r="I687">
        <f t="shared" si="451"/>
        <v>201.76216834679491</v>
      </c>
      <c r="J687">
        <f t="shared" si="451"/>
        <v>143.68409934388046</v>
      </c>
      <c r="K687">
        <f t="shared" si="451"/>
        <v>180.83724021223259</v>
      </c>
      <c r="L687">
        <f t="shared" si="451"/>
        <v>144.97230770429513</v>
      </c>
      <c r="M687">
        <f t="shared" si="451"/>
        <v>241.95097987299565</v>
      </c>
      <c r="N687">
        <f t="shared" si="451"/>
        <v>484.24305210560135</v>
      </c>
      <c r="O687">
        <f t="shared" si="451"/>
        <v>293.70500576495448</v>
      </c>
      <c r="P687">
        <f t="shared" si="451"/>
        <v>104.31885617682633</v>
      </c>
      <c r="Q687">
        <f t="shared" si="451"/>
        <v>138.61123132745468</v>
      </c>
      <c r="R687">
        <f t="shared" si="451"/>
        <v>192.73226019390793</v>
      </c>
      <c r="S687">
        <f t="shared" si="451"/>
        <v>196.69049422680627</v>
      </c>
      <c r="T687">
        <f t="shared" si="451"/>
        <v>315.83817096158504</v>
      </c>
      <c r="U687">
        <f t="shared" si="451"/>
        <v>207.7688145380651</v>
      </c>
      <c r="V687">
        <f t="shared" si="451"/>
        <v>416.05297840499139</v>
      </c>
      <c r="W687">
        <f t="shared" si="451"/>
        <v>452.68730496509471</v>
      </c>
      <c r="Y687" s="6">
        <f t="shared" si="449"/>
        <v>5379.0713605664041</v>
      </c>
      <c r="Z687">
        <f t="shared" si="450"/>
        <v>-711.04672210165563</v>
      </c>
    </row>
    <row r="688" spans="1:26" x14ac:dyDescent="0.25">
      <c r="A688" t="s">
        <v>45</v>
      </c>
      <c r="D688">
        <f t="shared" ref="D688:W688" si="452">D76*D148</f>
        <v>470.61394367695527</v>
      </c>
      <c r="E688">
        <f t="shared" si="452"/>
        <v>135.15160998445793</v>
      </c>
      <c r="F688">
        <f t="shared" si="452"/>
        <v>67.776849025255842</v>
      </c>
      <c r="G688">
        <f t="shared" si="452"/>
        <v>376.17182285032504</v>
      </c>
      <c r="H688">
        <f t="shared" si="452"/>
        <v>480.57819254819736</v>
      </c>
      <c r="I688">
        <f t="shared" si="452"/>
        <v>338.49862275689685</v>
      </c>
      <c r="J688">
        <f t="shared" si="452"/>
        <v>535.0317434141997</v>
      </c>
      <c r="K688">
        <f t="shared" si="452"/>
        <v>234.2176798142807</v>
      </c>
      <c r="L688">
        <f t="shared" si="452"/>
        <v>278.02032157457381</v>
      </c>
      <c r="M688">
        <f t="shared" si="452"/>
        <v>285.38681019588108</v>
      </c>
      <c r="N688">
        <f t="shared" si="452"/>
        <v>390.45442334299253</v>
      </c>
      <c r="O688">
        <f t="shared" si="452"/>
        <v>307.95857506022287</v>
      </c>
      <c r="P688">
        <f t="shared" si="452"/>
        <v>110.74166501327844</v>
      </c>
      <c r="Q688">
        <f t="shared" si="452"/>
        <v>199.9515719710968</v>
      </c>
      <c r="R688">
        <f t="shared" si="452"/>
        <v>332.29555778143487</v>
      </c>
      <c r="S688">
        <f t="shared" si="452"/>
        <v>412.16455622055889</v>
      </c>
      <c r="T688">
        <f t="shared" si="452"/>
        <v>571.2517814903008</v>
      </c>
      <c r="U688">
        <f t="shared" si="452"/>
        <v>480.55410286443708</v>
      </c>
      <c r="V688">
        <f t="shared" si="452"/>
        <v>433.04880359040283</v>
      </c>
      <c r="W688">
        <f t="shared" si="452"/>
        <v>555.67434749226891</v>
      </c>
      <c r="Y688" s="6">
        <f t="shared" si="449"/>
        <v>6995.5429806680158</v>
      </c>
      <c r="Z688">
        <f t="shared" si="450"/>
        <v>-1126.3618361702111</v>
      </c>
    </row>
    <row r="689" spans="1:26" x14ac:dyDescent="0.25">
      <c r="A689" t="s">
        <v>46</v>
      </c>
      <c r="D689">
        <f t="shared" ref="D689:W689" si="453">D77*D149</f>
        <v>268.50698254766155</v>
      </c>
      <c r="E689">
        <f t="shared" si="453"/>
        <v>205.82163227376645</v>
      </c>
      <c r="F689">
        <f t="shared" si="453"/>
        <v>229.80870927789533</v>
      </c>
      <c r="G689">
        <f t="shared" si="453"/>
        <v>246.74527035970743</v>
      </c>
      <c r="H689">
        <f t="shared" si="453"/>
        <v>231.63192147306631</v>
      </c>
      <c r="I689">
        <f t="shared" si="453"/>
        <v>195.04268721114971</v>
      </c>
      <c r="J689">
        <f t="shared" si="453"/>
        <v>264.86192852926865</v>
      </c>
      <c r="K689">
        <f t="shared" si="453"/>
        <v>391.36356642639436</v>
      </c>
      <c r="L689">
        <f t="shared" si="453"/>
        <v>446.48016065481778</v>
      </c>
      <c r="M689">
        <f t="shared" si="453"/>
        <v>357.7143258852916</v>
      </c>
      <c r="N689">
        <f t="shared" si="453"/>
        <v>114.62392326175731</v>
      </c>
      <c r="O689">
        <f t="shared" si="453"/>
        <v>245.05415255746325</v>
      </c>
      <c r="P689">
        <f t="shared" si="453"/>
        <v>146.83343415072227</v>
      </c>
      <c r="Q689">
        <f t="shared" si="453"/>
        <v>196.98136848875862</v>
      </c>
      <c r="R689">
        <f t="shared" si="453"/>
        <v>156.07175733887561</v>
      </c>
      <c r="S689">
        <f t="shared" si="453"/>
        <v>395.47752183996852</v>
      </c>
      <c r="T689">
        <f t="shared" si="453"/>
        <v>167.51738418718273</v>
      </c>
      <c r="U689">
        <f t="shared" si="453"/>
        <v>148.06791018539755</v>
      </c>
      <c r="V689">
        <f t="shared" si="453"/>
        <v>205.08263121539369</v>
      </c>
      <c r="W689">
        <f t="shared" si="453"/>
        <v>317.7719108416855</v>
      </c>
      <c r="Y689" s="6">
        <f t="shared" si="449"/>
        <v>4931.4591787062245</v>
      </c>
      <c r="Z689">
        <f t="shared" si="450"/>
        <v>-585.58884959361501</v>
      </c>
    </row>
    <row r="690" spans="1:26" x14ac:dyDescent="0.25">
      <c r="A690" t="s">
        <v>47</v>
      </c>
      <c r="D690">
        <f t="shared" ref="D690:W690" si="454">D78*D150</f>
        <v>427.83534104509317</v>
      </c>
      <c r="E690">
        <f t="shared" si="454"/>
        <v>427.64334410063441</v>
      </c>
      <c r="F690">
        <f t="shared" si="454"/>
        <v>324.33068788405996</v>
      </c>
      <c r="G690">
        <f t="shared" si="454"/>
        <v>545.57221555138403</v>
      </c>
      <c r="H690">
        <f t="shared" si="454"/>
        <v>454.40198574936397</v>
      </c>
      <c r="I690">
        <f t="shared" si="454"/>
        <v>268.90706326869628</v>
      </c>
      <c r="J690">
        <f t="shared" si="454"/>
        <v>330.78944475231549</v>
      </c>
      <c r="K690">
        <f t="shared" si="454"/>
        <v>344.56011336596612</v>
      </c>
      <c r="L690">
        <f t="shared" si="454"/>
        <v>183.07074847989313</v>
      </c>
      <c r="M690">
        <f t="shared" si="454"/>
        <v>269.26381264909566</v>
      </c>
      <c r="N690">
        <f t="shared" si="454"/>
        <v>249.61588284923116</v>
      </c>
      <c r="O690">
        <f t="shared" si="454"/>
        <v>265.48024764527179</v>
      </c>
      <c r="P690">
        <f t="shared" si="454"/>
        <v>334.48032553374082</v>
      </c>
      <c r="Q690">
        <f t="shared" si="454"/>
        <v>255.75521474526587</v>
      </c>
      <c r="R690">
        <f t="shared" si="454"/>
        <v>492.29998812798482</v>
      </c>
      <c r="S690">
        <f t="shared" si="454"/>
        <v>518.97517934921166</v>
      </c>
      <c r="T690">
        <f t="shared" si="454"/>
        <v>231.24721971987444</v>
      </c>
      <c r="U690">
        <f t="shared" si="454"/>
        <v>285.46894943424348</v>
      </c>
      <c r="V690">
        <f t="shared" si="454"/>
        <v>290.10954812563477</v>
      </c>
      <c r="W690">
        <f t="shared" si="454"/>
        <v>406.43734946361872</v>
      </c>
      <c r="Y690" s="6">
        <f t="shared" si="449"/>
        <v>6906.2446618405793</v>
      </c>
      <c r="Z690">
        <f t="shared" si="450"/>
        <v>-701.672053592986</v>
      </c>
    </row>
    <row r="691" spans="1:26" x14ac:dyDescent="0.25">
      <c r="A691" t="s">
        <v>48</v>
      </c>
      <c r="D691">
        <f t="shared" ref="D691:W691" si="455">D79*D151</f>
        <v>575.11861127294412</v>
      </c>
      <c r="E691">
        <f t="shared" si="455"/>
        <v>570.75727643086839</v>
      </c>
      <c r="F691">
        <f t="shared" si="455"/>
        <v>611.07288432409439</v>
      </c>
      <c r="G691">
        <f t="shared" si="455"/>
        <v>967.38756930273257</v>
      </c>
      <c r="H691">
        <f t="shared" si="455"/>
        <v>1274.357136960823</v>
      </c>
      <c r="I691">
        <f t="shared" si="455"/>
        <v>687.20280283110151</v>
      </c>
      <c r="J691">
        <f t="shared" si="455"/>
        <v>701.35567811651242</v>
      </c>
      <c r="K691">
        <f t="shared" si="455"/>
        <v>709.47111708947125</v>
      </c>
      <c r="L691">
        <f t="shared" si="455"/>
        <v>352.15312069239496</v>
      </c>
      <c r="M691">
        <f t="shared" si="455"/>
        <v>192.33486110397047</v>
      </c>
      <c r="N691">
        <f t="shared" si="455"/>
        <v>241.16598038154089</v>
      </c>
      <c r="O691">
        <f t="shared" si="455"/>
        <v>148.89964070050684</v>
      </c>
      <c r="P691">
        <f t="shared" si="455"/>
        <v>324.54928285417577</v>
      </c>
      <c r="Q691">
        <f t="shared" si="455"/>
        <v>378.36998624438434</v>
      </c>
      <c r="R691">
        <f t="shared" si="455"/>
        <v>236.35865261962036</v>
      </c>
      <c r="S691">
        <f t="shared" si="455"/>
        <v>210.03765301413526</v>
      </c>
      <c r="T691">
        <f t="shared" si="455"/>
        <v>164.65425959254728</v>
      </c>
      <c r="U691">
        <f t="shared" si="455"/>
        <v>223.98661493604556</v>
      </c>
      <c r="V691">
        <f t="shared" si="455"/>
        <v>248.90676272712403</v>
      </c>
      <c r="W691">
        <f t="shared" si="455"/>
        <v>249.2519044649755</v>
      </c>
      <c r="Y691" s="6">
        <f t="shared" si="449"/>
        <v>9067.3917956599707</v>
      </c>
      <c r="Z691">
        <f t="shared" si="450"/>
        <v>-874.73692553229841</v>
      </c>
    </row>
    <row r="692" spans="1:26" x14ac:dyDescent="0.25">
      <c r="A692" t="s">
        <v>49</v>
      </c>
      <c r="D692">
        <f t="shared" ref="D692:W692" si="456">D80*D152</f>
        <v>240.58224306278561</v>
      </c>
      <c r="E692">
        <f t="shared" si="456"/>
        <v>427.79240050866673</v>
      </c>
      <c r="F692">
        <f t="shared" si="456"/>
        <v>459.85645452266618</v>
      </c>
      <c r="G692">
        <f t="shared" si="456"/>
        <v>371.1049223222322</v>
      </c>
      <c r="H692">
        <f t="shared" si="456"/>
        <v>320.61784543797199</v>
      </c>
      <c r="I692">
        <f t="shared" si="456"/>
        <v>311.06038596531909</v>
      </c>
      <c r="J692">
        <f t="shared" si="456"/>
        <v>288.19431729851448</v>
      </c>
      <c r="K692">
        <f t="shared" si="456"/>
        <v>300.1922226989069</v>
      </c>
      <c r="L692">
        <f t="shared" si="456"/>
        <v>317.19077254381745</v>
      </c>
      <c r="M692">
        <f t="shared" si="456"/>
        <v>154.99421449998221</v>
      </c>
      <c r="N692">
        <f t="shared" si="456"/>
        <v>191.48572175574844</v>
      </c>
      <c r="O692">
        <f t="shared" si="456"/>
        <v>203.15058232592494</v>
      </c>
      <c r="P692">
        <f t="shared" si="456"/>
        <v>446.15188372862639</v>
      </c>
      <c r="Q692">
        <f t="shared" si="456"/>
        <v>820.23294942960001</v>
      </c>
      <c r="R692">
        <f t="shared" si="456"/>
        <v>494.58856856114414</v>
      </c>
      <c r="S692">
        <f t="shared" si="456"/>
        <v>269.00636691753567</v>
      </c>
      <c r="T692">
        <f t="shared" si="456"/>
        <v>201.72798805823729</v>
      </c>
      <c r="U692">
        <f t="shared" si="456"/>
        <v>323.06783509551167</v>
      </c>
      <c r="V692">
        <f t="shared" si="456"/>
        <v>349.69073446506474</v>
      </c>
      <c r="W692">
        <f t="shared" si="456"/>
        <v>258.58938963015044</v>
      </c>
      <c r="Y692" s="6">
        <f t="shared" si="449"/>
        <v>6749.2777988284051</v>
      </c>
      <c r="Z692">
        <f t="shared" si="450"/>
        <v>-762.21513407247198</v>
      </c>
    </row>
    <row r="693" spans="1:26" x14ac:dyDescent="0.25">
      <c r="A693" t="s">
        <v>50</v>
      </c>
      <c r="D693">
        <f t="shared" ref="D693:W693" si="457">D81*D153</f>
        <v>347.31824730825156</v>
      </c>
      <c r="E693">
        <f t="shared" si="457"/>
        <v>317.63046887261271</v>
      </c>
      <c r="F693">
        <f t="shared" si="457"/>
        <v>-4.05692203545218</v>
      </c>
      <c r="G693">
        <f t="shared" si="457"/>
        <v>511.70664692895093</v>
      </c>
      <c r="H693">
        <f t="shared" si="457"/>
        <v>404.32903122499278</v>
      </c>
      <c r="I693">
        <f t="shared" si="457"/>
        <v>391.37509464725099</v>
      </c>
      <c r="J693">
        <f t="shared" si="457"/>
        <v>310.12461103675565</v>
      </c>
      <c r="K693">
        <f t="shared" si="457"/>
        <v>301.28096821281844</v>
      </c>
      <c r="L693">
        <f t="shared" si="457"/>
        <v>400.98303563799146</v>
      </c>
      <c r="M693">
        <f t="shared" si="457"/>
        <v>517.5014059675226</v>
      </c>
      <c r="N693">
        <f t="shared" si="457"/>
        <v>968.91506002297581</v>
      </c>
      <c r="O693">
        <f t="shared" si="457"/>
        <v>1002.8551828525618</v>
      </c>
      <c r="P693">
        <f t="shared" si="457"/>
        <v>840.41761276019167</v>
      </c>
      <c r="Q693">
        <f t="shared" si="457"/>
        <v>924.69402946553259</v>
      </c>
      <c r="R693">
        <f t="shared" si="457"/>
        <v>78.639018589420346</v>
      </c>
      <c r="S693">
        <f t="shared" si="457"/>
        <v>138.12266641168844</v>
      </c>
      <c r="T693">
        <f t="shared" si="457"/>
        <v>485.00563568918085</v>
      </c>
      <c r="U693">
        <f t="shared" si="457"/>
        <v>484.73997599831119</v>
      </c>
      <c r="V693">
        <f t="shared" si="457"/>
        <v>513.69107341509675</v>
      </c>
      <c r="W693">
        <f t="shared" si="457"/>
        <v>299.71711804061556</v>
      </c>
      <c r="Y693" s="6">
        <f t="shared" si="449"/>
        <v>9234.9899610472694</v>
      </c>
      <c r="Z693">
        <f t="shared" si="450"/>
        <v>-1728.1475577618778</v>
      </c>
    </row>
    <row r="694" spans="1:26" x14ac:dyDescent="0.25">
      <c r="A694" t="s">
        <v>51</v>
      </c>
      <c r="D694">
        <f t="shared" ref="D694:W694" si="458">D82*D154</f>
        <v>555.01832001703781</v>
      </c>
      <c r="E694">
        <f t="shared" si="458"/>
        <v>926.36255064866384</v>
      </c>
      <c r="F694">
        <f t="shared" si="458"/>
        <v>1656.1447958722506</v>
      </c>
      <c r="G694">
        <f t="shared" si="458"/>
        <v>698.18837929676431</v>
      </c>
      <c r="H694">
        <f t="shared" si="458"/>
        <v>449.29107837951705</v>
      </c>
      <c r="I694">
        <f t="shared" si="458"/>
        <v>259.56814461573782</v>
      </c>
      <c r="J694">
        <f t="shared" si="458"/>
        <v>662.67598614412543</v>
      </c>
      <c r="K694">
        <f t="shared" si="458"/>
        <v>686.0068016271241</v>
      </c>
      <c r="L694">
        <f t="shared" si="458"/>
        <v>670.06957998975611</v>
      </c>
      <c r="M694">
        <f t="shared" si="458"/>
        <v>814.67585646042016</v>
      </c>
      <c r="N694">
        <f t="shared" si="458"/>
        <v>1051.7652996280647</v>
      </c>
      <c r="O694">
        <f t="shared" si="458"/>
        <v>710.89761618547516</v>
      </c>
      <c r="P694">
        <f t="shared" si="458"/>
        <v>936.13430881179545</v>
      </c>
      <c r="Q694">
        <f t="shared" si="458"/>
        <v>508.16191563276954</v>
      </c>
      <c r="R694">
        <f t="shared" si="458"/>
        <v>777.81320576962241</v>
      </c>
      <c r="S694">
        <f t="shared" si="458"/>
        <v>849.79697376336026</v>
      </c>
      <c r="T694">
        <f t="shared" si="458"/>
        <v>735.04150912171349</v>
      </c>
      <c r="U694">
        <f t="shared" si="458"/>
        <v>622.69149981877058</v>
      </c>
      <c r="V694">
        <f t="shared" si="458"/>
        <v>673.82357981776408</v>
      </c>
      <c r="W694">
        <f t="shared" si="458"/>
        <v>609.95240098171018</v>
      </c>
      <c r="Y694" s="6">
        <f t="shared" si="449"/>
        <v>14854.079802582444</v>
      </c>
      <c r="Z694">
        <f t="shared" si="450"/>
        <v>-1878.827864225457</v>
      </c>
    </row>
    <row r="695" spans="1:26" x14ac:dyDescent="0.25">
      <c r="A695" t="s">
        <v>52</v>
      </c>
      <c r="D695">
        <f t="shared" ref="D695:W695" si="459">D83*D155</f>
        <v>429.0232981539562</v>
      </c>
      <c r="E695">
        <f t="shared" si="459"/>
        <v>419.98777450210503</v>
      </c>
      <c r="F695">
        <f t="shared" si="459"/>
        <v>355.23233804031872</v>
      </c>
      <c r="G695">
        <f t="shared" si="459"/>
        <v>218.94861997489906</v>
      </c>
      <c r="H695">
        <f t="shared" si="459"/>
        <v>261.78936640247315</v>
      </c>
      <c r="I695">
        <f t="shared" si="459"/>
        <v>525.36084768853482</v>
      </c>
      <c r="J695">
        <f t="shared" si="459"/>
        <v>141.95075738377145</v>
      </c>
      <c r="K695">
        <f t="shared" si="459"/>
        <v>194.63952582645058</v>
      </c>
      <c r="L695">
        <f t="shared" si="459"/>
        <v>276.55062720874952</v>
      </c>
      <c r="M695">
        <f t="shared" si="459"/>
        <v>286.90483945497897</v>
      </c>
      <c r="N695">
        <f t="shared" si="459"/>
        <v>227.01500993700017</v>
      </c>
      <c r="O695">
        <f t="shared" si="459"/>
        <v>232.54539931505019</v>
      </c>
      <c r="P695">
        <f t="shared" si="459"/>
        <v>272.2914729520607</v>
      </c>
      <c r="Q695">
        <f t="shared" si="459"/>
        <v>232.57866079370891</v>
      </c>
      <c r="R695">
        <f t="shared" si="459"/>
        <v>298.19111583471795</v>
      </c>
      <c r="S695">
        <f t="shared" si="459"/>
        <v>311.71454160933649</v>
      </c>
      <c r="T695">
        <f t="shared" si="459"/>
        <v>194.78464257023117</v>
      </c>
      <c r="U695">
        <f t="shared" si="459"/>
        <v>334.69303952459654</v>
      </c>
      <c r="V695">
        <f t="shared" si="459"/>
        <v>255.96496831107919</v>
      </c>
      <c r="W695">
        <f t="shared" si="459"/>
        <v>352.60240881789491</v>
      </c>
      <c r="Y695" s="6">
        <f t="shared" si="449"/>
        <v>5822.7692543019139</v>
      </c>
      <c r="Z695">
        <f t="shared" si="450"/>
        <v>-529.99574891786108</v>
      </c>
    </row>
    <row r="696" spans="1:26" x14ac:dyDescent="0.25">
      <c r="A696" t="s">
        <v>53</v>
      </c>
      <c r="D696">
        <f t="shared" ref="D696:W696" si="460">D84*D156</f>
        <v>332.68128233609889</v>
      </c>
      <c r="E696">
        <f t="shared" si="460"/>
        <v>246.98788321465918</v>
      </c>
      <c r="F696">
        <f t="shared" si="460"/>
        <v>206.70151969947182</v>
      </c>
      <c r="G696">
        <f t="shared" si="460"/>
        <v>316.99691474864676</v>
      </c>
      <c r="H696">
        <f t="shared" si="460"/>
        <v>327.18487039374162</v>
      </c>
      <c r="I696">
        <f t="shared" si="460"/>
        <v>214.22284528585863</v>
      </c>
      <c r="J696">
        <f t="shared" si="460"/>
        <v>401.77817877720315</v>
      </c>
      <c r="K696">
        <f t="shared" si="460"/>
        <v>406.41173192816825</v>
      </c>
      <c r="L696">
        <f t="shared" si="460"/>
        <v>508.47467090527266</v>
      </c>
      <c r="M696">
        <f t="shared" si="460"/>
        <v>375.78921805817777</v>
      </c>
      <c r="N696">
        <f t="shared" si="460"/>
        <v>218.66009984221969</v>
      </c>
      <c r="O696">
        <f t="shared" si="460"/>
        <v>256.58141910578217</v>
      </c>
      <c r="P696">
        <f t="shared" si="460"/>
        <v>332.73376179583141</v>
      </c>
      <c r="Q696">
        <f t="shared" si="460"/>
        <v>126.49474467474182</v>
      </c>
      <c r="R696">
        <f t="shared" si="460"/>
        <v>185.18102286246437</v>
      </c>
      <c r="S696">
        <f t="shared" si="460"/>
        <v>253.35309758768878</v>
      </c>
      <c r="T696">
        <f t="shared" si="460"/>
        <v>403.22784085171418</v>
      </c>
      <c r="U696">
        <f t="shared" si="460"/>
        <v>294.48597652557595</v>
      </c>
      <c r="V696">
        <f t="shared" si="460"/>
        <v>268.53847436476741</v>
      </c>
      <c r="W696">
        <f t="shared" si="460"/>
        <v>280.4018857061879</v>
      </c>
      <c r="Y696" s="6">
        <f t="shared" si="449"/>
        <v>5956.8874386642719</v>
      </c>
      <c r="Z696">
        <f t="shared" si="450"/>
        <v>-902.09745003502462</v>
      </c>
    </row>
    <row r="697" spans="1:26" x14ac:dyDescent="0.25">
      <c r="A697" t="s">
        <v>54</v>
      </c>
      <c r="D697">
        <f t="shared" ref="D697:W697" si="461">D85*D157</f>
        <v>368.66456671386874</v>
      </c>
      <c r="E697">
        <f t="shared" si="461"/>
        <v>504.57713880811156</v>
      </c>
      <c r="F697">
        <f t="shared" si="461"/>
        <v>460.13962957968209</v>
      </c>
      <c r="G697">
        <f t="shared" si="461"/>
        <v>233.30671527646382</v>
      </c>
      <c r="H697">
        <f t="shared" si="461"/>
        <v>180.63558523140023</v>
      </c>
      <c r="I697">
        <f t="shared" si="461"/>
        <v>262.74205049487102</v>
      </c>
      <c r="J697">
        <f t="shared" si="461"/>
        <v>100.32325039179898</v>
      </c>
      <c r="K697">
        <f t="shared" si="461"/>
        <v>162.24983448701317</v>
      </c>
      <c r="L697">
        <f t="shared" si="461"/>
        <v>282.31556681551473</v>
      </c>
      <c r="M697">
        <f t="shared" si="461"/>
        <v>308.17752248276724</v>
      </c>
      <c r="N697">
        <f t="shared" si="461"/>
        <v>352.91916625734859</v>
      </c>
      <c r="O697">
        <f t="shared" si="461"/>
        <v>302.9060916441739</v>
      </c>
      <c r="P697">
        <f t="shared" si="461"/>
        <v>377.02367631561458</v>
      </c>
      <c r="Q697">
        <f t="shared" si="461"/>
        <v>363.46682317421818</v>
      </c>
      <c r="R697">
        <f t="shared" si="461"/>
        <v>97.811929218497056</v>
      </c>
      <c r="S697">
        <f t="shared" si="461"/>
        <v>195.6337511208539</v>
      </c>
      <c r="T697">
        <f t="shared" si="461"/>
        <v>171.40392994579767</v>
      </c>
      <c r="U697">
        <f t="shared" si="461"/>
        <v>285.12901148101656</v>
      </c>
      <c r="V697">
        <f t="shared" si="461"/>
        <v>190.33192850023735</v>
      </c>
      <c r="W697">
        <f t="shared" si="461"/>
        <v>485.28149319162662</v>
      </c>
      <c r="Y697" s="6">
        <f t="shared" si="449"/>
        <v>5685.0396611308752</v>
      </c>
      <c r="Z697">
        <f t="shared" si="450"/>
        <v>-565.03862558791252</v>
      </c>
    </row>
    <row r="698" spans="1:26" x14ac:dyDescent="0.25">
      <c r="A698" t="s">
        <v>55</v>
      </c>
      <c r="D698">
        <f t="shared" ref="D698:W698" si="462">D86*D158</f>
        <v>764.05502664733342</v>
      </c>
      <c r="E698">
        <f t="shared" si="462"/>
        <v>654.19969949657582</v>
      </c>
      <c r="F698">
        <f t="shared" si="462"/>
        <v>409.71010001700051</v>
      </c>
      <c r="G698">
        <f t="shared" si="462"/>
        <v>595.56315228659037</v>
      </c>
      <c r="H698">
        <f t="shared" si="462"/>
        <v>464.63239866377751</v>
      </c>
      <c r="I698">
        <f t="shared" si="462"/>
        <v>534.38840425628462</v>
      </c>
      <c r="J698">
        <f t="shared" si="462"/>
        <v>256.77621431697605</v>
      </c>
      <c r="K698">
        <f t="shared" si="462"/>
        <v>206.52603945611594</v>
      </c>
      <c r="L698">
        <f t="shared" si="462"/>
        <v>282.92693956671468</v>
      </c>
      <c r="M698">
        <f t="shared" si="462"/>
        <v>276.91000998362841</v>
      </c>
      <c r="N698">
        <f t="shared" si="462"/>
        <v>294.75021718018706</v>
      </c>
      <c r="O698">
        <f t="shared" si="462"/>
        <v>91.143472444479983</v>
      </c>
      <c r="P698">
        <f t="shared" si="462"/>
        <v>160.43796437221187</v>
      </c>
      <c r="Q698">
        <f t="shared" si="462"/>
        <v>402.14228404419242</v>
      </c>
      <c r="R698">
        <f t="shared" si="462"/>
        <v>168.78452059995669</v>
      </c>
      <c r="S698">
        <f t="shared" si="462"/>
        <v>365.97505111356537</v>
      </c>
      <c r="T698">
        <f t="shared" si="462"/>
        <v>185.20498985904354</v>
      </c>
      <c r="U698">
        <f t="shared" si="462"/>
        <v>176.51397000009842</v>
      </c>
      <c r="V698">
        <f t="shared" si="462"/>
        <v>528.58639005495763</v>
      </c>
      <c r="W698">
        <f t="shared" si="462"/>
        <v>448.43869514465047</v>
      </c>
      <c r="Y698" s="6">
        <f t="shared" si="449"/>
        <v>7267.6655395043417</v>
      </c>
      <c r="Z698">
        <f t="shared" si="450"/>
        <v>-530.72969565584503</v>
      </c>
    </row>
    <row r="699" spans="1:26" x14ac:dyDescent="0.25">
      <c r="A699" t="s">
        <v>56</v>
      </c>
      <c r="D699">
        <f t="shared" ref="D699:W699" si="463">D87*D159</f>
        <v>776.11919546159697</v>
      </c>
      <c r="E699">
        <f t="shared" si="463"/>
        <v>438.90043839895526</v>
      </c>
      <c r="F699">
        <f t="shared" si="463"/>
        <v>448.97933635317617</v>
      </c>
      <c r="G699">
        <f t="shared" si="463"/>
        <v>347.9047641349697</v>
      </c>
      <c r="H699">
        <f t="shared" si="463"/>
        <v>201.81770028931544</v>
      </c>
      <c r="I699">
        <f t="shared" si="463"/>
        <v>253.65759005120569</v>
      </c>
      <c r="J699">
        <f t="shared" si="463"/>
        <v>215.62344520336131</v>
      </c>
      <c r="K699">
        <f t="shared" si="463"/>
        <v>347.91142168012885</v>
      </c>
      <c r="L699">
        <f t="shared" si="463"/>
        <v>200.57102639667303</v>
      </c>
      <c r="M699">
        <f t="shared" si="463"/>
        <v>252.20852090944973</v>
      </c>
      <c r="N699">
        <f t="shared" si="463"/>
        <v>171.488954049352</v>
      </c>
      <c r="O699">
        <f t="shared" si="463"/>
        <v>310.42970966878158</v>
      </c>
      <c r="P699">
        <f t="shared" si="463"/>
        <v>379.55986712773392</v>
      </c>
      <c r="Q699">
        <f t="shared" si="463"/>
        <v>175.27986639746689</v>
      </c>
      <c r="R699">
        <f t="shared" si="463"/>
        <v>279.53680166088225</v>
      </c>
      <c r="S699">
        <f t="shared" si="463"/>
        <v>253.10288368299638</v>
      </c>
      <c r="T699">
        <f t="shared" si="463"/>
        <v>159.94253969762931</v>
      </c>
      <c r="U699">
        <f t="shared" si="463"/>
        <v>188.91430684325161</v>
      </c>
      <c r="V699">
        <f t="shared" si="463"/>
        <v>501.77625070507793</v>
      </c>
      <c r="W699">
        <f t="shared" si="463"/>
        <v>438.95593891682893</v>
      </c>
      <c r="Y699" s="6">
        <f t="shared" si="449"/>
        <v>6342.6805576288325</v>
      </c>
      <c r="Z699">
        <f t="shared" si="450"/>
        <v>-569.30675524332833</v>
      </c>
    </row>
    <row r="700" spans="1:26" x14ac:dyDescent="0.25">
      <c r="A700" t="s">
        <v>57</v>
      </c>
      <c r="D700">
        <f t="shared" ref="D700:W700" si="464">D88*D160</f>
        <v>427.85706491674455</v>
      </c>
      <c r="E700">
        <f t="shared" si="464"/>
        <v>460.14703901295877</v>
      </c>
      <c r="F700">
        <f t="shared" si="464"/>
        <v>394.01098004507867</v>
      </c>
      <c r="G700">
        <f t="shared" si="464"/>
        <v>385.87904935717256</v>
      </c>
      <c r="H700">
        <f t="shared" si="464"/>
        <v>267.97668987792332</v>
      </c>
      <c r="I700">
        <f t="shared" si="464"/>
        <v>314.89353970510621</v>
      </c>
      <c r="J700">
        <f t="shared" si="464"/>
        <v>208.21442675049525</v>
      </c>
      <c r="K700">
        <f t="shared" si="464"/>
        <v>272.13733020533226</v>
      </c>
      <c r="L700">
        <f t="shared" si="464"/>
        <v>260.22307876344053</v>
      </c>
      <c r="M700">
        <f t="shared" si="464"/>
        <v>330.11222497159065</v>
      </c>
      <c r="N700">
        <f t="shared" si="464"/>
        <v>365.78380859225825</v>
      </c>
      <c r="O700">
        <f t="shared" si="464"/>
        <v>289.02117610796256</v>
      </c>
      <c r="P700">
        <f t="shared" si="464"/>
        <v>447.48995192516168</v>
      </c>
      <c r="Q700">
        <f t="shared" si="464"/>
        <v>383.72079525499464</v>
      </c>
      <c r="R700">
        <f t="shared" si="464"/>
        <v>283.27126800847219</v>
      </c>
      <c r="S700">
        <f t="shared" si="464"/>
        <v>328.88483421495897</v>
      </c>
      <c r="T700">
        <f t="shared" si="464"/>
        <v>317.661500053954</v>
      </c>
      <c r="U700">
        <f t="shared" si="464"/>
        <v>407.22318660814335</v>
      </c>
      <c r="V700">
        <f t="shared" si="464"/>
        <v>333.09795492762385</v>
      </c>
      <c r="W700">
        <f t="shared" si="464"/>
        <v>365.28032823056611</v>
      </c>
      <c r="Y700" s="6">
        <f t="shared" si="449"/>
        <v>6842.8862275299371</v>
      </c>
      <c r="Z700">
        <f t="shared" si="450"/>
        <v>-800.61942243751139</v>
      </c>
    </row>
    <row r="701" spans="1:26" x14ac:dyDescent="0.25">
      <c r="A701" t="s">
        <v>58</v>
      </c>
      <c r="D701">
        <f t="shared" ref="D701:W701" si="465">D89*D161</f>
        <v>225.94884507920949</v>
      </c>
      <c r="E701">
        <f t="shared" si="465"/>
        <v>298.8285485725263</v>
      </c>
      <c r="F701">
        <f t="shared" si="465"/>
        <v>484.82440160034378</v>
      </c>
      <c r="G701">
        <f t="shared" si="465"/>
        <v>631.17531246548219</v>
      </c>
      <c r="H701">
        <f t="shared" si="465"/>
        <v>287.60050949796749</v>
      </c>
      <c r="I701">
        <f t="shared" si="465"/>
        <v>121.44132355831977</v>
      </c>
      <c r="J701">
        <f t="shared" si="465"/>
        <v>188.7417662897152</v>
      </c>
      <c r="K701">
        <f t="shared" si="465"/>
        <v>280.86221728287239</v>
      </c>
      <c r="L701">
        <f t="shared" si="465"/>
        <v>221.78103189357822</v>
      </c>
      <c r="M701">
        <f t="shared" si="465"/>
        <v>207.03807735878416</v>
      </c>
      <c r="N701">
        <f t="shared" si="465"/>
        <v>148.42754055145483</v>
      </c>
      <c r="O701">
        <f t="shared" si="465"/>
        <v>253.77793741541819</v>
      </c>
      <c r="P701">
        <f t="shared" si="465"/>
        <v>135.08687915698815</v>
      </c>
      <c r="Q701">
        <f t="shared" si="465"/>
        <v>183.87859310315014</v>
      </c>
      <c r="R701">
        <f t="shared" si="465"/>
        <v>116.96593405432183</v>
      </c>
      <c r="S701">
        <f t="shared" si="465"/>
        <v>232.44779253064564</v>
      </c>
      <c r="T701">
        <f t="shared" si="465"/>
        <v>343.95402279497836</v>
      </c>
      <c r="U701">
        <f t="shared" si="465"/>
        <v>166.49931197891092</v>
      </c>
      <c r="V701">
        <f t="shared" si="465"/>
        <v>122.1490017926438</v>
      </c>
      <c r="W701">
        <f t="shared" si="465"/>
        <v>371.21442922354487</v>
      </c>
      <c r="Y701" s="6">
        <f t="shared" si="449"/>
        <v>5022.6434762008557</v>
      </c>
      <c r="Z701">
        <f t="shared" si="450"/>
        <v>-543.3743574833461</v>
      </c>
    </row>
    <row r="702" spans="1:26" x14ac:dyDescent="0.25">
      <c r="A702" t="s">
        <v>59</v>
      </c>
      <c r="D702">
        <f t="shared" ref="D702:W702" si="466">D90*D162</f>
        <v>382.7173497917442</v>
      </c>
      <c r="E702">
        <f t="shared" si="466"/>
        <v>209.81807509577672</v>
      </c>
      <c r="F702">
        <f t="shared" si="466"/>
        <v>204.50493722068782</v>
      </c>
      <c r="G702">
        <f t="shared" si="466"/>
        <v>315.00661657080838</v>
      </c>
      <c r="H702">
        <f t="shared" si="466"/>
        <v>157.38439342712016</v>
      </c>
      <c r="I702">
        <f t="shared" si="466"/>
        <v>204.72298981523923</v>
      </c>
      <c r="J702">
        <f t="shared" si="466"/>
        <v>320.80087932068449</v>
      </c>
      <c r="K702">
        <f t="shared" si="466"/>
        <v>222.59652642768202</v>
      </c>
      <c r="L702">
        <f t="shared" si="466"/>
        <v>114.47504859214125</v>
      </c>
      <c r="M702">
        <f t="shared" si="466"/>
        <v>211.89301644007401</v>
      </c>
      <c r="N702">
        <f t="shared" si="466"/>
        <v>302.95179104589761</v>
      </c>
      <c r="O702">
        <f t="shared" si="466"/>
        <v>279.95238049986949</v>
      </c>
      <c r="P702">
        <f t="shared" si="466"/>
        <v>221.3554654611622</v>
      </c>
      <c r="Q702">
        <f t="shared" si="466"/>
        <v>119.64036098917873</v>
      </c>
      <c r="R702">
        <f t="shared" si="466"/>
        <v>203.04873241747867</v>
      </c>
      <c r="S702">
        <f t="shared" si="466"/>
        <v>270.1274872528553</v>
      </c>
      <c r="T702">
        <f t="shared" si="466"/>
        <v>275.49677728057293</v>
      </c>
      <c r="U702">
        <f t="shared" si="466"/>
        <v>263.10107083508933</v>
      </c>
      <c r="V702">
        <f t="shared" si="466"/>
        <v>414.21108676421966</v>
      </c>
      <c r="W702">
        <f t="shared" si="466"/>
        <v>432.44561084847322</v>
      </c>
      <c r="Y702" s="6">
        <f t="shared" si="449"/>
        <v>5126.2505960967546</v>
      </c>
      <c r="Z702">
        <f t="shared" si="450"/>
        <v>-727.13711028420039</v>
      </c>
    </row>
    <row r="703" spans="1:26" x14ac:dyDescent="0.25">
      <c r="A703" t="s">
        <v>60</v>
      </c>
      <c r="D703">
        <f t="shared" ref="D703:W703" si="467">D91*D163</f>
        <v>277.12590654195492</v>
      </c>
      <c r="E703">
        <f t="shared" si="467"/>
        <v>301.72381128165148</v>
      </c>
      <c r="F703">
        <f t="shared" si="467"/>
        <v>306.62704483856578</v>
      </c>
      <c r="G703">
        <f t="shared" si="467"/>
        <v>316.73315413522346</v>
      </c>
      <c r="H703">
        <f t="shared" si="467"/>
        <v>184.07450335225619</v>
      </c>
      <c r="I703">
        <f t="shared" si="467"/>
        <v>304.51012120774237</v>
      </c>
      <c r="J703">
        <f t="shared" si="467"/>
        <v>211.4858623087336</v>
      </c>
      <c r="K703">
        <f t="shared" si="467"/>
        <v>352.96936706919507</v>
      </c>
      <c r="L703">
        <f t="shared" si="467"/>
        <v>383.24352493765178</v>
      </c>
      <c r="M703">
        <f t="shared" si="467"/>
        <v>296.8069173707508</v>
      </c>
      <c r="N703">
        <f t="shared" si="467"/>
        <v>272.03728341398374</v>
      </c>
      <c r="O703">
        <f t="shared" si="467"/>
        <v>155.13580873309718</v>
      </c>
      <c r="P703">
        <f t="shared" si="467"/>
        <v>358.54676925504236</v>
      </c>
      <c r="Q703">
        <f t="shared" si="467"/>
        <v>438.34726399148923</v>
      </c>
      <c r="R703">
        <f t="shared" si="467"/>
        <v>244.76634216058977</v>
      </c>
      <c r="S703">
        <f t="shared" si="467"/>
        <v>338.8357216457116</v>
      </c>
      <c r="T703">
        <f t="shared" si="467"/>
        <v>408.238532664964</v>
      </c>
      <c r="U703">
        <f t="shared" si="467"/>
        <v>441.83100886796672</v>
      </c>
      <c r="V703">
        <f t="shared" si="467"/>
        <v>111.7179237692598</v>
      </c>
      <c r="W703">
        <f t="shared" si="467"/>
        <v>239.84117001744542</v>
      </c>
      <c r="Y703" s="6">
        <f t="shared" si="449"/>
        <v>5944.5980375632753</v>
      </c>
      <c r="Z703">
        <f t="shared" si="450"/>
        <v>-766.07747970454261</v>
      </c>
    </row>
    <row r="704" spans="1:26" x14ac:dyDescent="0.25">
      <c r="A704" t="s">
        <v>61</v>
      </c>
      <c r="D704">
        <f t="shared" ref="D704:W704" si="468">D92*D164</f>
        <v>437.53921644655225</v>
      </c>
      <c r="E704">
        <f t="shared" si="468"/>
        <v>478.00144105236393</v>
      </c>
      <c r="F704">
        <f t="shared" si="468"/>
        <v>419.61946088076786</v>
      </c>
      <c r="G704">
        <f t="shared" si="468"/>
        <v>336.70761087782284</v>
      </c>
      <c r="H704">
        <f t="shared" si="468"/>
        <v>253.32171529832345</v>
      </c>
      <c r="I704">
        <f t="shared" si="468"/>
        <v>271.7094673357505</v>
      </c>
      <c r="J704">
        <f t="shared" si="468"/>
        <v>352.9278754214339</v>
      </c>
      <c r="K704">
        <f t="shared" si="468"/>
        <v>241.16380356498402</v>
      </c>
      <c r="L704">
        <f t="shared" si="468"/>
        <v>149.29332769991748</v>
      </c>
      <c r="M704">
        <f t="shared" si="468"/>
        <v>294.48881676490009</v>
      </c>
      <c r="N704">
        <f t="shared" si="468"/>
        <v>279.52690408267449</v>
      </c>
      <c r="O704">
        <f t="shared" si="468"/>
        <v>442.49795236845608</v>
      </c>
      <c r="P704">
        <f t="shared" si="468"/>
        <v>237.70087305237675</v>
      </c>
      <c r="Q704">
        <f t="shared" si="468"/>
        <v>139.90447188435482</v>
      </c>
      <c r="R704">
        <f t="shared" si="468"/>
        <v>194.67868456858227</v>
      </c>
      <c r="S704">
        <f t="shared" si="468"/>
        <v>365.25980126983939</v>
      </c>
      <c r="T704">
        <f t="shared" si="468"/>
        <v>249.5681780625149</v>
      </c>
      <c r="U704">
        <f t="shared" si="468"/>
        <v>212.5665544531378</v>
      </c>
      <c r="V704">
        <f t="shared" si="468"/>
        <v>220.0819137942089</v>
      </c>
      <c r="W704">
        <f t="shared" si="468"/>
        <v>319.21924326732227</v>
      </c>
      <c r="Y704" s="6">
        <f t="shared" si="449"/>
        <v>5895.7773121462824</v>
      </c>
      <c r="Z704">
        <f t="shared" si="450"/>
        <v>-622.7939782851596</v>
      </c>
    </row>
    <row r="705" spans="1:26" x14ac:dyDescent="0.25">
      <c r="A705" t="s">
        <v>62</v>
      </c>
      <c r="D705">
        <f t="shared" ref="D705:W705" si="469">D93*D165</f>
        <v>299.97930543057186</v>
      </c>
      <c r="E705">
        <f t="shared" si="469"/>
        <v>261.31122584304762</v>
      </c>
      <c r="F705">
        <f t="shared" si="469"/>
        <v>293.91835044537675</v>
      </c>
      <c r="G705">
        <f t="shared" si="469"/>
        <v>264.2138439121328</v>
      </c>
      <c r="H705">
        <f t="shared" si="469"/>
        <v>275.33359112926166</v>
      </c>
      <c r="I705">
        <f t="shared" si="469"/>
        <v>316.42756569618325</v>
      </c>
      <c r="J705">
        <f t="shared" si="469"/>
        <v>219.07632658309507</v>
      </c>
      <c r="K705">
        <f t="shared" si="469"/>
        <v>211.45078508760253</v>
      </c>
      <c r="L705">
        <f t="shared" si="469"/>
        <v>278.48633801820637</v>
      </c>
      <c r="M705">
        <f t="shared" si="469"/>
        <v>152.96841719685426</v>
      </c>
      <c r="N705">
        <f t="shared" si="469"/>
        <v>139.63635674518676</v>
      </c>
      <c r="O705">
        <f t="shared" si="469"/>
        <v>159.05750586347617</v>
      </c>
      <c r="P705">
        <f t="shared" si="469"/>
        <v>170.59846659953283</v>
      </c>
      <c r="Q705">
        <f t="shared" si="469"/>
        <v>215.98718572377894</v>
      </c>
      <c r="R705">
        <f t="shared" si="469"/>
        <v>450.29463260128654</v>
      </c>
      <c r="S705">
        <f t="shared" si="469"/>
        <v>328.48464309812414</v>
      </c>
      <c r="T705">
        <f t="shared" si="469"/>
        <v>124.92353597033974</v>
      </c>
      <c r="U705">
        <f t="shared" si="469"/>
        <v>308.40011150870879</v>
      </c>
      <c r="V705">
        <f t="shared" si="469"/>
        <v>296.07964856485739</v>
      </c>
      <c r="W705">
        <f t="shared" si="469"/>
        <v>224.50257281740272</v>
      </c>
      <c r="Y705" s="6">
        <f t="shared" si="449"/>
        <v>4991.1304088350253</v>
      </c>
      <c r="Z705">
        <f t="shared" si="450"/>
        <v>-514.56199446486301</v>
      </c>
    </row>
    <row r="706" spans="1:26" x14ac:dyDescent="0.25">
      <c r="A706" t="s">
        <v>63</v>
      </c>
      <c r="D706">
        <f t="shared" ref="D706:W706" si="470">D94*D166</f>
        <v>328.7644840552922</v>
      </c>
      <c r="E706">
        <f t="shared" si="470"/>
        <v>301.58973759677252</v>
      </c>
      <c r="F706">
        <f t="shared" si="470"/>
        <v>304.88603650217703</v>
      </c>
      <c r="G706">
        <f t="shared" si="470"/>
        <v>281.31867004879825</v>
      </c>
      <c r="H706">
        <f t="shared" si="470"/>
        <v>415.85481385160665</v>
      </c>
      <c r="I706">
        <f t="shared" si="470"/>
        <v>247.38370771765614</v>
      </c>
      <c r="J706">
        <f t="shared" si="470"/>
        <v>206.33034554214862</v>
      </c>
      <c r="K706">
        <f t="shared" si="470"/>
        <v>229.60378754164518</v>
      </c>
      <c r="L706">
        <f t="shared" si="470"/>
        <v>274.78607723624242</v>
      </c>
      <c r="M706">
        <f t="shared" si="470"/>
        <v>491.55573322739735</v>
      </c>
      <c r="N706">
        <f t="shared" si="470"/>
        <v>201.62227974039649</v>
      </c>
      <c r="O706">
        <f t="shared" si="470"/>
        <v>458.05415732890685</v>
      </c>
      <c r="P706">
        <f t="shared" si="470"/>
        <v>167.72409259206117</v>
      </c>
      <c r="Q706">
        <f t="shared" si="470"/>
        <v>297.8038281789436</v>
      </c>
      <c r="R706">
        <f t="shared" si="470"/>
        <v>253.34438525511507</v>
      </c>
      <c r="S706">
        <f t="shared" si="470"/>
        <v>401.45017106301015</v>
      </c>
      <c r="T706">
        <f t="shared" si="470"/>
        <v>283.1137845780251</v>
      </c>
      <c r="U706">
        <f t="shared" si="470"/>
        <v>243.67800150307235</v>
      </c>
      <c r="V706">
        <f t="shared" si="470"/>
        <v>490.85266179919057</v>
      </c>
      <c r="W706">
        <f t="shared" si="470"/>
        <v>455.20053001356047</v>
      </c>
      <c r="Y706" s="6">
        <f t="shared" si="449"/>
        <v>6334.9172853720183</v>
      </c>
      <c r="Z706">
        <f t="shared" si="450"/>
        <v>-793.79932155584231</v>
      </c>
    </row>
    <row r="707" spans="1:26" x14ac:dyDescent="0.25">
      <c r="A707" t="s">
        <v>64</v>
      </c>
      <c r="D707">
        <f t="shared" ref="D707:W707" si="471">D95*D167</f>
        <v>453.79708790825708</v>
      </c>
      <c r="E707">
        <f t="shared" si="471"/>
        <v>465.38669044507805</v>
      </c>
      <c r="F707">
        <f t="shared" si="471"/>
        <v>445.30906933891447</v>
      </c>
      <c r="G707">
        <f t="shared" si="471"/>
        <v>367.93503181560874</v>
      </c>
      <c r="H707">
        <f t="shared" si="471"/>
        <v>294.95749656304594</v>
      </c>
      <c r="I707">
        <f t="shared" si="471"/>
        <v>514.83429536469873</v>
      </c>
      <c r="J707">
        <f t="shared" si="471"/>
        <v>278.73521878093362</v>
      </c>
      <c r="K707">
        <f t="shared" si="471"/>
        <v>336.77379351752336</v>
      </c>
      <c r="L707">
        <f t="shared" si="471"/>
        <v>430.5781160214874</v>
      </c>
      <c r="M707">
        <f t="shared" si="471"/>
        <v>348.54384410746576</v>
      </c>
      <c r="N707">
        <f t="shared" si="471"/>
        <v>194.01680694136581</v>
      </c>
      <c r="O707">
        <f t="shared" si="471"/>
        <v>281.4129009289195</v>
      </c>
      <c r="P707">
        <f t="shared" si="471"/>
        <v>242.5802644206974</v>
      </c>
      <c r="Q707">
        <f t="shared" si="471"/>
        <v>508.4868205298373</v>
      </c>
      <c r="R707">
        <f t="shared" si="471"/>
        <v>577.30644799119148</v>
      </c>
      <c r="S707">
        <f t="shared" si="471"/>
        <v>358.01991468950337</v>
      </c>
      <c r="T707">
        <f t="shared" si="471"/>
        <v>391.87983157483285</v>
      </c>
      <c r="U707">
        <f t="shared" si="471"/>
        <v>321.6385675678514</v>
      </c>
      <c r="V707">
        <f t="shared" si="471"/>
        <v>323.72226896416095</v>
      </c>
      <c r="W707">
        <f t="shared" si="471"/>
        <v>373.84802705435459</v>
      </c>
      <c r="Y707" s="6">
        <f t="shared" si="449"/>
        <v>7509.7624945257267</v>
      </c>
      <c r="Z707">
        <f t="shared" si="450"/>
        <v>-776.35207702102969</v>
      </c>
    </row>
    <row r="708" spans="1:26" x14ac:dyDescent="0.25">
      <c r="A708" t="s">
        <v>65</v>
      </c>
      <c r="D708">
        <f t="shared" ref="D708:W708" si="472">D96*D168</f>
        <v>451.79341445074272</v>
      </c>
      <c r="E708">
        <f t="shared" si="472"/>
        <v>370.28363346618613</v>
      </c>
      <c r="F708">
        <f t="shared" si="472"/>
        <v>258.38409571740999</v>
      </c>
      <c r="G708">
        <f t="shared" si="472"/>
        <v>181.59750197949955</v>
      </c>
      <c r="H708">
        <f t="shared" si="472"/>
        <v>384.41841132612751</v>
      </c>
      <c r="I708">
        <f t="shared" si="472"/>
        <v>356.45570672114349</v>
      </c>
      <c r="J708">
        <f t="shared" si="472"/>
        <v>279.53661758339615</v>
      </c>
      <c r="K708">
        <f t="shared" si="472"/>
        <v>236.07015828591031</v>
      </c>
      <c r="L708">
        <f t="shared" si="472"/>
        <v>299.37298645108751</v>
      </c>
      <c r="M708">
        <f t="shared" si="472"/>
        <v>277.75942939289473</v>
      </c>
      <c r="N708">
        <f t="shared" si="472"/>
        <v>273.5728570848807</v>
      </c>
      <c r="O708">
        <f t="shared" si="472"/>
        <v>194.81819037347128</v>
      </c>
      <c r="P708">
        <f t="shared" si="472"/>
        <v>132.67313212940877</v>
      </c>
      <c r="Q708">
        <f t="shared" si="472"/>
        <v>163.32937832664206</v>
      </c>
      <c r="R708">
        <f t="shared" si="472"/>
        <v>53.042853563853434</v>
      </c>
      <c r="S708">
        <f t="shared" si="472"/>
        <v>75.884129336550487</v>
      </c>
      <c r="T708">
        <f t="shared" si="472"/>
        <v>163.54294515406798</v>
      </c>
      <c r="U708">
        <f t="shared" si="472"/>
        <v>118.65608031493493</v>
      </c>
      <c r="V708">
        <f t="shared" si="472"/>
        <v>212.39442237627506</v>
      </c>
      <c r="W708">
        <f t="shared" si="472"/>
        <v>261.72653638518062</v>
      </c>
      <c r="Y708" s="6">
        <f t="shared" si="449"/>
        <v>4745.3124804196623</v>
      </c>
      <c r="Z708">
        <f t="shared" si="450"/>
        <v>-507.67355397577285</v>
      </c>
    </row>
    <row r="709" spans="1:26" x14ac:dyDescent="0.25">
      <c r="A709" t="s">
        <v>66</v>
      </c>
      <c r="D709">
        <f t="shared" ref="D709:W709" si="473">D97*D169</f>
        <v>408.27951446849784</v>
      </c>
      <c r="E709">
        <f t="shared" si="473"/>
        <v>339.87110566505902</v>
      </c>
      <c r="F709">
        <f t="shared" si="473"/>
        <v>365.17027269176521</v>
      </c>
      <c r="G709">
        <f t="shared" si="473"/>
        <v>219.25785286249911</v>
      </c>
      <c r="H709">
        <f t="shared" si="473"/>
        <v>499.8812782289923</v>
      </c>
      <c r="I709">
        <f t="shared" si="473"/>
        <v>639.38271708766104</v>
      </c>
      <c r="J709">
        <f t="shared" si="473"/>
        <v>560.58262335029542</v>
      </c>
      <c r="K709">
        <f t="shared" si="473"/>
        <v>645.51238251473228</v>
      </c>
      <c r="L709">
        <f t="shared" si="473"/>
        <v>267.51259241480335</v>
      </c>
      <c r="M709">
        <f t="shared" si="473"/>
        <v>188.74724859598209</v>
      </c>
      <c r="N709">
        <f t="shared" si="473"/>
        <v>347.7922678074807</v>
      </c>
      <c r="O709">
        <f t="shared" si="473"/>
        <v>575.6043065003621</v>
      </c>
      <c r="P709">
        <f t="shared" si="473"/>
        <v>291.13592731593292</v>
      </c>
      <c r="Q709">
        <f t="shared" si="473"/>
        <v>169.88121055823535</v>
      </c>
      <c r="R709">
        <f t="shared" si="473"/>
        <v>275.67482962472479</v>
      </c>
      <c r="S709">
        <f t="shared" si="473"/>
        <v>296.29929232059743</v>
      </c>
      <c r="T709">
        <f t="shared" si="473"/>
        <v>219.24420696495102</v>
      </c>
      <c r="U709">
        <f t="shared" si="473"/>
        <v>255.341453916033</v>
      </c>
      <c r="V709">
        <f t="shared" si="473"/>
        <v>220.59561932777368</v>
      </c>
      <c r="W709">
        <f t="shared" si="473"/>
        <v>129.50055665064994</v>
      </c>
      <c r="Y709" s="6">
        <f t="shared" si="449"/>
        <v>6915.2672588670303</v>
      </c>
      <c r="Z709">
        <f t="shared" si="450"/>
        <v>-904.46158403290974</v>
      </c>
    </row>
    <row r="710" spans="1:26" x14ac:dyDescent="0.25">
      <c r="A710" t="s">
        <v>67</v>
      </c>
      <c r="D710">
        <f t="shared" ref="D710:W710" si="474">D98*D170</f>
        <v>264.04610724033193</v>
      </c>
      <c r="E710">
        <f t="shared" si="474"/>
        <v>364.45769710242894</v>
      </c>
      <c r="F710">
        <f t="shared" si="474"/>
        <v>626.74892195120788</v>
      </c>
      <c r="G710">
        <f t="shared" si="474"/>
        <v>211.8946873848796</v>
      </c>
      <c r="H710">
        <f t="shared" si="474"/>
        <v>281.56925330179001</v>
      </c>
      <c r="I710">
        <f t="shared" si="474"/>
        <v>319.21224152468073</v>
      </c>
      <c r="J710">
        <f t="shared" si="474"/>
        <v>325.36701118590344</v>
      </c>
      <c r="K710">
        <f t="shared" si="474"/>
        <v>474.94078169253959</v>
      </c>
      <c r="L710">
        <f t="shared" si="474"/>
        <v>167.86032812901561</v>
      </c>
      <c r="M710">
        <f t="shared" si="474"/>
        <v>278.09964691566626</v>
      </c>
      <c r="N710">
        <f t="shared" si="474"/>
        <v>249.00374384147042</v>
      </c>
      <c r="O710">
        <f t="shared" si="474"/>
        <v>308.82040813813995</v>
      </c>
      <c r="P710">
        <f t="shared" si="474"/>
        <v>229.88214164195045</v>
      </c>
      <c r="Q710">
        <f t="shared" si="474"/>
        <v>253.65246488043368</v>
      </c>
      <c r="R710">
        <f t="shared" si="474"/>
        <v>270.70611108920667</v>
      </c>
      <c r="S710">
        <f t="shared" si="474"/>
        <v>302.39658006958541</v>
      </c>
      <c r="T710">
        <f t="shared" si="474"/>
        <v>263.01439162197801</v>
      </c>
      <c r="U710">
        <f t="shared" si="474"/>
        <v>268.49030215307999</v>
      </c>
      <c r="V710">
        <f t="shared" si="474"/>
        <v>385.1679084326546</v>
      </c>
      <c r="W710">
        <f t="shared" si="474"/>
        <v>218.87485216467033</v>
      </c>
      <c r="Y710" s="6">
        <f t="shared" si="449"/>
        <v>6064.205580461612</v>
      </c>
      <c r="Z710">
        <f t="shared" si="450"/>
        <v>-724.01784738896379</v>
      </c>
    </row>
    <row r="711" spans="1:26" x14ac:dyDescent="0.25">
      <c r="A711" t="s">
        <v>68</v>
      </c>
      <c r="D711">
        <f t="shared" ref="D711:W711" si="475">D99*D171</f>
        <v>643.81576665111618</v>
      </c>
      <c r="E711">
        <f t="shared" si="475"/>
        <v>911.62664197743277</v>
      </c>
      <c r="F711">
        <f t="shared" si="475"/>
        <v>901.92500991894894</v>
      </c>
      <c r="G711">
        <f t="shared" si="475"/>
        <v>792.67042494557313</v>
      </c>
      <c r="H711">
        <f t="shared" si="475"/>
        <v>482.79886535385526</v>
      </c>
      <c r="I711">
        <f t="shared" si="475"/>
        <v>383.16261643473655</v>
      </c>
      <c r="J711">
        <f t="shared" si="475"/>
        <v>299.5204088841457</v>
      </c>
      <c r="K711">
        <f t="shared" si="475"/>
        <v>510.73823024615098</v>
      </c>
      <c r="L711">
        <f t="shared" si="475"/>
        <v>468.95649148164796</v>
      </c>
      <c r="M711">
        <f t="shared" si="475"/>
        <v>133.7654235567791</v>
      </c>
      <c r="N711">
        <f t="shared" si="475"/>
        <v>259.79041013473989</v>
      </c>
      <c r="O711">
        <f t="shared" si="475"/>
        <v>257.76088419310042</v>
      </c>
      <c r="P711">
        <f t="shared" si="475"/>
        <v>254.51396217219221</v>
      </c>
      <c r="Q711">
        <f t="shared" si="475"/>
        <v>343.32848918431114</v>
      </c>
      <c r="R711">
        <f t="shared" si="475"/>
        <v>452.47529922647459</v>
      </c>
      <c r="S711">
        <f t="shared" si="475"/>
        <v>548.65246135682492</v>
      </c>
      <c r="T711">
        <f t="shared" si="475"/>
        <v>356.70238181410491</v>
      </c>
      <c r="U711">
        <f t="shared" si="475"/>
        <v>400.49449246445067</v>
      </c>
      <c r="V711">
        <f t="shared" si="475"/>
        <v>285.02830466916583</v>
      </c>
      <c r="W711">
        <f t="shared" si="475"/>
        <v>193.09333319645111</v>
      </c>
      <c r="Y711" s="6">
        <f t="shared" si="449"/>
        <v>8880.8198978622022</v>
      </c>
      <c r="Z711">
        <f t="shared" si="450"/>
        <v>-644.02518000757823</v>
      </c>
    </row>
    <row r="712" spans="1:26" x14ac:dyDescent="0.25">
      <c r="A712" t="s">
        <v>69</v>
      </c>
      <c r="D712">
        <f t="shared" ref="D712:W712" si="476">D100*D172</f>
        <v>406.58300528675176</v>
      </c>
      <c r="E712">
        <f t="shared" si="476"/>
        <v>446.49593420647062</v>
      </c>
      <c r="F712">
        <f t="shared" si="476"/>
        <v>363.10039606041096</v>
      </c>
      <c r="G712">
        <f t="shared" si="476"/>
        <v>333.05299103003688</v>
      </c>
      <c r="H712">
        <f t="shared" si="476"/>
        <v>382.22264931465628</v>
      </c>
      <c r="I712">
        <f t="shared" si="476"/>
        <v>423.71797958598313</v>
      </c>
      <c r="J712">
        <f t="shared" si="476"/>
        <v>104.07142681632207</v>
      </c>
      <c r="K712">
        <f t="shared" si="476"/>
        <v>203.50888414302543</v>
      </c>
      <c r="L712">
        <f t="shared" si="476"/>
        <v>141.27101732585993</v>
      </c>
      <c r="M712">
        <f t="shared" si="476"/>
        <v>260.29042309709757</v>
      </c>
      <c r="N712">
        <f t="shared" si="476"/>
        <v>242.0533055700752</v>
      </c>
      <c r="O712">
        <f t="shared" si="476"/>
        <v>322.03040986094345</v>
      </c>
      <c r="P712">
        <f t="shared" si="476"/>
        <v>218.01670170682922</v>
      </c>
      <c r="Q712">
        <f t="shared" si="476"/>
        <v>888.79065184290187</v>
      </c>
      <c r="R712">
        <f t="shared" si="476"/>
        <v>126.29394319130067</v>
      </c>
      <c r="S712">
        <f t="shared" si="476"/>
        <v>211.74064952127625</v>
      </c>
      <c r="T712">
        <f t="shared" si="476"/>
        <v>208.38922042350114</v>
      </c>
      <c r="U712">
        <f t="shared" si="476"/>
        <v>259.51077696814093</v>
      </c>
      <c r="V712">
        <f t="shared" si="476"/>
        <v>198.85355340349554</v>
      </c>
      <c r="W712">
        <f t="shared" si="476"/>
        <v>205.46595348138408</v>
      </c>
      <c r="Y712" s="6">
        <f t="shared" si="449"/>
        <v>5945.4598728364635</v>
      </c>
      <c r="Z712">
        <f t="shared" si="450"/>
        <v>-555.1114544364824</v>
      </c>
    </row>
    <row r="713" spans="1:26" x14ac:dyDescent="0.25">
      <c r="Y713" s="6"/>
    </row>
    <row r="714" spans="1:26" x14ac:dyDescent="0.25">
      <c r="A714" t="s">
        <v>70</v>
      </c>
      <c r="D714">
        <f t="shared" ref="D714:W714" si="477">D102*D174</f>
        <v>308.08298664420323</v>
      </c>
      <c r="E714">
        <f t="shared" si="477"/>
        <v>309.96026467268814</v>
      </c>
      <c r="F714">
        <f t="shared" si="477"/>
        <v>326.66303674642859</v>
      </c>
      <c r="G714">
        <f t="shared" si="477"/>
        <v>290.71622080492733</v>
      </c>
      <c r="H714">
        <f t="shared" si="477"/>
        <v>344.55332216596264</v>
      </c>
      <c r="I714">
        <f t="shared" si="477"/>
        <v>414.81559080284859</v>
      </c>
      <c r="J714">
        <f t="shared" si="477"/>
        <v>375.40376818600038</v>
      </c>
      <c r="K714">
        <f t="shared" si="477"/>
        <v>364.30546718836166</v>
      </c>
      <c r="L714">
        <f t="shared" si="477"/>
        <v>699.83909795183661</v>
      </c>
      <c r="M714">
        <f t="shared" si="477"/>
        <v>258.50192080325883</v>
      </c>
      <c r="N714">
        <f t="shared" si="477"/>
        <v>237.40509711685559</v>
      </c>
      <c r="O714">
        <f t="shared" si="477"/>
        <v>310.74860403261027</v>
      </c>
      <c r="P714">
        <f t="shared" si="477"/>
        <v>211.67980020197373</v>
      </c>
      <c r="Q714">
        <f t="shared" si="477"/>
        <v>350.29441110373062</v>
      </c>
      <c r="R714">
        <f t="shared" si="477"/>
        <v>284.46389987117954</v>
      </c>
      <c r="S714">
        <f t="shared" si="477"/>
        <v>302.88805698023123</v>
      </c>
      <c r="T714">
        <f t="shared" si="477"/>
        <v>253.49825278071543</v>
      </c>
      <c r="U714">
        <f t="shared" si="477"/>
        <v>269.6333105134637</v>
      </c>
      <c r="V714">
        <f t="shared" si="477"/>
        <v>298.75663467083433</v>
      </c>
      <c r="W714">
        <f t="shared" si="477"/>
        <v>256.60501532387326</v>
      </c>
      <c r="Y714" s="6">
        <f t="shared" si="449"/>
        <v>6468.8147585619836</v>
      </c>
      <c r="Z714">
        <f>SUMPRODUCT($D$718:$W$718,D714:W714)</f>
        <v>-842.00111468823798</v>
      </c>
    </row>
    <row r="715" spans="1:26" x14ac:dyDescent="0.25">
      <c r="A715" t="s">
        <v>313</v>
      </c>
      <c r="D715">
        <f t="shared" ref="D715:W715" si="478">D103*D175</f>
        <v>603.07046315719742</v>
      </c>
      <c r="E715">
        <f t="shared" si="478"/>
        <v>639.87567675289529</v>
      </c>
      <c r="F715">
        <f t="shared" si="478"/>
        <v>417.17144653139775</v>
      </c>
      <c r="G715">
        <f t="shared" si="478"/>
        <v>401.10754910360055</v>
      </c>
      <c r="H715">
        <f t="shared" si="478"/>
        <v>521.74367650780061</v>
      </c>
      <c r="I715">
        <f t="shared" si="478"/>
        <v>445.78837585060438</v>
      </c>
      <c r="J715">
        <f t="shared" si="478"/>
        <v>415.17003473874809</v>
      </c>
      <c r="K715">
        <f t="shared" si="478"/>
        <v>422.90134614179544</v>
      </c>
      <c r="L715">
        <f t="shared" si="478"/>
        <v>276.55062720874952</v>
      </c>
      <c r="M715">
        <f t="shared" si="478"/>
        <v>286.90483945497897</v>
      </c>
      <c r="N715">
        <f t="shared" si="478"/>
        <v>227.01500993700017</v>
      </c>
      <c r="O715">
        <f t="shared" si="478"/>
        <v>232.54539931505019</v>
      </c>
      <c r="P715">
        <f t="shared" si="478"/>
        <v>517.43999999999994</v>
      </c>
      <c r="Q715">
        <f t="shared" si="478"/>
        <v>588</v>
      </c>
      <c r="R715">
        <f t="shared" si="478"/>
        <v>659.33999999999992</v>
      </c>
      <c r="S715">
        <f t="shared" si="478"/>
        <v>192.06</v>
      </c>
      <c r="T715">
        <f t="shared" si="478"/>
        <v>238.52</v>
      </c>
      <c r="U715">
        <f t="shared" si="478"/>
        <v>291.72000000000003</v>
      </c>
      <c r="V715">
        <f t="shared" si="478"/>
        <v>236.84000000000003</v>
      </c>
      <c r="W715">
        <f t="shared" si="478"/>
        <v>184.6</v>
      </c>
      <c r="Y715" s="6">
        <f t="shared" si="449"/>
        <v>7798.3644446998205</v>
      </c>
      <c r="Z715">
        <f>SUMPRODUCT($D$718:$W$718,D715:W715)</f>
        <v>-741.91550920320071</v>
      </c>
    </row>
    <row r="716" spans="1:26" x14ac:dyDescent="0.25">
      <c r="A716" t="s">
        <v>314</v>
      </c>
      <c r="D716">
        <f t="shared" ref="D716:W716" si="479">D104*D176</f>
        <v>643.52893160747954</v>
      </c>
      <c r="E716">
        <f t="shared" si="479"/>
        <v>526.04278349365177</v>
      </c>
      <c r="F716">
        <f t="shared" si="479"/>
        <v>475.90156820700497</v>
      </c>
      <c r="G716">
        <f t="shared" si="479"/>
        <v>318.61973938726146</v>
      </c>
      <c r="H716">
        <f t="shared" si="479"/>
        <v>458.39114006283256</v>
      </c>
      <c r="I716">
        <f t="shared" si="479"/>
        <v>306.68097477185131</v>
      </c>
      <c r="J716">
        <f t="shared" si="479"/>
        <v>215.5851584529789</v>
      </c>
      <c r="K716">
        <f t="shared" si="479"/>
        <v>232.78000000000003</v>
      </c>
      <c r="L716">
        <f t="shared" si="479"/>
        <v>324.24</v>
      </c>
      <c r="M716">
        <f t="shared" si="479"/>
        <v>424.8</v>
      </c>
      <c r="N716">
        <f t="shared" si="479"/>
        <v>251.60000000000002</v>
      </c>
      <c r="O716">
        <f t="shared" si="479"/>
        <v>233.28</v>
      </c>
      <c r="P716">
        <f t="shared" si="479"/>
        <v>224.65268916508319</v>
      </c>
      <c r="Q716">
        <f t="shared" si="479"/>
        <v>255.32874860928246</v>
      </c>
      <c r="R716">
        <f t="shared" si="479"/>
        <v>264.59949995706938</v>
      </c>
      <c r="S716">
        <f t="shared" si="479"/>
        <v>295.82106412783918</v>
      </c>
      <c r="T716">
        <f t="shared" si="479"/>
        <v>260.08773687591872</v>
      </c>
      <c r="U716">
        <f t="shared" si="479"/>
        <v>262.28921381398897</v>
      </c>
      <c r="V716">
        <f t="shared" si="479"/>
        <v>281.88617629414898</v>
      </c>
      <c r="W716">
        <f t="shared" si="479"/>
        <v>279.00187532940924</v>
      </c>
      <c r="Y716" s="6">
        <f t="shared" si="449"/>
        <v>6535.1173001557991</v>
      </c>
      <c r="Z716">
        <f>SUMPRODUCT($D$718:$W$718,D716:W716)</f>
        <v>-575.28255587787226</v>
      </c>
    </row>
    <row r="717" spans="1:26" x14ac:dyDescent="0.25">
      <c r="A717" t="s">
        <v>658</v>
      </c>
      <c r="D717">
        <f t="shared" ref="D717:W717" si="480">D105*D177</f>
        <v>788.83505515109778</v>
      </c>
      <c r="E717">
        <f t="shared" si="480"/>
        <v>564.96103887510299</v>
      </c>
      <c r="F717">
        <f t="shared" si="480"/>
        <v>738.35550677913704</v>
      </c>
      <c r="G717">
        <f t="shared" si="480"/>
        <v>762.97116966269562</v>
      </c>
      <c r="H717">
        <f t="shared" si="480"/>
        <v>667.49281012715028</v>
      </c>
      <c r="I717">
        <f t="shared" si="480"/>
        <v>424.35</v>
      </c>
      <c r="J717">
        <f t="shared" si="480"/>
        <v>313.33714285714291</v>
      </c>
      <c r="K717">
        <f t="shared" si="480"/>
        <v>397.39400000000012</v>
      </c>
      <c r="L717">
        <f t="shared" si="480"/>
        <v>276.18511904761908</v>
      </c>
      <c r="M717">
        <f t="shared" si="480"/>
        <v>248.55449562682224</v>
      </c>
      <c r="N717">
        <f t="shared" si="480"/>
        <v>245.52</v>
      </c>
      <c r="O717">
        <f t="shared" si="480"/>
        <v>305.02</v>
      </c>
      <c r="P717">
        <f t="shared" si="480"/>
        <v>248.61257142857139</v>
      </c>
      <c r="Q717">
        <f t="shared" si="480"/>
        <v>301.24285714285713</v>
      </c>
      <c r="R717">
        <f t="shared" si="480"/>
        <v>276.35612244897965</v>
      </c>
      <c r="S717">
        <f t="shared" si="480"/>
        <v>297.76551020408164</v>
      </c>
      <c r="T717">
        <f t="shared" si="480"/>
        <v>259.98635463826713</v>
      </c>
      <c r="U717">
        <f t="shared" si="480"/>
        <v>258.07032676384506</v>
      </c>
      <c r="V717">
        <f t="shared" si="480"/>
        <v>315.38896629229919</v>
      </c>
      <c r="W717">
        <f t="shared" si="480"/>
        <v>315.63429338250472</v>
      </c>
      <c r="Y717" s="6">
        <f t="shared" ref="Y717" si="481">SUM(D717:W717)</f>
        <v>8006.0333404281746</v>
      </c>
      <c r="Z717">
        <f>SUMPRODUCT($D$718:$W$718,D717:W717)</f>
        <v>-645.39760294690382</v>
      </c>
    </row>
    <row r="718" spans="1:26" x14ac:dyDescent="0.25">
      <c r="A718" s="2" t="s">
        <v>71</v>
      </c>
      <c r="D718" s="3">
        <f>CORREL($B$2:$B$28,D686:D712)</f>
        <v>0.14823740971327426</v>
      </c>
      <c r="E718" s="3">
        <f t="shared" ref="E718:W718" si="482">CORREL($B$2:$B$28,E686:E712)</f>
        <v>0.24409558891762834</v>
      </c>
      <c r="F718" s="3">
        <f t="shared" si="482"/>
        <v>6.2133844380399074E-2</v>
      </c>
      <c r="G718" s="3">
        <f t="shared" si="482"/>
        <v>-5.2679151762866645E-2</v>
      </c>
      <c r="H718" s="3">
        <f t="shared" si="482"/>
        <v>-0.10856109718562332</v>
      </c>
      <c r="I718" s="3">
        <f t="shared" si="482"/>
        <v>3.7804107552759238E-2</v>
      </c>
      <c r="J718" s="3">
        <f t="shared" si="482"/>
        <v>-0.41035427726408996</v>
      </c>
      <c r="K718" s="3">
        <f t="shared" si="482"/>
        <v>-0.15528258083925278</v>
      </c>
      <c r="L718" s="3">
        <f t="shared" si="482"/>
        <v>-0.20954761524209639</v>
      </c>
      <c r="M718" s="3">
        <f t="shared" si="482"/>
        <v>-0.12357515568542891</v>
      </c>
      <c r="N718" s="3">
        <f t="shared" si="482"/>
        <v>-0.36862828439277867</v>
      </c>
      <c r="O718" s="3">
        <f t="shared" si="482"/>
        <v>-0.28765350284280861</v>
      </c>
      <c r="P718" s="3">
        <f t="shared" si="482"/>
        <v>-0.23531706023170568</v>
      </c>
      <c r="Q718" s="3">
        <f t="shared" si="482"/>
        <v>-0.11546592578997876</v>
      </c>
      <c r="R718" s="3">
        <f t="shared" si="482"/>
        <v>-3.020799587428499E-2</v>
      </c>
      <c r="S718" s="3">
        <f t="shared" si="482"/>
        <v>6.2578458202050366E-2</v>
      </c>
      <c r="T718" s="3">
        <f t="shared" si="482"/>
        <v>-0.42520879254164329</v>
      </c>
      <c r="U718" s="3">
        <f t="shared" si="482"/>
        <v>-0.28009418684446802</v>
      </c>
      <c r="V718" s="3">
        <f t="shared" si="482"/>
        <v>-0.33968271796179061</v>
      </c>
      <c r="W718" s="3">
        <f t="shared" si="482"/>
        <v>-6.1501582358995492E-2</v>
      </c>
    </row>
    <row r="721" spans="1:26" x14ac:dyDescent="0.25">
      <c r="D721" t="s">
        <v>230</v>
      </c>
      <c r="E721" t="s">
        <v>231</v>
      </c>
      <c r="F721" t="s">
        <v>232</v>
      </c>
      <c r="G721" t="s">
        <v>233</v>
      </c>
      <c r="H721" t="s">
        <v>234</v>
      </c>
      <c r="I721" t="s">
        <v>235</v>
      </c>
      <c r="J721" t="s">
        <v>236</v>
      </c>
      <c r="K721" t="s">
        <v>237</v>
      </c>
      <c r="L721" t="s">
        <v>335</v>
      </c>
      <c r="M721" t="s">
        <v>403</v>
      </c>
      <c r="N721" t="s">
        <v>404</v>
      </c>
      <c r="O721" t="s">
        <v>405</v>
      </c>
      <c r="P721" t="s">
        <v>514</v>
      </c>
      <c r="Q721" t="s">
        <v>515</v>
      </c>
      <c r="R721" t="s">
        <v>516</v>
      </c>
      <c r="S721" t="s">
        <v>517</v>
      </c>
      <c r="T721" t="s">
        <v>626</v>
      </c>
      <c r="U721" t="s">
        <v>627</v>
      </c>
      <c r="V721" t="s">
        <v>628</v>
      </c>
      <c r="W721" t="s">
        <v>629</v>
      </c>
      <c r="Y721" t="s">
        <v>238</v>
      </c>
      <c r="Z721" t="s">
        <v>239</v>
      </c>
    </row>
    <row r="722" spans="1:26" x14ac:dyDescent="0.25">
      <c r="A722" t="s">
        <v>43</v>
      </c>
      <c r="D722">
        <f t="shared" ref="D722:W722" si="483">D74*D182</f>
        <v>188.93297071436427</v>
      </c>
      <c r="E722">
        <f t="shared" si="483"/>
        <v>159.45071125721168</v>
      </c>
      <c r="F722">
        <f t="shared" si="483"/>
        <v>120.3094368392202</v>
      </c>
      <c r="G722">
        <f t="shared" si="483"/>
        <v>128.66571350870896</v>
      </c>
      <c r="H722">
        <f t="shared" si="483"/>
        <v>113.61639451815375</v>
      </c>
      <c r="I722">
        <f t="shared" si="483"/>
        <v>100.17733350050609</v>
      </c>
      <c r="J722">
        <f t="shared" si="483"/>
        <v>119.23746117599298</v>
      </c>
      <c r="K722">
        <f t="shared" si="483"/>
        <v>97.400682520728253</v>
      </c>
      <c r="L722">
        <f t="shared" si="483"/>
        <v>93.18057178649785</v>
      </c>
      <c r="M722">
        <f t="shared" si="483"/>
        <v>32.708665198661933</v>
      </c>
      <c r="N722">
        <f t="shared" si="483"/>
        <v>55.317352414171708</v>
      </c>
      <c r="O722">
        <f t="shared" si="483"/>
        <v>83.487629134807335</v>
      </c>
      <c r="P722">
        <f t="shared" si="483"/>
        <v>73.300891201553952</v>
      </c>
      <c r="Q722">
        <f t="shared" si="483"/>
        <v>76.360367473654193</v>
      </c>
      <c r="R722">
        <f t="shared" si="483"/>
        <v>93.780493739841404</v>
      </c>
      <c r="S722">
        <f t="shared" si="483"/>
        <v>85.227825938901532</v>
      </c>
      <c r="T722">
        <f t="shared" si="483"/>
        <v>83.422894424358574</v>
      </c>
      <c r="U722">
        <f t="shared" si="483"/>
        <v>73.812942047617696</v>
      </c>
      <c r="V722">
        <f t="shared" si="483"/>
        <v>136.93360079072355</v>
      </c>
      <c r="W722">
        <f t="shared" si="483"/>
        <v>132.55634702618272</v>
      </c>
      <c r="Y722" s="6">
        <f t="shared" ref="Y722:Y752" si="484">SUM(D722:W722)</f>
        <v>2047.8802852118588</v>
      </c>
      <c r="Z722">
        <f t="shared" ref="Z722:Z748" si="485">SUMPRODUCT($D$754:$W$754,D722:W722)</f>
        <v>-107.14649826517243</v>
      </c>
    </row>
    <row r="723" spans="1:26" x14ac:dyDescent="0.25">
      <c r="A723" t="s">
        <v>44</v>
      </c>
      <c r="D723">
        <f t="shared" ref="D723:W723" si="486">D75*D183</f>
        <v>134.58180308548677</v>
      </c>
      <c r="E723">
        <f t="shared" si="486"/>
        <v>110.84513842124338</v>
      </c>
      <c r="F723">
        <f t="shared" si="486"/>
        <v>172.29244960987705</v>
      </c>
      <c r="G723">
        <f t="shared" si="486"/>
        <v>74.379879717553834</v>
      </c>
      <c r="H723">
        <f t="shared" si="486"/>
        <v>99.379459270850631</v>
      </c>
      <c r="I723">
        <f t="shared" si="486"/>
        <v>62.351260610601841</v>
      </c>
      <c r="J723">
        <f t="shared" si="486"/>
        <v>34.146825341496104</v>
      </c>
      <c r="K723">
        <f t="shared" si="486"/>
        <v>32.949495764497399</v>
      </c>
      <c r="L723">
        <f t="shared" si="486"/>
        <v>39.952938751189592</v>
      </c>
      <c r="M723">
        <f t="shared" si="486"/>
        <v>52.730110861134555</v>
      </c>
      <c r="N723">
        <f t="shared" si="486"/>
        <v>114.58957889535989</v>
      </c>
      <c r="O723">
        <f t="shared" si="486"/>
        <v>89.506793501607774</v>
      </c>
      <c r="P723">
        <f t="shared" si="486"/>
        <v>33.683033361642757</v>
      </c>
      <c r="Q723">
        <f t="shared" si="486"/>
        <v>58.426564065710593</v>
      </c>
      <c r="R723">
        <f t="shared" si="486"/>
        <v>55.350593848682955</v>
      </c>
      <c r="S723">
        <f t="shared" si="486"/>
        <v>63.358006848979585</v>
      </c>
      <c r="T723">
        <f t="shared" si="486"/>
        <v>103.90730784361067</v>
      </c>
      <c r="U723">
        <f t="shared" si="486"/>
        <v>69.973568800747884</v>
      </c>
      <c r="V723">
        <f t="shared" si="486"/>
        <v>153.42570511580277</v>
      </c>
      <c r="W723">
        <f t="shared" si="486"/>
        <v>209.7365956137244</v>
      </c>
      <c r="Y723" s="6">
        <f t="shared" si="484"/>
        <v>1765.5671093298004</v>
      </c>
      <c r="Z723">
        <f t="shared" si="485"/>
        <v>-101.49570548668669</v>
      </c>
    </row>
    <row r="724" spans="1:26" x14ac:dyDescent="0.25">
      <c r="A724" t="s">
        <v>45</v>
      </c>
      <c r="D724">
        <f t="shared" ref="D724:W724" si="487">D76*D184</f>
        <v>126.18137122806411</v>
      </c>
      <c r="E724">
        <f t="shared" si="487"/>
        <v>79.115998423560114</v>
      </c>
      <c r="F724">
        <f t="shared" si="487"/>
        <v>33.461429420987848</v>
      </c>
      <c r="G724">
        <f t="shared" si="487"/>
        <v>85.8161230517794</v>
      </c>
      <c r="H724">
        <f t="shared" si="487"/>
        <v>148.46690767570055</v>
      </c>
      <c r="I724">
        <f t="shared" si="487"/>
        <v>79.678319626077936</v>
      </c>
      <c r="J724">
        <f t="shared" si="487"/>
        <v>129.58243721214865</v>
      </c>
      <c r="K724">
        <f t="shared" si="487"/>
        <v>87.27441224057641</v>
      </c>
      <c r="L724">
        <f t="shared" si="487"/>
        <v>86.369936153405135</v>
      </c>
      <c r="M724">
        <f t="shared" si="487"/>
        <v>94.181749510123169</v>
      </c>
      <c r="N724">
        <f t="shared" si="487"/>
        <v>109.47693725088844</v>
      </c>
      <c r="O724">
        <f t="shared" si="487"/>
        <v>77.270176412422344</v>
      </c>
      <c r="P724">
        <f t="shared" si="487"/>
        <v>47.689583215813357</v>
      </c>
      <c r="Q724">
        <f t="shared" si="487"/>
        <v>61.552835533393996</v>
      </c>
      <c r="R724">
        <f t="shared" si="487"/>
        <v>96.428135649208286</v>
      </c>
      <c r="S724">
        <f t="shared" si="487"/>
        <v>105.32454239252786</v>
      </c>
      <c r="T724">
        <f t="shared" si="487"/>
        <v>107.79912567480743</v>
      </c>
      <c r="U724">
        <f t="shared" si="487"/>
        <v>134.91836149625806</v>
      </c>
      <c r="V724">
        <f t="shared" si="487"/>
        <v>208.99996341838457</v>
      </c>
      <c r="W724">
        <f t="shared" si="487"/>
        <v>241.49645013572422</v>
      </c>
      <c r="Y724" s="6">
        <f t="shared" si="484"/>
        <v>2141.0847957218521</v>
      </c>
      <c r="Z724">
        <f t="shared" si="485"/>
        <v>-207.39539756455684</v>
      </c>
    </row>
    <row r="725" spans="1:26" x14ac:dyDescent="0.25">
      <c r="A725" t="s">
        <v>46</v>
      </c>
      <c r="D725">
        <f t="shared" ref="D725:W725" si="488">D77*D185</f>
        <v>146.0265802772243</v>
      </c>
      <c r="E725">
        <f t="shared" si="488"/>
        <v>109.07432426736287</v>
      </c>
      <c r="F725">
        <f t="shared" si="488"/>
        <v>96.975841046043868</v>
      </c>
      <c r="G725">
        <f t="shared" si="488"/>
        <v>88.275774370467275</v>
      </c>
      <c r="H725">
        <f t="shared" si="488"/>
        <v>65.693962958739547</v>
      </c>
      <c r="I725">
        <f t="shared" si="488"/>
        <v>72.859425065083343</v>
      </c>
      <c r="J725">
        <f t="shared" si="488"/>
        <v>94.757536829039694</v>
      </c>
      <c r="K725">
        <f t="shared" si="488"/>
        <v>111.895712855551</v>
      </c>
      <c r="L725">
        <f t="shared" si="488"/>
        <v>80.798586520409046</v>
      </c>
      <c r="M725">
        <f t="shared" si="488"/>
        <v>70.39003657941015</v>
      </c>
      <c r="N725">
        <f t="shared" si="488"/>
        <v>32.613558210234068</v>
      </c>
      <c r="O725">
        <f t="shared" si="488"/>
        <v>49.669412234410508</v>
      </c>
      <c r="P725">
        <f t="shared" si="488"/>
        <v>40.171918095911195</v>
      </c>
      <c r="Q725">
        <f t="shared" si="488"/>
        <v>59.836728544554759</v>
      </c>
      <c r="R725">
        <f t="shared" si="488"/>
        <v>55.332552980047133</v>
      </c>
      <c r="S725">
        <f t="shared" si="488"/>
        <v>94.854557317960911</v>
      </c>
      <c r="T725">
        <f t="shared" si="488"/>
        <v>61.66985867060847</v>
      </c>
      <c r="U725">
        <f t="shared" si="488"/>
        <v>70.833475552439054</v>
      </c>
      <c r="V725">
        <f t="shared" si="488"/>
        <v>92.582030740949776</v>
      </c>
      <c r="W725">
        <f t="shared" si="488"/>
        <v>140.3891550433633</v>
      </c>
      <c r="Y725" s="6">
        <f t="shared" si="484"/>
        <v>1634.70102815981</v>
      </c>
      <c r="Z725">
        <f t="shared" si="485"/>
        <v>-86.393252898653742</v>
      </c>
    </row>
    <row r="726" spans="1:26" x14ac:dyDescent="0.25">
      <c r="A726" t="s">
        <v>47</v>
      </c>
      <c r="D726">
        <f t="shared" ref="D726:W726" si="489">D78*D186</f>
        <v>168.0767032458719</v>
      </c>
      <c r="E726">
        <f t="shared" si="489"/>
        <v>149.31777860362186</v>
      </c>
      <c r="F726">
        <f t="shared" si="489"/>
        <v>150.09152742904374</v>
      </c>
      <c r="G726">
        <f t="shared" si="489"/>
        <v>172.18327870606856</v>
      </c>
      <c r="H726">
        <f t="shared" si="489"/>
        <v>119.93296165550932</v>
      </c>
      <c r="I726">
        <f t="shared" si="489"/>
        <v>91.474182142570683</v>
      </c>
      <c r="J726">
        <f t="shared" si="489"/>
        <v>97.550821494059079</v>
      </c>
      <c r="K726">
        <f t="shared" si="489"/>
        <v>86.424330602053416</v>
      </c>
      <c r="L726">
        <f t="shared" si="489"/>
        <v>42.810846791155996</v>
      </c>
      <c r="M726">
        <f t="shared" si="489"/>
        <v>63.145103246280463</v>
      </c>
      <c r="N726">
        <f t="shared" si="489"/>
        <v>59.999742161194845</v>
      </c>
      <c r="O726">
        <f t="shared" si="489"/>
        <v>72.398904842937768</v>
      </c>
      <c r="P726">
        <f t="shared" si="489"/>
        <v>91.23039642569023</v>
      </c>
      <c r="Q726">
        <f t="shared" si="489"/>
        <v>59.659338711861288</v>
      </c>
      <c r="R726">
        <f t="shared" si="489"/>
        <v>139.31618198033874</v>
      </c>
      <c r="S726">
        <f t="shared" si="489"/>
        <v>113.42914466645088</v>
      </c>
      <c r="T726">
        <f t="shared" si="489"/>
        <v>129.03205075212679</v>
      </c>
      <c r="U726">
        <f t="shared" si="489"/>
        <v>134.33749488939225</v>
      </c>
      <c r="V726">
        <f t="shared" si="489"/>
        <v>149.08565279267341</v>
      </c>
      <c r="W726">
        <f t="shared" si="489"/>
        <v>193.71245307274302</v>
      </c>
      <c r="Y726" s="6">
        <f t="shared" si="484"/>
        <v>2283.2088942116438</v>
      </c>
      <c r="Z726">
        <f t="shared" si="485"/>
        <v>-111.16251160182905</v>
      </c>
    </row>
    <row r="727" spans="1:26" x14ac:dyDescent="0.25">
      <c r="A727" t="s">
        <v>48</v>
      </c>
      <c r="D727">
        <f t="shared" ref="D727:W727" si="490">D79*D187</f>
        <v>207.28316753569794</v>
      </c>
      <c r="E727">
        <f t="shared" si="490"/>
        <v>158.99006296823777</v>
      </c>
      <c r="F727">
        <f t="shared" si="490"/>
        <v>158.77184126256284</v>
      </c>
      <c r="G727">
        <f t="shared" si="490"/>
        <v>251.93246520107081</v>
      </c>
      <c r="H727">
        <f t="shared" si="490"/>
        <v>279.39372294536855</v>
      </c>
      <c r="I727">
        <f t="shared" si="490"/>
        <v>128.71779471313994</v>
      </c>
      <c r="J727">
        <f t="shared" si="490"/>
        <v>96.389345907416299</v>
      </c>
      <c r="K727">
        <f t="shared" si="490"/>
        <v>111.54116958823244</v>
      </c>
      <c r="L727">
        <f t="shared" si="490"/>
        <v>70.69184037685153</v>
      </c>
      <c r="M727">
        <f t="shared" si="490"/>
        <v>36.966965408506589</v>
      </c>
      <c r="N727">
        <f t="shared" si="490"/>
        <v>38.713810864020481</v>
      </c>
      <c r="O727">
        <f t="shared" si="490"/>
        <v>33.957030180392778</v>
      </c>
      <c r="P727">
        <f t="shared" si="490"/>
        <v>101.55239036498918</v>
      </c>
      <c r="Q727">
        <f t="shared" si="490"/>
        <v>115.33067835074932</v>
      </c>
      <c r="R727">
        <f t="shared" si="490"/>
        <v>88.436855766544909</v>
      </c>
      <c r="S727">
        <f t="shared" si="490"/>
        <v>68.232504724963988</v>
      </c>
      <c r="T727">
        <f t="shared" si="490"/>
        <v>53.261693187467685</v>
      </c>
      <c r="U727">
        <f t="shared" si="490"/>
        <v>97.530989587045894</v>
      </c>
      <c r="V727">
        <f t="shared" si="490"/>
        <v>98.514060586551906</v>
      </c>
      <c r="W727">
        <f t="shared" si="490"/>
        <v>124.24815509464848</v>
      </c>
      <c r="Y727" s="6">
        <f t="shared" si="484"/>
        <v>2320.4565446144593</v>
      </c>
      <c r="Z727">
        <f t="shared" si="485"/>
        <v>-108.26966520515411</v>
      </c>
    </row>
    <row r="728" spans="1:26" x14ac:dyDescent="0.25">
      <c r="A728" t="s">
        <v>49</v>
      </c>
      <c r="D728">
        <f t="shared" ref="D728:W728" si="491">D80*D188</f>
        <v>129.61250354053948</v>
      </c>
      <c r="E728">
        <f t="shared" si="491"/>
        <v>168.00015652699071</v>
      </c>
      <c r="F728">
        <f t="shared" si="491"/>
        <v>149.40128299287105</v>
      </c>
      <c r="G728">
        <f t="shared" si="491"/>
        <v>144.70060672796254</v>
      </c>
      <c r="H728">
        <f t="shared" si="491"/>
        <v>119.22876876870708</v>
      </c>
      <c r="I728">
        <f t="shared" si="491"/>
        <v>105.77654482553686</v>
      </c>
      <c r="J728">
        <f t="shared" si="491"/>
        <v>102.65084395023912</v>
      </c>
      <c r="K728">
        <f t="shared" si="491"/>
        <v>79.228768613699515</v>
      </c>
      <c r="L728">
        <f t="shared" si="491"/>
        <v>76.167376960445949</v>
      </c>
      <c r="M728">
        <f t="shared" si="491"/>
        <v>32.337672492660197</v>
      </c>
      <c r="N728">
        <f t="shared" si="491"/>
        <v>37.72919055602344</v>
      </c>
      <c r="O728">
        <f t="shared" si="491"/>
        <v>45.67099298461109</v>
      </c>
      <c r="P728">
        <f t="shared" si="491"/>
        <v>105.96884546641509</v>
      </c>
      <c r="Q728">
        <f t="shared" si="491"/>
        <v>162.0922459072367</v>
      </c>
      <c r="R728">
        <f t="shared" si="491"/>
        <v>109.68759998746027</v>
      </c>
      <c r="S728">
        <f t="shared" si="491"/>
        <v>59.291789253488126</v>
      </c>
      <c r="T728">
        <f t="shared" si="491"/>
        <v>62.616707240643727</v>
      </c>
      <c r="U728">
        <f t="shared" si="491"/>
        <v>103.0828465308405</v>
      </c>
      <c r="V728">
        <f t="shared" si="491"/>
        <v>109.09499286793184</v>
      </c>
      <c r="W728">
        <f t="shared" si="491"/>
        <v>151.70424351476618</v>
      </c>
      <c r="Y728" s="6">
        <f t="shared" si="484"/>
        <v>2054.0439797090694</v>
      </c>
      <c r="Z728">
        <f t="shared" si="485"/>
        <v>-101.20546994359617</v>
      </c>
    </row>
    <row r="729" spans="1:26" x14ac:dyDescent="0.25">
      <c r="A729" t="s">
        <v>50</v>
      </c>
      <c r="D729">
        <f t="shared" ref="D729:W729" si="492">D81*D189</f>
        <v>155.98994986539378</v>
      </c>
      <c r="E729">
        <f t="shared" si="492"/>
        <v>117.87732669819702</v>
      </c>
      <c r="F729">
        <f t="shared" si="492"/>
        <v>176.54946586241215</v>
      </c>
      <c r="G729">
        <f t="shared" si="492"/>
        <v>153.38379265514101</v>
      </c>
      <c r="H729">
        <f t="shared" si="492"/>
        <v>103.32542491085144</v>
      </c>
      <c r="I729">
        <f t="shared" si="492"/>
        <v>126.38135101513512</v>
      </c>
      <c r="J729">
        <f t="shared" si="492"/>
        <v>90.91440117302929</v>
      </c>
      <c r="K729">
        <f t="shared" si="492"/>
        <v>95.522843945523263</v>
      </c>
      <c r="L729">
        <f t="shared" si="492"/>
        <v>135.29681482060076</v>
      </c>
      <c r="M729">
        <f t="shared" si="492"/>
        <v>72.412971915979014</v>
      </c>
      <c r="N729">
        <f t="shared" si="492"/>
        <v>118.90106464619534</v>
      </c>
      <c r="O729">
        <f t="shared" si="492"/>
        <v>113.54912588652863</v>
      </c>
      <c r="P729">
        <f t="shared" si="492"/>
        <v>84.284286431328368</v>
      </c>
      <c r="Q729">
        <f t="shared" si="492"/>
        <v>96.571622431281227</v>
      </c>
      <c r="R729">
        <f t="shared" si="492"/>
        <v>81.856567646241231</v>
      </c>
      <c r="S729">
        <f t="shared" si="492"/>
        <v>111.22497565368869</v>
      </c>
      <c r="T729">
        <f t="shared" si="492"/>
        <v>90.033277310041427</v>
      </c>
      <c r="U729">
        <f t="shared" si="492"/>
        <v>115.31093118696394</v>
      </c>
      <c r="V729">
        <f t="shared" si="492"/>
        <v>177.34262554210349</v>
      </c>
      <c r="W729">
        <f t="shared" si="492"/>
        <v>160.59818562617471</v>
      </c>
      <c r="Y729" s="6">
        <f t="shared" si="484"/>
        <v>2377.3270052228099</v>
      </c>
      <c r="Z729">
        <f t="shared" si="485"/>
        <v>-184.04580357358867</v>
      </c>
    </row>
    <row r="730" spans="1:26" x14ac:dyDescent="0.25">
      <c r="A730" t="s">
        <v>51</v>
      </c>
      <c r="D730">
        <f t="shared" ref="D730:W730" si="493">D82*D190</f>
        <v>169.20578569118965</v>
      </c>
      <c r="E730">
        <f t="shared" si="493"/>
        <v>195.26643077262636</v>
      </c>
      <c r="F730">
        <f t="shared" si="493"/>
        <v>281.87364989950919</v>
      </c>
      <c r="G730">
        <f t="shared" si="493"/>
        <v>226.4303823441885</v>
      </c>
      <c r="H730">
        <f t="shared" si="493"/>
        <v>109.70630489513057</v>
      </c>
      <c r="I730">
        <f t="shared" si="493"/>
        <v>90.60185365708935</v>
      </c>
      <c r="J730">
        <f t="shared" si="493"/>
        <v>94.246898875603648</v>
      </c>
      <c r="K730">
        <f t="shared" si="493"/>
        <v>60.781540720632989</v>
      </c>
      <c r="L730">
        <f t="shared" si="493"/>
        <v>84.062617516677292</v>
      </c>
      <c r="M730">
        <f t="shared" si="493"/>
        <v>90.104488158964699</v>
      </c>
      <c r="N730">
        <f t="shared" si="493"/>
        <v>143.85500583189975</v>
      </c>
      <c r="O730">
        <f t="shared" si="493"/>
        <v>86.059048581793689</v>
      </c>
      <c r="P730">
        <f t="shared" si="493"/>
        <v>149.67532891604307</v>
      </c>
      <c r="Q730">
        <f t="shared" si="493"/>
        <v>54.521893434953924</v>
      </c>
      <c r="R730">
        <f t="shared" si="493"/>
        <v>88.114834938255271</v>
      </c>
      <c r="S730">
        <f t="shared" si="493"/>
        <v>119.54587092391991</v>
      </c>
      <c r="T730">
        <f t="shared" si="493"/>
        <v>74.708636856133552</v>
      </c>
      <c r="U730">
        <f t="shared" si="493"/>
        <v>125.04993365356364</v>
      </c>
      <c r="V730">
        <f t="shared" si="493"/>
        <v>141.95430294535885</v>
      </c>
      <c r="W730">
        <f t="shared" si="493"/>
        <v>202.80642182864617</v>
      </c>
      <c r="Y730" s="6">
        <f t="shared" si="484"/>
        <v>2588.57123044218</v>
      </c>
      <c r="Z730">
        <f t="shared" si="485"/>
        <v>-147.1322412883722</v>
      </c>
    </row>
    <row r="731" spans="1:26" x14ac:dyDescent="0.25">
      <c r="A731" t="s">
        <v>52</v>
      </c>
      <c r="D731">
        <f t="shared" ref="D731:W731" si="494">D83*D191</f>
        <v>200.38659486719871</v>
      </c>
      <c r="E731">
        <f t="shared" si="494"/>
        <v>192.37800499764381</v>
      </c>
      <c r="F731">
        <f t="shared" si="494"/>
        <v>139.17687360269088</v>
      </c>
      <c r="G731">
        <f t="shared" si="494"/>
        <v>77.177167060667486</v>
      </c>
      <c r="H731">
        <f t="shared" si="494"/>
        <v>83.879249803864397</v>
      </c>
      <c r="I731">
        <f t="shared" si="494"/>
        <v>149.74732413133694</v>
      </c>
      <c r="J731">
        <f t="shared" si="494"/>
        <v>41.264129197270726</v>
      </c>
      <c r="K731">
        <f t="shared" si="494"/>
        <v>61.921224614528811</v>
      </c>
      <c r="L731">
        <f t="shared" si="494"/>
        <v>63.664094593040659</v>
      </c>
      <c r="M731">
        <f t="shared" si="494"/>
        <v>65.787962524225236</v>
      </c>
      <c r="N731">
        <f t="shared" si="494"/>
        <v>52.472740306408078</v>
      </c>
      <c r="O731">
        <f t="shared" si="494"/>
        <v>59.252586428875439</v>
      </c>
      <c r="P731">
        <f t="shared" si="494"/>
        <v>72.456856970720281</v>
      </c>
      <c r="Q731">
        <f t="shared" si="494"/>
        <v>82.929163073621197</v>
      </c>
      <c r="R731">
        <f t="shared" si="494"/>
        <v>96.423974833097517</v>
      </c>
      <c r="S731">
        <f t="shared" si="494"/>
        <v>106.06619794106213</v>
      </c>
      <c r="T731">
        <f t="shared" si="494"/>
        <v>70.316244736128752</v>
      </c>
      <c r="U731">
        <f t="shared" si="494"/>
        <v>103.452549008152</v>
      </c>
      <c r="V731">
        <f t="shared" si="494"/>
        <v>104.21166918311982</v>
      </c>
      <c r="W731">
        <f t="shared" si="494"/>
        <v>130.10610200010069</v>
      </c>
      <c r="Y731" s="6">
        <f t="shared" si="484"/>
        <v>1953.0707098737535</v>
      </c>
      <c r="Z731">
        <f t="shared" si="485"/>
        <v>-20.520564454883335</v>
      </c>
    </row>
    <row r="732" spans="1:26" x14ac:dyDescent="0.25">
      <c r="A732" t="s">
        <v>53</v>
      </c>
      <c r="D732">
        <f t="shared" ref="D732:W732" si="495">D84*D192</f>
        <v>174.16999764002404</v>
      </c>
      <c r="E732">
        <f t="shared" si="495"/>
        <v>124.0446619781266</v>
      </c>
      <c r="F732">
        <f t="shared" si="495"/>
        <v>111.54487763033146</v>
      </c>
      <c r="G732">
        <f t="shared" si="495"/>
        <v>117.81129232978614</v>
      </c>
      <c r="H732">
        <f t="shared" si="495"/>
        <v>94.738900915165061</v>
      </c>
      <c r="I732">
        <f t="shared" si="495"/>
        <v>76.109859223192316</v>
      </c>
      <c r="J732">
        <f t="shared" si="495"/>
        <v>118.70824833072416</v>
      </c>
      <c r="K732">
        <f t="shared" si="495"/>
        <v>116.92585521604589</v>
      </c>
      <c r="L732">
        <f t="shared" si="495"/>
        <v>115.22223993875697</v>
      </c>
      <c r="M732">
        <f t="shared" si="495"/>
        <v>101.683942623956</v>
      </c>
      <c r="N732">
        <f t="shared" si="495"/>
        <v>67.686369530472021</v>
      </c>
      <c r="O732">
        <f t="shared" si="495"/>
        <v>70.36103773742866</v>
      </c>
      <c r="P732">
        <f t="shared" si="495"/>
        <v>92.415612309655046</v>
      </c>
      <c r="Q732">
        <f t="shared" si="495"/>
        <v>46.423750886666078</v>
      </c>
      <c r="R732">
        <f t="shared" si="495"/>
        <v>66.410305391651548</v>
      </c>
      <c r="S732">
        <f t="shared" si="495"/>
        <v>79.660460458218637</v>
      </c>
      <c r="T732">
        <f t="shared" si="495"/>
        <v>150.95792558824425</v>
      </c>
      <c r="U732">
        <f t="shared" si="495"/>
        <v>109.67257188963973</v>
      </c>
      <c r="V732">
        <f t="shared" si="495"/>
        <v>162.98296065976015</v>
      </c>
      <c r="W732">
        <f t="shared" si="495"/>
        <v>189.87425359134531</v>
      </c>
      <c r="Y732" s="6">
        <f t="shared" si="484"/>
        <v>2187.4051238691904</v>
      </c>
      <c r="Z732">
        <f t="shared" si="485"/>
        <v>-165.08042679852704</v>
      </c>
    </row>
    <row r="733" spans="1:26" x14ac:dyDescent="0.25">
      <c r="A733" t="s">
        <v>54</v>
      </c>
      <c r="D733">
        <f t="shared" ref="D733:W733" si="496">D85*D193</f>
        <v>170.72311139295985</v>
      </c>
      <c r="E733">
        <f t="shared" si="496"/>
        <v>137.46471419852631</v>
      </c>
      <c r="F733">
        <f t="shared" si="496"/>
        <v>155.45349880359001</v>
      </c>
      <c r="G733">
        <f t="shared" si="496"/>
        <v>95.03941719273179</v>
      </c>
      <c r="H733">
        <f t="shared" si="496"/>
        <v>75.250217610740648</v>
      </c>
      <c r="I733">
        <f t="shared" si="496"/>
        <v>87.489463569279891</v>
      </c>
      <c r="J733">
        <f t="shared" si="496"/>
        <v>32.559948985783556</v>
      </c>
      <c r="K733">
        <f t="shared" si="496"/>
        <v>56.210108170352115</v>
      </c>
      <c r="L733">
        <f t="shared" si="496"/>
        <v>71.869791355921322</v>
      </c>
      <c r="M733">
        <f t="shared" si="496"/>
        <v>57.646524706150757</v>
      </c>
      <c r="N733">
        <f t="shared" si="496"/>
        <v>55.001111428911038</v>
      </c>
      <c r="O733">
        <f t="shared" si="496"/>
        <v>46.781976334385789</v>
      </c>
      <c r="P733">
        <f t="shared" si="496"/>
        <v>53.154048922883355</v>
      </c>
      <c r="Q733">
        <f t="shared" si="496"/>
        <v>77.742590336928828</v>
      </c>
      <c r="R733">
        <f t="shared" si="496"/>
        <v>34.225501370855234</v>
      </c>
      <c r="S733">
        <f t="shared" si="496"/>
        <v>73.433584731960508</v>
      </c>
      <c r="T733">
        <f t="shared" si="496"/>
        <v>64.186533722289013</v>
      </c>
      <c r="U733">
        <f t="shared" si="496"/>
        <v>126.59514958051115</v>
      </c>
      <c r="V733">
        <f t="shared" si="496"/>
        <v>116.48755346875265</v>
      </c>
      <c r="W733">
        <f t="shared" si="496"/>
        <v>214.14147119508755</v>
      </c>
      <c r="Y733" s="6">
        <f t="shared" si="484"/>
        <v>1801.4563170786009</v>
      </c>
      <c r="Z733">
        <f t="shared" si="485"/>
        <v>-56.305352011606445</v>
      </c>
    </row>
    <row r="734" spans="1:26" x14ac:dyDescent="0.25">
      <c r="A734" t="s">
        <v>55</v>
      </c>
      <c r="D734">
        <f t="shared" ref="D734:W734" si="497">D86*D194</f>
        <v>246.21689075192987</v>
      </c>
      <c r="E734">
        <f t="shared" si="497"/>
        <v>245.40851301352549</v>
      </c>
      <c r="F734">
        <f t="shared" si="497"/>
        <v>176.89778811971547</v>
      </c>
      <c r="G734">
        <f t="shared" si="497"/>
        <v>216.06192765260593</v>
      </c>
      <c r="H734">
        <f t="shared" si="497"/>
        <v>115.82018295951073</v>
      </c>
      <c r="I734">
        <f t="shared" si="497"/>
        <v>137.26190883825603</v>
      </c>
      <c r="J734">
        <f t="shared" si="497"/>
        <v>67.317970605765083</v>
      </c>
      <c r="K734">
        <f t="shared" si="497"/>
        <v>58.873716685728432</v>
      </c>
      <c r="L734">
        <f t="shared" si="497"/>
        <v>75.594481276602764</v>
      </c>
      <c r="M734">
        <f t="shared" si="497"/>
        <v>74.400747353205873</v>
      </c>
      <c r="N734">
        <f t="shared" si="497"/>
        <v>94.767013557384402</v>
      </c>
      <c r="O734">
        <f t="shared" si="497"/>
        <v>35.441935500408086</v>
      </c>
      <c r="P734">
        <f t="shared" si="497"/>
        <v>42.63463659202683</v>
      </c>
      <c r="Q734">
        <f t="shared" si="497"/>
        <v>102.30204930753717</v>
      </c>
      <c r="R734">
        <f t="shared" si="497"/>
        <v>66.654546715796371</v>
      </c>
      <c r="S734">
        <f t="shared" si="497"/>
        <v>117.8718475439737</v>
      </c>
      <c r="T734">
        <f t="shared" si="497"/>
        <v>75.130958469144446</v>
      </c>
      <c r="U734">
        <f t="shared" si="497"/>
        <v>74.444123166493185</v>
      </c>
      <c r="V734">
        <f t="shared" si="497"/>
        <v>136.85800413346161</v>
      </c>
      <c r="W734">
        <f t="shared" si="497"/>
        <v>147.69224587896559</v>
      </c>
      <c r="Y734" s="6">
        <f t="shared" si="484"/>
        <v>2307.6514881220369</v>
      </c>
      <c r="Z734">
        <f t="shared" si="485"/>
        <v>-32.036734919204143</v>
      </c>
    </row>
    <row r="735" spans="1:26" x14ac:dyDescent="0.25">
      <c r="A735" t="s">
        <v>56</v>
      </c>
      <c r="D735">
        <f t="shared" ref="D735:W735" si="498">D87*D195</f>
        <v>308.18643790236439</v>
      </c>
      <c r="E735">
        <f t="shared" si="498"/>
        <v>158.39478198931084</v>
      </c>
      <c r="F735">
        <f t="shared" si="498"/>
        <v>159.37070235877499</v>
      </c>
      <c r="G735">
        <f t="shared" si="498"/>
        <v>113.07731190413445</v>
      </c>
      <c r="H735">
        <f t="shared" si="498"/>
        <v>85.70544596994371</v>
      </c>
      <c r="I735">
        <f t="shared" si="498"/>
        <v>81.662193204771285</v>
      </c>
      <c r="J735">
        <f t="shared" si="498"/>
        <v>62.436562392921964</v>
      </c>
      <c r="K735">
        <f t="shared" si="498"/>
        <v>88.324094948839857</v>
      </c>
      <c r="L735">
        <f t="shared" si="498"/>
        <v>69.116590541630103</v>
      </c>
      <c r="M735">
        <f t="shared" si="498"/>
        <v>72.655873911731078</v>
      </c>
      <c r="N735">
        <f t="shared" si="498"/>
        <v>44.655639178147311</v>
      </c>
      <c r="O735">
        <f t="shared" si="498"/>
        <v>77.615158319392194</v>
      </c>
      <c r="P735">
        <f t="shared" si="498"/>
        <v>84.949855026060945</v>
      </c>
      <c r="Q735">
        <f t="shared" si="498"/>
        <v>51.065831831283852</v>
      </c>
      <c r="R735">
        <f t="shared" si="498"/>
        <v>135.56438313462581</v>
      </c>
      <c r="S735">
        <f t="shared" si="498"/>
        <v>119.70220523692753</v>
      </c>
      <c r="T735">
        <f t="shared" si="498"/>
        <v>111.20405414410534</v>
      </c>
      <c r="U735">
        <f t="shared" si="498"/>
        <v>167.90884354715678</v>
      </c>
      <c r="V735">
        <f t="shared" si="498"/>
        <v>94.915853408616186</v>
      </c>
      <c r="W735">
        <f t="shared" si="498"/>
        <v>159.69092657659959</v>
      </c>
      <c r="Y735" s="6">
        <f t="shared" si="484"/>
        <v>2246.2027455273383</v>
      </c>
      <c r="Z735">
        <f t="shared" si="485"/>
        <v>-28.843590935401679</v>
      </c>
    </row>
    <row r="736" spans="1:26" x14ac:dyDescent="0.25">
      <c r="A736" t="s">
        <v>57</v>
      </c>
      <c r="D736">
        <f t="shared" ref="D736:W736" si="499">D88*D196</f>
        <v>193.37297340742077</v>
      </c>
      <c r="E736">
        <f t="shared" si="499"/>
        <v>190.27371816096564</v>
      </c>
      <c r="F736">
        <f t="shared" si="499"/>
        <v>147.84356664516696</v>
      </c>
      <c r="G736">
        <f t="shared" si="499"/>
        <v>121.11732413169079</v>
      </c>
      <c r="H736">
        <f t="shared" si="499"/>
        <v>82.370810139786599</v>
      </c>
      <c r="I736">
        <f t="shared" si="499"/>
        <v>80.786642615154975</v>
      </c>
      <c r="J736">
        <f t="shared" si="499"/>
        <v>60.89056073270784</v>
      </c>
      <c r="K736">
        <f t="shared" si="499"/>
        <v>68.934226941894295</v>
      </c>
      <c r="L736">
        <f t="shared" si="499"/>
        <v>57.239013436792476</v>
      </c>
      <c r="M736">
        <f t="shared" si="499"/>
        <v>77.756258639283814</v>
      </c>
      <c r="N736">
        <f t="shared" si="499"/>
        <v>86.196848983284724</v>
      </c>
      <c r="O736">
        <f t="shared" si="499"/>
        <v>54.848954788500698</v>
      </c>
      <c r="P736">
        <f t="shared" si="499"/>
        <v>115.69032236209</v>
      </c>
      <c r="Q736">
        <f t="shared" si="499"/>
        <v>88.919656454688422</v>
      </c>
      <c r="R736">
        <f t="shared" si="499"/>
        <v>67.808768058482869</v>
      </c>
      <c r="S736">
        <f t="shared" si="499"/>
        <v>64.24516358299347</v>
      </c>
      <c r="T736">
        <f t="shared" si="499"/>
        <v>117.1891485929039</v>
      </c>
      <c r="U736">
        <f t="shared" si="499"/>
        <v>120.5447164776879</v>
      </c>
      <c r="V736">
        <f t="shared" si="499"/>
        <v>66.605992488793191</v>
      </c>
      <c r="W736">
        <f t="shared" si="499"/>
        <v>163.48896332408751</v>
      </c>
      <c r="Y736" s="6">
        <f t="shared" si="484"/>
        <v>2026.123629964377</v>
      </c>
      <c r="Z736">
        <f t="shared" si="485"/>
        <v>-71.941826182439826</v>
      </c>
    </row>
    <row r="737" spans="1:26" x14ac:dyDescent="0.25">
      <c r="A737" t="s">
        <v>58</v>
      </c>
      <c r="D737">
        <f t="shared" ref="D737:W737" si="500">D89*D197</f>
        <v>149.87919550984878</v>
      </c>
      <c r="E737">
        <f t="shared" si="500"/>
        <v>166.15957481446966</v>
      </c>
      <c r="F737">
        <f t="shared" si="500"/>
        <v>152.11066650277857</v>
      </c>
      <c r="G737">
        <f t="shared" si="500"/>
        <v>107.06600935034172</v>
      </c>
      <c r="H737">
        <f t="shared" si="500"/>
        <v>100.13150279138804</v>
      </c>
      <c r="I737">
        <f t="shared" si="500"/>
        <v>47.673277299179155</v>
      </c>
      <c r="J737">
        <f t="shared" si="500"/>
        <v>71.539644720367093</v>
      </c>
      <c r="K737">
        <f t="shared" si="500"/>
        <v>84.324538845176775</v>
      </c>
      <c r="L737">
        <f t="shared" si="500"/>
        <v>61.444784874770761</v>
      </c>
      <c r="M737">
        <f t="shared" si="500"/>
        <v>52.58086002032536</v>
      </c>
      <c r="N737">
        <f t="shared" si="500"/>
        <v>42.784314631854727</v>
      </c>
      <c r="O737">
        <f t="shared" si="500"/>
        <v>54.498836826821126</v>
      </c>
      <c r="P737">
        <f t="shared" si="500"/>
        <v>37.541015058349757</v>
      </c>
      <c r="Q737">
        <f t="shared" si="500"/>
        <v>47.385273209434537</v>
      </c>
      <c r="R737">
        <f t="shared" si="500"/>
        <v>42.427011700226558</v>
      </c>
      <c r="S737">
        <f t="shared" si="500"/>
        <v>77.810142169437313</v>
      </c>
      <c r="T737">
        <f t="shared" si="500"/>
        <v>127.25997807117901</v>
      </c>
      <c r="U737">
        <f t="shared" si="500"/>
        <v>78.225069712271051</v>
      </c>
      <c r="V737">
        <f t="shared" si="500"/>
        <v>67.792413467184403</v>
      </c>
      <c r="W737">
        <f t="shared" si="500"/>
        <v>176.05042724367226</v>
      </c>
      <c r="Y737" s="6">
        <f t="shared" si="484"/>
        <v>1744.6845368190766</v>
      </c>
      <c r="Z737">
        <f t="shared" si="485"/>
        <v>-61.429905936488325</v>
      </c>
    </row>
    <row r="738" spans="1:26" x14ac:dyDescent="0.25">
      <c r="A738" t="s">
        <v>59</v>
      </c>
      <c r="D738">
        <f t="shared" ref="D738:W738" si="501">D90*D198</f>
        <v>229.62503218742958</v>
      </c>
      <c r="E738">
        <f t="shared" si="501"/>
        <v>131.60628250715592</v>
      </c>
      <c r="F738">
        <f t="shared" si="501"/>
        <v>106.16863156785445</v>
      </c>
      <c r="G738">
        <f t="shared" si="501"/>
        <v>144.00420494339991</v>
      </c>
      <c r="H738">
        <f t="shared" si="501"/>
        <v>75.641499407406727</v>
      </c>
      <c r="I738">
        <f t="shared" si="501"/>
        <v>86.336599592252881</v>
      </c>
      <c r="J738">
        <f t="shared" si="501"/>
        <v>111.36560922955837</v>
      </c>
      <c r="K738">
        <f t="shared" si="501"/>
        <v>79.535301574504132</v>
      </c>
      <c r="L738">
        <f t="shared" si="501"/>
        <v>39.668225642841087</v>
      </c>
      <c r="M738">
        <f t="shared" si="501"/>
        <v>62.327202246322301</v>
      </c>
      <c r="N738">
        <f t="shared" si="501"/>
        <v>73.734245196306645</v>
      </c>
      <c r="O738">
        <f t="shared" si="501"/>
        <v>69.027420470076407</v>
      </c>
      <c r="P738">
        <f t="shared" si="501"/>
        <v>48.298381490739239</v>
      </c>
      <c r="Q738">
        <f t="shared" si="501"/>
        <v>33.17302359060502</v>
      </c>
      <c r="R738">
        <f t="shared" si="501"/>
        <v>39.820943854593963</v>
      </c>
      <c r="S738">
        <f t="shared" si="501"/>
        <v>71.612592490660248</v>
      </c>
      <c r="T738">
        <f t="shared" si="501"/>
        <v>117.74386061698095</v>
      </c>
      <c r="U738">
        <f t="shared" si="501"/>
        <v>110.57239676067482</v>
      </c>
      <c r="V738">
        <f t="shared" si="501"/>
        <v>143.45499323956759</v>
      </c>
      <c r="W738">
        <f t="shared" si="501"/>
        <v>173.93183626220761</v>
      </c>
      <c r="Y738" s="6">
        <f t="shared" si="484"/>
        <v>1947.6482828711378</v>
      </c>
      <c r="Z738">
        <f t="shared" si="485"/>
        <v>-91.777461007483069</v>
      </c>
    </row>
    <row r="739" spans="1:26" x14ac:dyDescent="0.25">
      <c r="A739" t="s">
        <v>60</v>
      </c>
      <c r="D739">
        <f t="shared" ref="D739:W739" si="502">D91*D199</f>
        <v>133.26823745069555</v>
      </c>
      <c r="E739">
        <f t="shared" si="502"/>
        <v>150.82808843613708</v>
      </c>
      <c r="F739">
        <f t="shared" si="502"/>
        <v>132.92800224441899</v>
      </c>
      <c r="G739">
        <f t="shared" si="502"/>
        <v>121.59558599049674</v>
      </c>
      <c r="H739">
        <f t="shared" si="502"/>
        <v>70.849601866010971</v>
      </c>
      <c r="I739">
        <f t="shared" si="502"/>
        <v>83.294558805158218</v>
      </c>
      <c r="J739">
        <f t="shared" si="502"/>
        <v>85.657793920989889</v>
      </c>
      <c r="K739">
        <f t="shared" si="502"/>
        <v>123.89972163412412</v>
      </c>
      <c r="L739">
        <f t="shared" si="502"/>
        <v>96.209264677975071</v>
      </c>
      <c r="M739">
        <f t="shared" si="502"/>
        <v>69.652470448350257</v>
      </c>
      <c r="N739">
        <f t="shared" si="502"/>
        <v>62.374800729890786</v>
      </c>
      <c r="O739">
        <f t="shared" si="502"/>
        <v>46.834158273593125</v>
      </c>
      <c r="P739">
        <f t="shared" si="502"/>
        <v>113.20171597042309</v>
      </c>
      <c r="Q739">
        <f t="shared" si="502"/>
        <v>112.22524822685159</v>
      </c>
      <c r="R739">
        <f t="shared" si="502"/>
        <v>78.664979670158985</v>
      </c>
      <c r="S739">
        <f t="shared" si="502"/>
        <v>113.67757565609411</v>
      </c>
      <c r="T739">
        <f t="shared" si="502"/>
        <v>153.95236035172763</v>
      </c>
      <c r="U739">
        <f t="shared" si="502"/>
        <v>193.66258567372026</v>
      </c>
      <c r="V739">
        <f t="shared" si="502"/>
        <v>77.25356829516835</v>
      </c>
      <c r="W739">
        <f t="shared" si="502"/>
        <v>138.65951438210067</v>
      </c>
      <c r="Y739" s="6">
        <f t="shared" si="484"/>
        <v>2158.6898327040858</v>
      </c>
      <c r="Z739">
        <f t="shared" si="485"/>
        <v>-127.53672209829294</v>
      </c>
    </row>
    <row r="740" spans="1:26" x14ac:dyDescent="0.25">
      <c r="A740" t="s">
        <v>61</v>
      </c>
      <c r="D740">
        <f t="shared" ref="D740:W740" si="503">D92*D200</f>
        <v>196.4696367619284</v>
      </c>
      <c r="E740">
        <f t="shared" si="503"/>
        <v>211.81720912965366</v>
      </c>
      <c r="F740">
        <f t="shared" si="503"/>
        <v>159.95413853177453</v>
      </c>
      <c r="G740">
        <f t="shared" si="503"/>
        <v>117.85477181195864</v>
      </c>
      <c r="H740">
        <f t="shared" si="503"/>
        <v>100.22774485046556</v>
      </c>
      <c r="I740">
        <f t="shared" si="503"/>
        <v>113.92117554026468</v>
      </c>
      <c r="J740">
        <f t="shared" si="503"/>
        <v>117.54738835029926</v>
      </c>
      <c r="K740">
        <f t="shared" si="503"/>
        <v>74.373932422078781</v>
      </c>
      <c r="L740">
        <f t="shared" si="503"/>
        <v>36.995246451406274</v>
      </c>
      <c r="M740">
        <f t="shared" si="503"/>
        <v>63.858987566810768</v>
      </c>
      <c r="N740">
        <f t="shared" si="503"/>
        <v>72.379819342024433</v>
      </c>
      <c r="O740">
        <f t="shared" si="503"/>
        <v>95.504617412740444</v>
      </c>
      <c r="P740">
        <f t="shared" si="503"/>
        <v>53.467279409764174</v>
      </c>
      <c r="Q740">
        <f t="shared" si="503"/>
        <v>51.216028866099592</v>
      </c>
      <c r="R740">
        <f t="shared" si="503"/>
        <v>55.074161196984051</v>
      </c>
      <c r="S740">
        <f t="shared" si="503"/>
        <v>93.842891402717996</v>
      </c>
      <c r="T740">
        <f t="shared" si="503"/>
        <v>119.83319631403074</v>
      </c>
      <c r="U740">
        <f t="shared" si="503"/>
        <v>93.31777377601928</v>
      </c>
      <c r="V740">
        <f t="shared" si="503"/>
        <v>101.05228183634125</v>
      </c>
      <c r="W740">
        <f t="shared" si="503"/>
        <v>179.23620471828434</v>
      </c>
      <c r="Y740" s="6">
        <f t="shared" si="484"/>
        <v>2107.9444856916466</v>
      </c>
      <c r="Z740">
        <f t="shared" si="485"/>
        <v>-70.22811677873618</v>
      </c>
    </row>
    <row r="741" spans="1:26" x14ac:dyDescent="0.25">
      <c r="A741" t="s">
        <v>62</v>
      </c>
      <c r="D741">
        <f t="shared" ref="D741:W741" si="504">D93*D201</f>
        <v>152.31368804629193</v>
      </c>
      <c r="E741">
        <f t="shared" si="504"/>
        <v>129.9888071139863</v>
      </c>
      <c r="F741">
        <f t="shared" si="504"/>
        <v>129.75463098347393</v>
      </c>
      <c r="G741">
        <f t="shared" si="504"/>
        <v>129.02040411591943</v>
      </c>
      <c r="H741">
        <f t="shared" si="504"/>
        <v>113.01033601706844</v>
      </c>
      <c r="I741">
        <f t="shared" si="504"/>
        <v>118.78688907381346</v>
      </c>
      <c r="J741">
        <f t="shared" si="504"/>
        <v>69.091249563345869</v>
      </c>
      <c r="K741">
        <f t="shared" si="504"/>
        <v>62.913230725838915</v>
      </c>
      <c r="L741">
        <f t="shared" si="504"/>
        <v>77.300944020946488</v>
      </c>
      <c r="M741">
        <f t="shared" si="504"/>
        <v>40.421926516282646</v>
      </c>
      <c r="N741">
        <f t="shared" si="504"/>
        <v>35.962988157456124</v>
      </c>
      <c r="O741">
        <f t="shared" si="504"/>
        <v>35.49886555144478</v>
      </c>
      <c r="P741">
        <f t="shared" si="504"/>
        <v>40.799875509018634</v>
      </c>
      <c r="Q741">
        <f t="shared" si="504"/>
        <v>49.205065718742929</v>
      </c>
      <c r="R741">
        <f t="shared" si="504"/>
        <v>126.20253763055646</v>
      </c>
      <c r="S741">
        <f t="shared" si="504"/>
        <v>86.855460217227019</v>
      </c>
      <c r="T741">
        <f t="shared" si="504"/>
        <v>83.426021109694474</v>
      </c>
      <c r="U741">
        <f t="shared" si="504"/>
        <v>161.34426294423608</v>
      </c>
      <c r="V741">
        <f t="shared" si="504"/>
        <v>131.38603703373607</v>
      </c>
      <c r="W741">
        <f t="shared" si="504"/>
        <v>128.45022082864278</v>
      </c>
      <c r="Y741" s="6">
        <f t="shared" si="484"/>
        <v>1901.7334408777228</v>
      </c>
      <c r="Z741">
        <f t="shared" si="485"/>
        <v>-68.717351320705831</v>
      </c>
    </row>
    <row r="742" spans="1:26" x14ac:dyDescent="0.25">
      <c r="A742" t="s">
        <v>63</v>
      </c>
      <c r="D742">
        <f t="shared" ref="D742:W742" si="505">D94*D202</f>
        <v>157.08875074158402</v>
      </c>
      <c r="E742">
        <f t="shared" si="505"/>
        <v>142.37545795369286</v>
      </c>
      <c r="F742">
        <f t="shared" si="505"/>
        <v>127.44838121172474</v>
      </c>
      <c r="G742">
        <f t="shared" si="505"/>
        <v>122.19365431410027</v>
      </c>
      <c r="H742">
        <f t="shared" si="505"/>
        <v>88.08628324892608</v>
      </c>
      <c r="I742">
        <f t="shared" si="505"/>
        <v>71.901122436411711</v>
      </c>
      <c r="J742">
        <f t="shared" si="505"/>
        <v>59.255871961596874</v>
      </c>
      <c r="K742">
        <f t="shared" si="505"/>
        <v>62.659941195697783</v>
      </c>
      <c r="L742">
        <f t="shared" si="505"/>
        <v>68.521626623639605</v>
      </c>
      <c r="M742">
        <f t="shared" si="505"/>
        <v>61.035057744766284</v>
      </c>
      <c r="N742">
        <f t="shared" si="505"/>
        <v>57.377602381680497</v>
      </c>
      <c r="O742">
        <f t="shared" si="505"/>
        <v>107.47076385527441</v>
      </c>
      <c r="P742">
        <f t="shared" si="505"/>
        <v>47.917096237131453</v>
      </c>
      <c r="Q742">
        <f t="shared" si="505"/>
        <v>93.545630245987923</v>
      </c>
      <c r="R742">
        <f t="shared" si="505"/>
        <v>101.62550709672016</v>
      </c>
      <c r="S742">
        <f t="shared" si="505"/>
        <v>138.95108518642144</v>
      </c>
      <c r="T742">
        <f t="shared" si="505"/>
        <v>143.21902571403029</v>
      </c>
      <c r="U742">
        <f t="shared" si="505"/>
        <v>122.91427270027336</v>
      </c>
      <c r="V742">
        <f t="shared" si="505"/>
        <v>161.16463256248514</v>
      </c>
      <c r="W742">
        <f t="shared" si="505"/>
        <v>175.11155608451332</v>
      </c>
      <c r="Y742" s="6">
        <f t="shared" si="484"/>
        <v>2109.8633194966583</v>
      </c>
      <c r="Z742">
        <f t="shared" si="485"/>
        <v>-97.633061731489121</v>
      </c>
    </row>
    <row r="743" spans="1:26" x14ac:dyDescent="0.25">
      <c r="A743" t="s">
        <v>64</v>
      </c>
      <c r="D743">
        <f t="shared" ref="D743:W743" si="506">D95*D203</f>
        <v>207.40260577193155</v>
      </c>
      <c r="E743">
        <f t="shared" si="506"/>
        <v>204.12930295095637</v>
      </c>
      <c r="F743">
        <f t="shared" si="506"/>
        <v>197.62123733798731</v>
      </c>
      <c r="G743">
        <f t="shared" si="506"/>
        <v>150.5547461561321</v>
      </c>
      <c r="H743">
        <f t="shared" si="506"/>
        <v>112.4375590870725</v>
      </c>
      <c r="I743">
        <f t="shared" si="506"/>
        <v>132.63875660881629</v>
      </c>
      <c r="J743">
        <f t="shared" si="506"/>
        <v>88.150071383484701</v>
      </c>
      <c r="K743">
        <f t="shared" si="506"/>
        <v>105.37236203634154</v>
      </c>
      <c r="L743">
        <f t="shared" si="506"/>
        <v>126.15082646709276</v>
      </c>
      <c r="M743">
        <f t="shared" si="506"/>
        <v>83.292219528618475</v>
      </c>
      <c r="N743">
        <f t="shared" si="506"/>
        <v>46.483835920536372</v>
      </c>
      <c r="O743">
        <f t="shared" si="506"/>
        <v>76.026636926972131</v>
      </c>
      <c r="P743">
        <f t="shared" si="506"/>
        <v>62.070181227479992</v>
      </c>
      <c r="Q743">
        <f t="shared" si="506"/>
        <v>114.48483843342822</v>
      </c>
      <c r="R743">
        <f t="shared" si="506"/>
        <v>160.84611483671023</v>
      </c>
      <c r="S743">
        <f t="shared" si="506"/>
        <v>120.74353230109494</v>
      </c>
      <c r="T743">
        <f t="shared" si="506"/>
        <v>175.99541844281589</v>
      </c>
      <c r="U743">
        <f t="shared" si="506"/>
        <v>140.53676847458331</v>
      </c>
      <c r="V743">
        <f t="shared" si="506"/>
        <v>129.54648214602921</v>
      </c>
      <c r="W743">
        <f t="shared" si="506"/>
        <v>166.34487196428475</v>
      </c>
      <c r="Y743" s="6">
        <f t="shared" si="484"/>
        <v>2600.8283680023687</v>
      </c>
      <c r="Z743">
        <f t="shared" si="485"/>
        <v>-90.766642621377542</v>
      </c>
    </row>
    <row r="744" spans="1:26" x14ac:dyDescent="0.25">
      <c r="A744" t="s">
        <v>65</v>
      </c>
      <c r="D744">
        <f t="shared" ref="D744:W744" si="507">D96*D204</f>
        <v>212.7685230986913</v>
      </c>
      <c r="E744">
        <f t="shared" si="507"/>
        <v>209.68024055382045</v>
      </c>
      <c r="F744">
        <f t="shared" si="507"/>
        <v>154.93155805245146</v>
      </c>
      <c r="G744">
        <f t="shared" si="507"/>
        <v>103.15544656797415</v>
      </c>
      <c r="H744">
        <f t="shared" si="507"/>
        <v>123.57651333733206</v>
      </c>
      <c r="I744">
        <f t="shared" si="507"/>
        <v>105.44192838750453</v>
      </c>
      <c r="J744">
        <f t="shared" si="507"/>
        <v>84.17911645231915</v>
      </c>
      <c r="K744">
        <f t="shared" si="507"/>
        <v>88.702296048488037</v>
      </c>
      <c r="L744">
        <f t="shared" si="507"/>
        <v>95.432032105982699</v>
      </c>
      <c r="M744">
        <f t="shared" si="507"/>
        <v>73.040404732459677</v>
      </c>
      <c r="N744">
        <f t="shared" si="507"/>
        <v>82.236443654333101</v>
      </c>
      <c r="O744">
        <f t="shared" si="507"/>
        <v>62.391230087326441</v>
      </c>
      <c r="P744">
        <f t="shared" si="507"/>
        <v>33.11098353121956</v>
      </c>
      <c r="Q744">
        <f t="shared" si="507"/>
        <v>37.985432725986101</v>
      </c>
      <c r="R744">
        <f t="shared" si="507"/>
        <v>23.81766190229439</v>
      </c>
      <c r="S744">
        <f t="shared" si="507"/>
        <v>43.799254490913121</v>
      </c>
      <c r="T744">
        <f t="shared" si="507"/>
        <v>84.3075830246175</v>
      </c>
      <c r="U744">
        <f t="shared" si="507"/>
        <v>87.589462168040768</v>
      </c>
      <c r="V744">
        <f t="shared" si="507"/>
        <v>115.85499061606816</v>
      </c>
      <c r="W744">
        <f t="shared" si="507"/>
        <v>199.65826216317168</v>
      </c>
      <c r="Y744" s="6">
        <f t="shared" si="484"/>
        <v>2021.6593637009942</v>
      </c>
      <c r="Z744">
        <f t="shared" si="485"/>
        <v>-74.526457026145692</v>
      </c>
    </row>
    <row r="745" spans="1:26" x14ac:dyDescent="0.25">
      <c r="A745" t="s">
        <v>66</v>
      </c>
      <c r="D745">
        <f t="shared" ref="D745:W745" si="508">D97*D205</f>
        <v>222.72377729421382</v>
      </c>
      <c r="E745">
        <f t="shared" si="508"/>
        <v>193.29340102725567</v>
      </c>
      <c r="F745">
        <f t="shared" si="508"/>
        <v>151.1283058008251</v>
      </c>
      <c r="G745">
        <f t="shared" si="508"/>
        <v>108.75065860214747</v>
      </c>
      <c r="H745">
        <f t="shared" si="508"/>
        <v>122.00785080384003</v>
      </c>
      <c r="I745">
        <f t="shared" si="508"/>
        <v>220.03213238078368</v>
      </c>
      <c r="J745">
        <f t="shared" si="508"/>
        <v>185.44401749063587</v>
      </c>
      <c r="K745">
        <f t="shared" si="508"/>
        <v>187.74694714849093</v>
      </c>
      <c r="L745">
        <f t="shared" si="508"/>
        <v>70.765190269160001</v>
      </c>
      <c r="M745">
        <f t="shared" si="508"/>
        <v>59.476065085564102</v>
      </c>
      <c r="N745">
        <f t="shared" si="508"/>
        <v>91.819069610502183</v>
      </c>
      <c r="O745">
        <f t="shared" si="508"/>
        <v>160.27856015328112</v>
      </c>
      <c r="P745">
        <f t="shared" si="508"/>
        <v>94.193210304687852</v>
      </c>
      <c r="Q745">
        <f t="shared" si="508"/>
        <v>62.369679103127361</v>
      </c>
      <c r="R745">
        <f t="shared" si="508"/>
        <v>91.891053631513756</v>
      </c>
      <c r="S745">
        <f t="shared" si="508"/>
        <v>109.52041638776636</v>
      </c>
      <c r="T745">
        <f t="shared" si="508"/>
        <v>115.12695125238123</v>
      </c>
      <c r="U745">
        <f t="shared" si="508"/>
        <v>163.1916058295007</v>
      </c>
      <c r="V745">
        <f t="shared" si="508"/>
        <v>131.11333068538326</v>
      </c>
      <c r="W745">
        <f t="shared" si="508"/>
        <v>119.13873854247365</v>
      </c>
      <c r="Y745" s="6">
        <f t="shared" si="484"/>
        <v>2660.0109614035341</v>
      </c>
      <c r="Z745">
        <f t="shared" si="485"/>
        <v>-167.11736343456226</v>
      </c>
    </row>
    <row r="746" spans="1:26" x14ac:dyDescent="0.25">
      <c r="A746" t="s">
        <v>67</v>
      </c>
      <c r="D746">
        <f t="shared" ref="D746:W746" si="509">D98*D206</f>
        <v>155.36771542575542</v>
      </c>
      <c r="E746">
        <f t="shared" si="509"/>
        <v>146.28917074053493</v>
      </c>
      <c r="F746">
        <f t="shared" si="509"/>
        <v>166.62598924594846</v>
      </c>
      <c r="G746">
        <f t="shared" si="509"/>
        <v>78.850320637843041</v>
      </c>
      <c r="H746">
        <f t="shared" si="509"/>
        <v>94.568976466239235</v>
      </c>
      <c r="I746">
        <f t="shared" si="509"/>
        <v>96.982999548901617</v>
      </c>
      <c r="J746">
        <f t="shared" si="509"/>
        <v>94.246236007164867</v>
      </c>
      <c r="K746">
        <f t="shared" si="509"/>
        <v>114.63240979415879</v>
      </c>
      <c r="L746">
        <f t="shared" si="509"/>
        <v>47.650402701122204</v>
      </c>
      <c r="M746">
        <f t="shared" si="509"/>
        <v>63.760690801637416</v>
      </c>
      <c r="N746">
        <f t="shared" si="509"/>
        <v>63.409142712993045</v>
      </c>
      <c r="O746">
        <f t="shared" si="509"/>
        <v>77.462250756934566</v>
      </c>
      <c r="P746">
        <f t="shared" si="509"/>
        <v>59.029421613963756</v>
      </c>
      <c r="Q746">
        <f t="shared" si="509"/>
        <v>66.511613588914841</v>
      </c>
      <c r="R746">
        <f t="shared" si="509"/>
        <v>79.735539238895242</v>
      </c>
      <c r="S746">
        <f t="shared" si="509"/>
        <v>95.492479548382079</v>
      </c>
      <c r="T746">
        <f t="shared" si="509"/>
        <v>124.641614073909</v>
      </c>
      <c r="U746">
        <f t="shared" si="509"/>
        <v>127.30633211717361</v>
      </c>
      <c r="V746">
        <f t="shared" si="509"/>
        <v>198.74620305747405</v>
      </c>
      <c r="W746">
        <f t="shared" si="509"/>
        <v>187.73815840993211</v>
      </c>
      <c r="Y746" s="6">
        <f t="shared" si="484"/>
        <v>2139.0476664878779</v>
      </c>
      <c r="Z746">
        <f t="shared" si="485"/>
        <v>-114.88473104486451</v>
      </c>
    </row>
    <row r="747" spans="1:26" x14ac:dyDescent="0.25">
      <c r="A747" t="s">
        <v>68</v>
      </c>
      <c r="D747">
        <f t="shared" ref="D747:W747" si="510">D99*D207</f>
        <v>280.67777907653647</v>
      </c>
      <c r="E747">
        <f t="shared" si="510"/>
        <v>207.06010639698562</v>
      </c>
      <c r="F747">
        <f t="shared" si="510"/>
        <v>159.37070235877499</v>
      </c>
      <c r="G747">
        <f t="shared" si="510"/>
        <v>113.07731190413445</v>
      </c>
      <c r="H747">
        <f t="shared" si="510"/>
        <v>85.70544596994371</v>
      </c>
      <c r="I747">
        <f t="shared" si="510"/>
        <v>81.662193204771285</v>
      </c>
      <c r="J747">
        <f t="shared" si="510"/>
        <v>62.436562392921964</v>
      </c>
      <c r="K747">
        <f t="shared" si="510"/>
        <v>88.324094948839857</v>
      </c>
      <c r="L747">
        <f t="shared" si="510"/>
        <v>101.01016501793021</v>
      </c>
      <c r="M747">
        <f t="shared" si="510"/>
        <v>35.251335400468626</v>
      </c>
      <c r="N747">
        <f t="shared" si="510"/>
        <v>58.798876772055415</v>
      </c>
      <c r="O747">
        <f t="shared" si="510"/>
        <v>53.294674566232352</v>
      </c>
      <c r="P747">
        <f t="shared" si="510"/>
        <v>76.706216493248178</v>
      </c>
      <c r="Q747">
        <f t="shared" si="510"/>
        <v>96.840348604420214</v>
      </c>
      <c r="R747">
        <f t="shared" si="510"/>
        <v>124.51685218498318</v>
      </c>
      <c r="S747">
        <f t="shared" si="510"/>
        <v>147.71461851686988</v>
      </c>
      <c r="T747">
        <f t="shared" si="510"/>
        <v>104.59219880708336</v>
      </c>
      <c r="U747">
        <f t="shared" si="510"/>
        <v>153.9475638767486</v>
      </c>
      <c r="V747">
        <f t="shared" si="510"/>
        <v>144.24885255871556</v>
      </c>
      <c r="W747">
        <f t="shared" si="510"/>
        <v>170.14607077925822</v>
      </c>
      <c r="Y747" s="6">
        <f t="shared" si="484"/>
        <v>2345.3819698309217</v>
      </c>
      <c r="Z747">
        <f t="shared" si="485"/>
        <v>-30.495763770087798</v>
      </c>
    </row>
    <row r="748" spans="1:26" x14ac:dyDescent="0.25">
      <c r="A748" t="s">
        <v>69</v>
      </c>
      <c r="D748">
        <f t="shared" ref="D748:W748" si="511">D100*D208</f>
        <v>193.96285572622639</v>
      </c>
      <c r="E748">
        <f t="shared" si="511"/>
        <v>229.82064134266622</v>
      </c>
      <c r="F748">
        <f t="shared" si="511"/>
        <v>188.84586707357155</v>
      </c>
      <c r="G748">
        <f t="shared" si="511"/>
        <v>140.66556289495546</v>
      </c>
      <c r="H748">
        <f t="shared" si="511"/>
        <v>158.97419413939005</v>
      </c>
      <c r="I748">
        <f t="shared" si="511"/>
        <v>146.43248855436303</v>
      </c>
      <c r="J748">
        <f t="shared" si="511"/>
        <v>32.446987182855814</v>
      </c>
      <c r="K748">
        <f t="shared" si="511"/>
        <v>53.407273274646307</v>
      </c>
      <c r="L748">
        <f t="shared" si="511"/>
        <v>45.842678515073196</v>
      </c>
      <c r="M748">
        <f t="shared" si="511"/>
        <v>62.717986057755347</v>
      </c>
      <c r="N748">
        <f t="shared" si="511"/>
        <v>64.761994038351617</v>
      </c>
      <c r="O748">
        <f t="shared" si="511"/>
        <v>67.751700582990054</v>
      </c>
      <c r="P748">
        <f t="shared" si="511"/>
        <v>61.958128221596226</v>
      </c>
      <c r="Q748">
        <f t="shared" si="511"/>
        <v>49.990108129946954</v>
      </c>
      <c r="R748">
        <f t="shared" si="511"/>
        <v>30.888659912372379</v>
      </c>
      <c r="S748">
        <f t="shared" si="511"/>
        <v>74.078735240503221</v>
      </c>
      <c r="T748">
        <f t="shared" si="511"/>
        <v>91.287437928376406</v>
      </c>
      <c r="U748">
        <f t="shared" si="511"/>
        <v>108.9318701040325</v>
      </c>
      <c r="V748">
        <f t="shared" si="511"/>
        <v>100.73293328338733</v>
      </c>
      <c r="W748">
        <f t="shared" si="511"/>
        <v>118.15410453639414</v>
      </c>
      <c r="Y748" s="6">
        <f t="shared" si="484"/>
        <v>2021.6522067394542</v>
      </c>
      <c r="Z748">
        <f t="shared" si="485"/>
        <v>-27.412665683413358</v>
      </c>
    </row>
    <row r="749" spans="1:26" x14ac:dyDescent="0.25">
      <c r="Y749" s="6"/>
    </row>
    <row r="750" spans="1:26" x14ac:dyDescent="0.25">
      <c r="A750" t="s">
        <v>70</v>
      </c>
      <c r="D750">
        <f t="shared" ref="D750:W750" si="512">D102*D210</f>
        <v>157.78999448104577</v>
      </c>
      <c r="E750">
        <f t="shared" si="512"/>
        <v>149.06145019437812</v>
      </c>
      <c r="F750">
        <f t="shared" si="512"/>
        <v>162.3798257306959</v>
      </c>
      <c r="G750">
        <f t="shared" si="512"/>
        <v>137.4352367127218</v>
      </c>
      <c r="H750">
        <f t="shared" si="512"/>
        <v>119.95103673828336</v>
      </c>
      <c r="I750">
        <f t="shared" si="512"/>
        <v>158.13898039203593</v>
      </c>
      <c r="J750">
        <f t="shared" si="512"/>
        <v>140.6554210795608</v>
      </c>
      <c r="K750">
        <f t="shared" si="512"/>
        <v>103.47415109554517</v>
      </c>
      <c r="L750">
        <f t="shared" si="512"/>
        <v>60.295170516092476</v>
      </c>
      <c r="M750">
        <f t="shared" si="512"/>
        <v>59.431076837733379</v>
      </c>
      <c r="N750">
        <f t="shared" si="512"/>
        <v>61.894092959008574</v>
      </c>
      <c r="O750">
        <f t="shared" si="512"/>
        <v>76.632226663539768</v>
      </c>
      <c r="P750">
        <f t="shared" si="512"/>
        <v>58.367517253554752</v>
      </c>
      <c r="Q750">
        <f t="shared" si="512"/>
        <v>69.860193264326398</v>
      </c>
      <c r="R750">
        <f t="shared" si="512"/>
        <v>86.096963144442753</v>
      </c>
      <c r="S750">
        <f t="shared" si="512"/>
        <v>99.605084533282522</v>
      </c>
      <c r="T750">
        <f t="shared" si="512"/>
        <v>114.79968783099265</v>
      </c>
      <c r="U750">
        <f t="shared" si="512"/>
        <v>132.44334830394607</v>
      </c>
      <c r="V750">
        <f t="shared" si="512"/>
        <v>138.12728077741514</v>
      </c>
      <c r="W750">
        <f t="shared" si="512"/>
        <v>157.27794760445741</v>
      </c>
      <c r="Y750" s="6">
        <f t="shared" si="484"/>
        <v>2243.716686113059</v>
      </c>
      <c r="Z750">
        <f>SUMPRODUCT($D$754:$W$754,D750:W750)</f>
        <v>-125.7845859757301</v>
      </c>
    </row>
    <row r="751" spans="1:26" x14ac:dyDescent="0.25">
      <c r="A751" t="s">
        <v>313</v>
      </c>
      <c r="D751">
        <f t="shared" ref="D751:W751" si="513">D103*D211</f>
        <v>269.72775872366265</v>
      </c>
      <c r="E751">
        <f t="shared" si="513"/>
        <v>240.75890213160756</v>
      </c>
      <c r="F751">
        <f t="shared" si="513"/>
        <v>120.94723440010435</v>
      </c>
      <c r="G751">
        <f t="shared" si="513"/>
        <v>124.07803723250728</v>
      </c>
      <c r="H751">
        <f t="shared" si="513"/>
        <v>156.9970055214072</v>
      </c>
      <c r="I751">
        <f t="shared" si="513"/>
        <v>131.54522785070034</v>
      </c>
      <c r="J751">
        <f t="shared" si="513"/>
        <v>129.65755464892575</v>
      </c>
      <c r="K751">
        <f t="shared" si="513"/>
        <v>49.129007761663011</v>
      </c>
      <c r="L751">
        <f t="shared" si="513"/>
        <v>76.033280424703008</v>
      </c>
      <c r="M751">
        <f t="shared" si="513"/>
        <v>83.475720867837765</v>
      </c>
      <c r="N751">
        <f t="shared" si="513"/>
        <v>54.516134948785279</v>
      </c>
      <c r="O751">
        <f t="shared" si="513"/>
        <v>62.14855068290229</v>
      </c>
      <c r="P751">
        <f t="shared" si="513"/>
        <v>83.52</v>
      </c>
      <c r="Q751">
        <f t="shared" si="513"/>
        <v>95.55</v>
      </c>
      <c r="R751">
        <f t="shared" si="513"/>
        <v>119.88000000000001</v>
      </c>
      <c r="S751">
        <f t="shared" si="513"/>
        <v>37.619999999999997</v>
      </c>
      <c r="T751">
        <f t="shared" si="513"/>
        <v>104.52</v>
      </c>
      <c r="U751">
        <f t="shared" si="513"/>
        <v>108.23999999999998</v>
      </c>
      <c r="V751">
        <f t="shared" si="513"/>
        <v>124.124</v>
      </c>
      <c r="W751">
        <f t="shared" si="513"/>
        <v>118.82000000000001</v>
      </c>
      <c r="Y751" s="6">
        <f t="shared" si="484"/>
        <v>2291.288415194806</v>
      </c>
      <c r="Z751">
        <f>SUMPRODUCT($D$754:$W$754,D751:W751)</f>
        <v>-56.519769496806667</v>
      </c>
    </row>
    <row r="752" spans="1:26" x14ac:dyDescent="0.25">
      <c r="A752" t="s">
        <v>314</v>
      </c>
      <c r="D752">
        <f t="shared" ref="D752:W752" si="514">D104*D212</f>
        <v>305.98170193471282</v>
      </c>
      <c r="E752">
        <f t="shared" si="514"/>
        <v>214.72452778674801</v>
      </c>
      <c r="F752">
        <f t="shared" si="514"/>
        <v>162.89200589967416</v>
      </c>
      <c r="G752">
        <f t="shared" si="514"/>
        <v>160.49192226567772</v>
      </c>
      <c r="H752">
        <f t="shared" si="514"/>
        <v>157.2994417102239</v>
      </c>
      <c r="I752">
        <f t="shared" si="514"/>
        <v>126.71605052341255</v>
      </c>
      <c r="J752">
        <f t="shared" si="514"/>
        <v>76.971925219619493</v>
      </c>
      <c r="K752">
        <f t="shared" si="514"/>
        <v>73.13</v>
      </c>
      <c r="L752">
        <f t="shared" si="514"/>
        <v>62.160000000000004</v>
      </c>
      <c r="M752">
        <f t="shared" si="514"/>
        <v>69.3</v>
      </c>
      <c r="N752">
        <f t="shared" si="514"/>
        <v>69.699999999999989</v>
      </c>
      <c r="O752">
        <f t="shared" si="514"/>
        <v>79.680000000000007</v>
      </c>
      <c r="P752">
        <f t="shared" si="514"/>
        <v>58.794986819763203</v>
      </c>
      <c r="Q752">
        <f t="shared" si="514"/>
        <v>68.431407153868903</v>
      </c>
      <c r="R752">
        <f t="shared" si="514"/>
        <v>83.818637989881324</v>
      </c>
      <c r="S752">
        <f t="shared" si="514"/>
        <v>97.689876133645868</v>
      </c>
      <c r="T752">
        <f t="shared" si="514"/>
        <v>128.82396554134769</v>
      </c>
      <c r="U752">
        <f t="shared" si="514"/>
        <v>129.75568064518302</v>
      </c>
      <c r="V752">
        <f t="shared" si="514"/>
        <v>141.54777730716313</v>
      </c>
      <c r="W752">
        <f t="shared" si="514"/>
        <v>165.9110597225135</v>
      </c>
      <c r="Y752" s="6">
        <f t="shared" si="484"/>
        <v>2433.8209666534353</v>
      </c>
      <c r="Z752">
        <f>SUMPRODUCT($D$754:$W$754,D752:W752)</f>
        <v>-44.441503330967109</v>
      </c>
    </row>
    <row r="753" spans="1:26" x14ac:dyDescent="0.25">
      <c r="A753" t="s">
        <v>658</v>
      </c>
      <c r="D753">
        <f t="shared" ref="D753:W753" si="515">D105*D213</f>
        <v>248.73142403157036</v>
      </c>
      <c r="E753">
        <f t="shared" si="515"/>
        <v>219.25332095402302</v>
      </c>
      <c r="F753">
        <f t="shared" si="515"/>
        <v>213.57347142592496</v>
      </c>
      <c r="G753">
        <f t="shared" si="515"/>
        <v>184.67230925973828</v>
      </c>
      <c r="H753">
        <f t="shared" si="515"/>
        <v>143.2978099358462</v>
      </c>
      <c r="I753">
        <f t="shared" si="515"/>
        <v>113.16</v>
      </c>
      <c r="J753">
        <f t="shared" si="515"/>
        <v>85.54928571428573</v>
      </c>
      <c r="K753">
        <f t="shared" si="515"/>
        <v>92.118285714285733</v>
      </c>
      <c r="L753">
        <f t="shared" si="515"/>
        <v>74.569982142857143</v>
      </c>
      <c r="M753">
        <f t="shared" si="515"/>
        <v>62.138623906705561</v>
      </c>
      <c r="N753">
        <f t="shared" si="515"/>
        <v>64.17</v>
      </c>
      <c r="O753">
        <f t="shared" si="515"/>
        <v>77.77</v>
      </c>
      <c r="P753">
        <f t="shared" si="515"/>
        <v>53.917113921875654</v>
      </c>
      <c r="Q753">
        <f t="shared" si="515"/>
        <v>94.031164746173985</v>
      </c>
      <c r="R753">
        <f t="shared" si="515"/>
        <v>65.601657060057008</v>
      </c>
      <c r="S753">
        <f t="shared" si="515"/>
        <v>100.03979591836735</v>
      </c>
      <c r="T753">
        <f t="shared" si="515"/>
        <v>120.68208985219808</v>
      </c>
      <c r="U753">
        <f t="shared" si="515"/>
        <v>124.70544236101192</v>
      </c>
      <c r="V753">
        <f t="shared" si="515"/>
        <v>120.98658055659278</v>
      </c>
      <c r="W753">
        <f t="shared" si="515"/>
        <v>160.89994368411578</v>
      </c>
      <c r="Y753" s="6">
        <f t="shared" ref="Y753" si="516">SUM(D753:W753)</f>
        <v>2419.8683011856297</v>
      </c>
      <c r="Z753">
        <f>SUMPRODUCT($D$754:$W$754,D753:W753)</f>
        <v>-62.468676250315859</v>
      </c>
    </row>
    <row r="754" spans="1:26" x14ac:dyDescent="0.25">
      <c r="A754" s="2" t="s">
        <v>71</v>
      </c>
      <c r="D754" s="3">
        <f>CORREL($B$2:$B$28,D722:D748)</f>
        <v>0.31877128903091007</v>
      </c>
      <c r="E754" s="3">
        <f t="shared" ref="E754:W754" si="517">CORREL($B$2:$B$28,E722:E748)</f>
        <v>0.33403300641322031</v>
      </c>
      <c r="F754" s="3">
        <f t="shared" si="517"/>
        <v>7.0695513081507677E-2</v>
      </c>
      <c r="G754" s="3">
        <f t="shared" si="517"/>
        <v>-0.11745082729444624</v>
      </c>
      <c r="H754" s="3">
        <f t="shared" si="517"/>
        <v>-0.16003356974891411</v>
      </c>
      <c r="I754" s="3">
        <f t="shared" si="517"/>
        <v>3.8874565923393473E-2</v>
      </c>
      <c r="J754" s="3">
        <f t="shared" si="517"/>
        <v>-0.37553792951415799</v>
      </c>
      <c r="K754" s="3">
        <f t="shared" si="517"/>
        <v>-0.23261997054607522</v>
      </c>
      <c r="L754" s="3">
        <f t="shared" si="517"/>
        <v>-0.30159331166103059</v>
      </c>
      <c r="M754" s="3">
        <f t="shared" si="517"/>
        <v>-0.12205931295475504</v>
      </c>
      <c r="N754" s="3">
        <f t="shared" si="517"/>
        <v>-0.43248573954639302</v>
      </c>
      <c r="O754" s="3">
        <f t="shared" si="517"/>
        <v>-0.29029378770070374</v>
      </c>
      <c r="P754" s="3">
        <f t="shared" si="517"/>
        <v>-0.22519170324253604</v>
      </c>
      <c r="Q754" s="3">
        <f t="shared" si="517"/>
        <v>-6.2036910856197565E-2</v>
      </c>
      <c r="R754" s="3">
        <f t="shared" si="517"/>
        <v>5.4091526412257854E-2</v>
      </c>
      <c r="S754" s="3">
        <f t="shared" si="517"/>
        <v>0.12459933748871956</v>
      </c>
      <c r="T754" s="3">
        <f t="shared" si="517"/>
        <v>-0.11313666319918293</v>
      </c>
      <c r="U754" s="3">
        <f t="shared" si="517"/>
        <v>-7.6002809918997341E-2</v>
      </c>
      <c r="V754" s="3">
        <f t="shared" si="517"/>
        <v>-0.16264405051612627</v>
      </c>
      <c r="W754" s="3">
        <f t="shared" si="517"/>
        <v>-6.9239385740518036E-2</v>
      </c>
    </row>
    <row r="757" spans="1:26" x14ac:dyDescent="0.25">
      <c r="D757" t="s">
        <v>240</v>
      </c>
      <c r="E757" t="s">
        <v>241</v>
      </c>
      <c r="F757" t="s">
        <v>242</v>
      </c>
      <c r="G757" t="s">
        <v>243</v>
      </c>
      <c r="H757" t="s">
        <v>244</v>
      </c>
      <c r="I757" t="s">
        <v>245</v>
      </c>
      <c r="J757" t="s">
        <v>246</v>
      </c>
      <c r="K757" t="s">
        <v>247</v>
      </c>
      <c r="L757" t="s">
        <v>336</v>
      </c>
      <c r="M757" t="s">
        <v>406</v>
      </c>
      <c r="N757" t="s">
        <v>407</v>
      </c>
      <c r="O757" t="s">
        <v>408</v>
      </c>
      <c r="P757" t="s">
        <v>518</v>
      </c>
      <c r="Q757" t="s">
        <v>519</v>
      </c>
      <c r="R757" t="s">
        <v>520</v>
      </c>
      <c r="S757" t="s">
        <v>521</v>
      </c>
      <c r="T757" t="s">
        <v>630</v>
      </c>
      <c r="U757" t="s">
        <v>631</v>
      </c>
      <c r="V757" t="s">
        <v>632</v>
      </c>
      <c r="W757" t="s">
        <v>633</v>
      </c>
      <c r="Y757" t="s">
        <v>248</v>
      </c>
      <c r="Z757" t="s">
        <v>249</v>
      </c>
    </row>
    <row r="758" spans="1:26" x14ac:dyDescent="0.25">
      <c r="A758" t="s">
        <v>43</v>
      </c>
      <c r="D758">
        <f t="shared" ref="D758:W758" si="518">D74*D218</f>
        <v>143.09754427405477</v>
      </c>
      <c r="E758">
        <f t="shared" si="518"/>
        <v>116.56490156940082</v>
      </c>
      <c r="F758">
        <f t="shared" si="518"/>
        <v>96.803720610391863</v>
      </c>
      <c r="G758">
        <f t="shared" si="518"/>
        <v>125.88524262881701</v>
      </c>
      <c r="H758">
        <f t="shared" si="518"/>
        <v>99.216526416984124</v>
      </c>
      <c r="I758">
        <f t="shared" si="518"/>
        <v>85.572515332555554</v>
      </c>
      <c r="J758">
        <f t="shared" si="518"/>
        <v>132.41160219693518</v>
      </c>
      <c r="K758">
        <f t="shared" si="518"/>
        <v>82.073097382367024</v>
      </c>
      <c r="L758">
        <f t="shared" si="518"/>
        <v>85.441572407334888</v>
      </c>
      <c r="M758">
        <f t="shared" si="518"/>
        <v>29.199052039344934</v>
      </c>
      <c r="N758">
        <f t="shared" si="518"/>
        <v>54.508553992578754</v>
      </c>
      <c r="O758">
        <f t="shared" si="518"/>
        <v>76.434707796242577</v>
      </c>
      <c r="P758">
        <f t="shared" si="518"/>
        <v>79.492450389618796</v>
      </c>
      <c r="Q758">
        <f t="shared" si="518"/>
        <v>78.279401461672947</v>
      </c>
      <c r="R758">
        <f t="shared" si="518"/>
        <v>96.404626431547982</v>
      </c>
      <c r="S758">
        <f t="shared" si="518"/>
        <v>81.19214664702757</v>
      </c>
      <c r="T758">
        <f t="shared" si="518"/>
        <v>62.691308082228446</v>
      </c>
      <c r="U758">
        <f t="shared" si="518"/>
        <v>74.869121750492496</v>
      </c>
      <c r="V758">
        <f t="shared" si="518"/>
        <v>150.61376980941336</v>
      </c>
      <c r="W758">
        <f t="shared" si="518"/>
        <v>88.794921447013024</v>
      </c>
      <c r="Y758" s="6">
        <f t="shared" ref="Y758:Y788" si="519">SUM(D758:W758)</f>
        <v>1839.546782666022</v>
      </c>
      <c r="Z758">
        <f t="shared" ref="Z758:Z784" si="520">SUMPRODUCT($D$790:$W$790,D758:W758)</f>
        <v>-230.7964123306372</v>
      </c>
    </row>
    <row r="759" spans="1:26" x14ac:dyDescent="0.25">
      <c r="A759" t="s">
        <v>44</v>
      </c>
      <c r="D759">
        <f t="shared" ref="D759:W759" si="521">D75*D219</f>
        <v>121.21740408325063</v>
      </c>
      <c r="E759">
        <f t="shared" si="521"/>
        <v>102.07435287504005</v>
      </c>
      <c r="F759">
        <f t="shared" si="521"/>
        <v>171.84351769903282</v>
      </c>
      <c r="G759">
        <f t="shared" si="521"/>
        <v>89.206240169674459</v>
      </c>
      <c r="H759">
        <f t="shared" si="521"/>
        <v>100.99650514472395</v>
      </c>
      <c r="I759">
        <f t="shared" si="521"/>
        <v>68.234210323629881</v>
      </c>
      <c r="J759">
        <f t="shared" si="521"/>
        <v>31.710095800370297</v>
      </c>
      <c r="K759">
        <f t="shared" si="521"/>
        <v>40.172460010131857</v>
      </c>
      <c r="L759">
        <f t="shared" si="521"/>
        <v>36.868908306066572</v>
      </c>
      <c r="M759">
        <f t="shared" si="521"/>
        <v>63.368468894892878</v>
      </c>
      <c r="N759">
        <f t="shared" si="521"/>
        <v>117.27406312506088</v>
      </c>
      <c r="O759">
        <f t="shared" si="521"/>
        <v>72.170284348146055</v>
      </c>
      <c r="P759">
        <f t="shared" si="521"/>
        <v>29.927574788308483</v>
      </c>
      <c r="Q759">
        <f t="shared" si="521"/>
        <v>43.08118063326409</v>
      </c>
      <c r="R759">
        <f t="shared" si="521"/>
        <v>58.413051272547634</v>
      </c>
      <c r="S759">
        <f t="shared" si="521"/>
        <v>62.441441147457645</v>
      </c>
      <c r="T759">
        <f t="shared" si="521"/>
        <v>102.83287082161556</v>
      </c>
      <c r="U759">
        <f t="shared" si="521"/>
        <v>67.119614652561737</v>
      </c>
      <c r="V759">
        <f t="shared" si="521"/>
        <v>151.8409702228353</v>
      </c>
      <c r="W759">
        <f t="shared" si="521"/>
        <v>167.35066076662233</v>
      </c>
      <c r="Y759" s="6">
        <f t="shared" si="519"/>
        <v>1698.143875085233</v>
      </c>
      <c r="Z759">
        <f t="shared" si="520"/>
        <v>-185.2932025275947</v>
      </c>
    </row>
    <row r="760" spans="1:26" x14ac:dyDescent="0.25">
      <c r="A760" t="s">
        <v>45</v>
      </c>
      <c r="D760">
        <f t="shared" ref="D760:W760" si="522">D76*D220</f>
        <v>121.10572200978393</v>
      </c>
      <c r="E760">
        <f t="shared" si="522"/>
        <v>56.234420352839415</v>
      </c>
      <c r="F760">
        <f t="shared" si="522"/>
        <v>27.863045185050133</v>
      </c>
      <c r="G760">
        <f t="shared" si="522"/>
        <v>136.28409356454117</v>
      </c>
      <c r="H760">
        <f t="shared" si="522"/>
        <v>165.40188633004033</v>
      </c>
      <c r="I760">
        <f t="shared" si="522"/>
        <v>103.48438003129525</v>
      </c>
      <c r="J760">
        <f t="shared" si="522"/>
        <v>114.34141779822339</v>
      </c>
      <c r="K760">
        <f t="shared" si="522"/>
        <v>66.933744056905951</v>
      </c>
      <c r="L760">
        <f t="shared" si="522"/>
        <v>81.355497792947688</v>
      </c>
      <c r="M760">
        <f t="shared" si="522"/>
        <v>80.54965448894788</v>
      </c>
      <c r="N760">
        <f t="shared" si="522"/>
        <v>114.50493352052703</v>
      </c>
      <c r="O760">
        <f t="shared" si="522"/>
        <v>84.947257686709307</v>
      </c>
      <c r="P760">
        <f t="shared" si="522"/>
        <v>30.208485757172216</v>
      </c>
      <c r="Q760">
        <f t="shared" si="522"/>
        <v>64.719069843063679</v>
      </c>
      <c r="R760">
        <f t="shared" si="522"/>
        <v>101.74698989710686</v>
      </c>
      <c r="S760">
        <f t="shared" si="522"/>
        <v>127.96480455995028</v>
      </c>
      <c r="T760">
        <f t="shared" si="522"/>
        <v>198.91289671754012</v>
      </c>
      <c r="U760">
        <f t="shared" si="522"/>
        <v>163.97592936937232</v>
      </c>
      <c r="V760">
        <f t="shared" si="522"/>
        <v>169.74644115482695</v>
      </c>
      <c r="W760">
        <f t="shared" si="522"/>
        <v>228.06736620735055</v>
      </c>
      <c r="Y760" s="6">
        <f t="shared" si="519"/>
        <v>2238.3480363241943</v>
      </c>
      <c r="Z760">
        <f t="shared" si="520"/>
        <v>-316.07106163725268</v>
      </c>
    </row>
    <row r="761" spans="1:26" x14ac:dyDescent="0.25">
      <c r="A761" t="s">
        <v>46</v>
      </c>
      <c r="D761">
        <f t="shared" ref="D761:W761" si="523">D77*D221</f>
        <v>112.28001231996085</v>
      </c>
      <c r="E761">
        <f t="shared" si="523"/>
        <v>84.172631635746242</v>
      </c>
      <c r="F761">
        <f t="shared" si="523"/>
        <v>88.608431556630933</v>
      </c>
      <c r="G761">
        <f t="shared" si="523"/>
        <v>86.886928179809956</v>
      </c>
      <c r="H761">
        <f t="shared" si="523"/>
        <v>67.272381108558648</v>
      </c>
      <c r="I761">
        <f t="shared" si="523"/>
        <v>62.356258625204873</v>
      </c>
      <c r="J761">
        <f t="shared" si="523"/>
        <v>90.521283974836649</v>
      </c>
      <c r="K761">
        <f t="shared" si="523"/>
        <v>117.00134675904464</v>
      </c>
      <c r="L761">
        <f t="shared" si="523"/>
        <v>113.59598491033752</v>
      </c>
      <c r="M761">
        <f t="shared" si="523"/>
        <v>80.345550125873601</v>
      </c>
      <c r="N761">
        <f t="shared" si="523"/>
        <v>24.739103568407966</v>
      </c>
      <c r="O761">
        <f t="shared" si="523"/>
        <v>59.027200724158803</v>
      </c>
      <c r="P761">
        <f t="shared" si="523"/>
        <v>39.577102844833398</v>
      </c>
      <c r="Q761">
        <f t="shared" si="523"/>
        <v>59.963043334580249</v>
      </c>
      <c r="R761">
        <f t="shared" si="523"/>
        <v>41.204963503861727</v>
      </c>
      <c r="S761">
        <f t="shared" si="523"/>
        <v>95.67606371205207</v>
      </c>
      <c r="T761">
        <f t="shared" si="523"/>
        <v>53.463479549767776</v>
      </c>
      <c r="U761">
        <f t="shared" si="523"/>
        <v>51.109935946549378</v>
      </c>
      <c r="V761">
        <f t="shared" si="523"/>
        <v>85.94933381083014</v>
      </c>
      <c r="W761">
        <f t="shared" si="523"/>
        <v>127.37573342835654</v>
      </c>
      <c r="Y761" s="6">
        <f t="shared" si="519"/>
        <v>1541.1267696194022</v>
      </c>
      <c r="Z761">
        <f t="shared" si="520"/>
        <v>-184.97268728090685</v>
      </c>
    </row>
    <row r="762" spans="1:26" x14ac:dyDescent="0.25">
      <c r="A762" t="s">
        <v>47</v>
      </c>
      <c r="D762">
        <f t="shared" ref="D762:W762" si="524">D78*D222</f>
        <v>170.96395449715703</v>
      </c>
      <c r="E762">
        <f t="shared" si="524"/>
        <v>158.39903643320389</v>
      </c>
      <c r="F762">
        <f t="shared" si="524"/>
        <v>129.9685699744997</v>
      </c>
      <c r="G762">
        <f t="shared" si="524"/>
        <v>173.55229068521427</v>
      </c>
      <c r="H762">
        <f t="shared" si="524"/>
        <v>131.09399953054404</v>
      </c>
      <c r="I762">
        <f t="shared" si="524"/>
        <v>81.914588084837206</v>
      </c>
      <c r="J762">
        <f t="shared" si="524"/>
        <v>97.680056708224384</v>
      </c>
      <c r="K762">
        <f t="shared" si="524"/>
        <v>85.86391214377349</v>
      </c>
      <c r="L762">
        <f t="shared" si="524"/>
        <v>43.165902266668056</v>
      </c>
      <c r="M762">
        <f t="shared" si="524"/>
        <v>73.005426816662705</v>
      </c>
      <c r="N762">
        <f t="shared" si="524"/>
        <v>72.361394899913094</v>
      </c>
      <c r="O762">
        <f t="shared" si="524"/>
        <v>84.866456302824545</v>
      </c>
      <c r="P762">
        <f t="shared" si="524"/>
        <v>103.97087276468382</v>
      </c>
      <c r="Q762">
        <f t="shared" si="524"/>
        <v>71.444373744070788</v>
      </c>
      <c r="R762">
        <f t="shared" si="524"/>
        <v>163.75317331351815</v>
      </c>
      <c r="S762">
        <f t="shared" si="524"/>
        <v>128.57423387086988</v>
      </c>
      <c r="T762">
        <f t="shared" si="524"/>
        <v>238.91869811358131</v>
      </c>
      <c r="U762">
        <f t="shared" si="524"/>
        <v>244.65385073791026</v>
      </c>
      <c r="V762">
        <f t="shared" si="524"/>
        <v>101.82419297811364</v>
      </c>
      <c r="W762">
        <f t="shared" si="524"/>
        <v>170.04284648047118</v>
      </c>
      <c r="Y762" s="6">
        <f t="shared" si="519"/>
        <v>2526.0178303467419</v>
      </c>
      <c r="Z762">
        <f t="shared" si="520"/>
        <v>-251.57452840520352</v>
      </c>
    </row>
    <row r="763" spans="1:26" x14ac:dyDescent="0.25">
      <c r="A763" t="s">
        <v>48</v>
      </c>
      <c r="D763">
        <f t="shared" ref="D763:W763" si="525">D79*D223</f>
        <v>234.34125767803829</v>
      </c>
      <c r="E763">
        <f t="shared" si="525"/>
        <v>203.65313461088425</v>
      </c>
      <c r="F763">
        <f t="shared" si="525"/>
        <v>217.82191817410015</v>
      </c>
      <c r="G763">
        <f t="shared" si="525"/>
        <v>308.49535973096613</v>
      </c>
      <c r="H763">
        <f t="shared" si="525"/>
        <v>410.5436710555129</v>
      </c>
      <c r="I763">
        <f t="shared" si="525"/>
        <v>210.60439258289873</v>
      </c>
      <c r="J763">
        <f t="shared" si="525"/>
        <v>203.12880980926093</v>
      </c>
      <c r="K763">
        <f t="shared" si="525"/>
        <v>187.05995727724587</v>
      </c>
      <c r="L763">
        <f t="shared" si="525"/>
        <v>88.576539698599092</v>
      </c>
      <c r="M763">
        <f t="shared" si="525"/>
        <v>39.193848986049417</v>
      </c>
      <c r="N763">
        <f t="shared" si="525"/>
        <v>53.694074761840838</v>
      </c>
      <c r="O763">
        <f t="shared" si="525"/>
        <v>37.734692918725138</v>
      </c>
      <c r="P763">
        <f t="shared" si="525"/>
        <v>109.52262603628103</v>
      </c>
      <c r="Q763">
        <f t="shared" si="525"/>
        <v>94.44157337562855</v>
      </c>
      <c r="R763">
        <f t="shared" si="525"/>
        <v>72.969284643940597</v>
      </c>
      <c r="S763">
        <f t="shared" si="525"/>
        <v>50.695052110014515</v>
      </c>
      <c r="T763">
        <f t="shared" si="525"/>
        <v>53.898361334838278</v>
      </c>
      <c r="U763">
        <f t="shared" si="525"/>
        <v>74.034934456337524</v>
      </c>
      <c r="V763">
        <f t="shared" si="525"/>
        <v>89.157988269164733</v>
      </c>
      <c r="W763">
        <f t="shared" si="525"/>
        <v>94.823089277226586</v>
      </c>
      <c r="Y763" s="6">
        <f t="shared" si="519"/>
        <v>2834.3905667875538</v>
      </c>
      <c r="Z763">
        <f t="shared" si="520"/>
        <v>-290.31399139932876</v>
      </c>
    </row>
    <row r="764" spans="1:26" x14ac:dyDescent="0.25">
      <c r="A764" t="s">
        <v>49</v>
      </c>
      <c r="D764">
        <f t="shared" ref="D764:W764" si="526">D80*D224</f>
        <v>103.45662766415866</v>
      </c>
      <c r="E764">
        <f t="shared" si="526"/>
        <v>146.12710295430441</v>
      </c>
      <c r="F764">
        <f t="shared" si="526"/>
        <v>148.31478020528689</v>
      </c>
      <c r="G764">
        <f t="shared" si="526"/>
        <v>126.23067322055009</v>
      </c>
      <c r="H764">
        <f t="shared" si="526"/>
        <v>99.070523732256035</v>
      </c>
      <c r="I764">
        <f t="shared" si="526"/>
        <v>102.92936497358222</v>
      </c>
      <c r="J764">
        <f t="shared" si="526"/>
        <v>95.578293952869345</v>
      </c>
      <c r="K764">
        <f t="shared" si="526"/>
        <v>84.89600447666345</v>
      </c>
      <c r="L764">
        <f t="shared" si="526"/>
        <v>68.029673553918556</v>
      </c>
      <c r="M764">
        <f t="shared" si="526"/>
        <v>38.373625579071131</v>
      </c>
      <c r="N764">
        <f t="shared" si="526"/>
        <v>45.1295575249599</v>
      </c>
      <c r="O764">
        <f t="shared" si="526"/>
        <v>55.478901295827555</v>
      </c>
      <c r="P764">
        <f t="shared" si="526"/>
        <v>143.69963441578798</v>
      </c>
      <c r="Q764">
        <f t="shared" si="526"/>
        <v>187.64062568283856</v>
      </c>
      <c r="R764">
        <f t="shared" si="526"/>
        <v>131.3376079367178</v>
      </c>
      <c r="S764">
        <f t="shared" si="526"/>
        <v>69.41552023250479</v>
      </c>
      <c r="T764">
        <f t="shared" si="526"/>
        <v>56.371510726220748</v>
      </c>
      <c r="U764">
        <f t="shared" si="526"/>
        <v>105.02450422550687</v>
      </c>
      <c r="V764">
        <f t="shared" si="526"/>
        <v>114.12888228638252</v>
      </c>
      <c r="W764">
        <f t="shared" si="526"/>
        <v>100.0510776267957</v>
      </c>
      <c r="Y764" s="6">
        <f t="shared" si="519"/>
        <v>2021.2844922662036</v>
      </c>
      <c r="Z764">
        <f t="shared" si="520"/>
        <v>-231.40077275796895</v>
      </c>
    </row>
    <row r="765" spans="1:26" x14ac:dyDescent="0.25">
      <c r="A765" t="s">
        <v>50</v>
      </c>
      <c r="D765">
        <f t="shared" ref="D765:W765" si="527">D81*D225</f>
        <v>132.57165824243043</v>
      </c>
      <c r="E765">
        <f t="shared" si="527"/>
        <v>117.55536570282018</v>
      </c>
      <c r="F765">
        <f t="shared" si="527"/>
        <v>10.7100282397124</v>
      </c>
      <c r="G765">
        <f t="shared" si="527"/>
        <v>147.71535300024547</v>
      </c>
      <c r="H765">
        <f t="shared" si="527"/>
        <v>119.45273335778516</v>
      </c>
      <c r="I765">
        <f t="shared" si="527"/>
        <v>122.35653318076254</v>
      </c>
      <c r="J765">
        <f t="shared" si="527"/>
        <v>88.27775830855461</v>
      </c>
      <c r="K765">
        <f t="shared" si="527"/>
        <v>95.713789721777886</v>
      </c>
      <c r="L765">
        <f t="shared" si="527"/>
        <v>129.8931775857595</v>
      </c>
      <c r="M765">
        <f t="shared" si="527"/>
        <v>85.978664068567994</v>
      </c>
      <c r="N765">
        <f t="shared" si="527"/>
        <v>257.9404880160032</v>
      </c>
      <c r="O765">
        <f t="shared" si="527"/>
        <v>236.24015150131794</v>
      </c>
      <c r="P765">
        <f t="shared" si="527"/>
        <v>235.14836119095622</v>
      </c>
      <c r="Q765">
        <f t="shared" si="527"/>
        <v>280.67889904574577</v>
      </c>
      <c r="R765">
        <f t="shared" si="527"/>
        <v>30.414513558273988</v>
      </c>
      <c r="S765">
        <f t="shared" si="527"/>
        <v>47.416570713816924</v>
      </c>
      <c r="T765">
        <f t="shared" si="527"/>
        <v>135.69973783167475</v>
      </c>
      <c r="U765">
        <f t="shared" si="527"/>
        <v>98.04790170500479</v>
      </c>
      <c r="V765">
        <f t="shared" si="527"/>
        <v>186.0034910247137</v>
      </c>
      <c r="W765">
        <f t="shared" si="527"/>
        <v>124.56051661616941</v>
      </c>
      <c r="Y765" s="6">
        <f t="shared" si="519"/>
        <v>2682.3756926120923</v>
      </c>
      <c r="Z765">
        <f t="shared" si="520"/>
        <v>-496.61735314480831</v>
      </c>
    </row>
    <row r="766" spans="1:26" x14ac:dyDescent="0.25">
      <c r="A766" t="s">
        <v>51</v>
      </c>
      <c r="D766">
        <f t="shared" ref="D766:W766" si="528">D82*D226</f>
        <v>228.50106985900473</v>
      </c>
      <c r="E766">
        <f t="shared" si="528"/>
        <v>376.67843485777024</v>
      </c>
      <c r="F766">
        <f t="shared" si="528"/>
        <v>474.60515665115395</v>
      </c>
      <c r="G766">
        <f t="shared" si="528"/>
        <v>229.57471497785042</v>
      </c>
      <c r="H766">
        <f t="shared" si="528"/>
        <v>154.62430415963215</v>
      </c>
      <c r="I766">
        <f t="shared" si="528"/>
        <v>89.229823919391336</v>
      </c>
      <c r="J766">
        <f t="shared" si="528"/>
        <v>199.83848266349708</v>
      </c>
      <c r="K766">
        <f t="shared" si="528"/>
        <v>205.23781335199388</v>
      </c>
      <c r="L766">
        <f t="shared" si="528"/>
        <v>186.32387911561108</v>
      </c>
      <c r="M766">
        <f t="shared" si="528"/>
        <v>240.35168641312902</v>
      </c>
      <c r="N766">
        <f t="shared" si="528"/>
        <v>251.91965589066541</v>
      </c>
      <c r="O766">
        <f t="shared" si="528"/>
        <v>160.88240665690745</v>
      </c>
      <c r="P766">
        <f t="shared" si="528"/>
        <v>295.69710877748776</v>
      </c>
      <c r="Q766">
        <f t="shared" si="528"/>
        <v>137.15696461944756</v>
      </c>
      <c r="R766">
        <f t="shared" si="528"/>
        <v>214.47247697976175</v>
      </c>
      <c r="S766">
        <f t="shared" si="528"/>
        <v>250.57742248426578</v>
      </c>
      <c r="T766">
        <f t="shared" si="528"/>
        <v>209.83745281642786</v>
      </c>
      <c r="U766">
        <f t="shared" si="528"/>
        <v>226.95202807210046</v>
      </c>
      <c r="V766">
        <f t="shared" si="528"/>
        <v>267.05921949921708</v>
      </c>
      <c r="W766">
        <f t="shared" si="528"/>
        <v>289.05762178321413</v>
      </c>
      <c r="Y766" s="6">
        <f t="shared" si="519"/>
        <v>4688.5777235485284</v>
      </c>
      <c r="Z766">
        <f t="shared" si="520"/>
        <v>-529.91023016115912</v>
      </c>
    </row>
    <row r="767" spans="1:26" x14ac:dyDescent="0.25">
      <c r="A767" t="s">
        <v>52</v>
      </c>
      <c r="D767">
        <f t="shared" ref="D767:W767" si="529">D83*D227</f>
        <v>173.7103188812485</v>
      </c>
      <c r="E767">
        <f t="shared" si="529"/>
        <v>161.57035906475338</v>
      </c>
      <c r="F767">
        <f t="shared" si="529"/>
        <v>113.56446641038283</v>
      </c>
      <c r="G767">
        <f t="shared" si="529"/>
        <v>70.738943848618916</v>
      </c>
      <c r="H767">
        <f t="shared" si="529"/>
        <v>82.577905196910223</v>
      </c>
      <c r="I767">
        <f t="shared" si="529"/>
        <v>157.7505829968637</v>
      </c>
      <c r="J767">
        <f t="shared" si="529"/>
        <v>34.045494899845444</v>
      </c>
      <c r="K767">
        <f t="shared" si="529"/>
        <v>55.608176399550565</v>
      </c>
      <c r="L767">
        <f t="shared" si="529"/>
        <v>71.334650258800508</v>
      </c>
      <c r="M767">
        <f t="shared" si="529"/>
        <v>68.177875428059437</v>
      </c>
      <c r="N767">
        <f t="shared" si="529"/>
        <v>47.054649205234874</v>
      </c>
      <c r="O767">
        <f t="shared" si="529"/>
        <v>52.472394088506846</v>
      </c>
      <c r="P767">
        <f t="shared" si="529"/>
        <v>74.930486341869809</v>
      </c>
      <c r="Q767">
        <f t="shared" si="529"/>
        <v>70.599353456246533</v>
      </c>
      <c r="R767">
        <f t="shared" si="529"/>
        <v>91.53693767628711</v>
      </c>
      <c r="S767">
        <f t="shared" si="529"/>
        <v>84.785797660161464</v>
      </c>
      <c r="T767">
        <f t="shared" si="529"/>
        <v>51.392364675687524</v>
      </c>
      <c r="U767">
        <f t="shared" si="529"/>
        <v>91.782922587482275</v>
      </c>
      <c r="V767">
        <f t="shared" si="529"/>
        <v>68.611280720827949</v>
      </c>
      <c r="W767">
        <f t="shared" si="529"/>
        <v>126.8997086050428</v>
      </c>
      <c r="Y767" s="6">
        <f t="shared" si="519"/>
        <v>1749.1446684023806</v>
      </c>
      <c r="Z767">
        <f t="shared" si="520"/>
        <v>-122.68271746046561</v>
      </c>
    </row>
    <row r="768" spans="1:26" x14ac:dyDescent="0.25">
      <c r="A768" t="s">
        <v>53</v>
      </c>
      <c r="D768">
        <f t="shared" ref="D768:W768" si="530">D84*D228</f>
        <v>131.52300925398981</v>
      </c>
      <c r="E768">
        <f t="shared" si="530"/>
        <v>89.468128534726404</v>
      </c>
      <c r="F768">
        <f t="shared" si="530"/>
        <v>75.443712801327422</v>
      </c>
      <c r="G768">
        <f t="shared" si="530"/>
        <v>106.35232391514209</v>
      </c>
      <c r="H768">
        <f t="shared" si="530"/>
        <v>91.742537915670169</v>
      </c>
      <c r="I768">
        <f t="shared" si="530"/>
        <v>66.775096105551128</v>
      </c>
      <c r="J768">
        <f t="shared" si="530"/>
        <v>118.74439188898404</v>
      </c>
      <c r="K768">
        <f t="shared" si="530"/>
        <v>117.60672665154077</v>
      </c>
      <c r="L768">
        <f t="shared" si="530"/>
        <v>127.82801881941231</v>
      </c>
      <c r="M768">
        <f t="shared" si="530"/>
        <v>94.330450592717995</v>
      </c>
      <c r="N768">
        <f t="shared" si="530"/>
        <v>58.011745631242952</v>
      </c>
      <c r="O768">
        <f t="shared" si="530"/>
        <v>52.0643747144983</v>
      </c>
      <c r="P768">
        <f t="shared" si="530"/>
        <v>92.308982854442235</v>
      </c>
      <c r="Q768">
        <f t="shared" si="530"/>
        <v>35.608158709778358</v>
      </c>
      <c r="R768">
        <f t="shared" si="530"/>
        <v>54.315805834788939</v>
      </c>
      <c r="S768">
        <f t="shared" si="530"/>
        <v>76.847000044366993</v>
      </c>
      <c r="T768">
        <f t="shared" si="530"/>
        <v>131.48168056247658</v>
      </c>
      <c r="U768">
        <f t="shared" si="530"/>
        <v>102.93485225218079</v>
      </c>
      <c r="V768">
        <f t="shared" si="530"/>
        <v>117.29199838237645</v>
      </c>
      <c r="W768">
        <f t="shared" si="530"/>
        <v>119.75754784610788</v>
      </c>
      <c r="Y768" s="6">
        <f t="shared" si="519"/>
        <v>1860.4365433113217</v>
      </c>
      <c r="Z768">
        <f t="shared" si="520"/>
        <v>-250.31177510793745</v>
      </c>
    </row>
    <row r="769" spans="1:26" x14ac:dyDescent="0.25">
      <c r="A769" t="s">
        <v>54</v>
      </c>
      <c r="D769">
        <f t="shared" ref="D769:W769" si="531">D85*D229</f>
        <v>142.74049521819751</v>
      </c>
      <c r="E769">
        <f t="shared" si="531"/>
        <v>146.78071850334769</v>
      </c>
      <c r="F769">
        <f t="shared" si="531"/>
        <v>150.33967768647972</v>
      </c>
      <c r="G769">
        <f t="shared" si="531"/>
        <v>74.275370539563809</v>
      </c>
      <c r="H769">
        <f t="shared" si="531"/>
        <v>58.412938223867073</v>
      </c>
      <c r="I769">
        <f t="shared" si="531"/>
        <v>78.193899432001402</v>
      </c>
      <c r="J769">
        <f t="shared" si="531"/>
        <v>29.987254257160082</v>
      </c>
      <c r="K769">
        <f t="shared" si="531"/>
        <v>52.757533697494992</v>
      </c>
      <c r="L769">
        <f t="shared" si="531"/>
        <v>81.550976612847847</v>
      </c>
      <c r="M769">
        <f t="shared" si="531"/>
        <v>85.095595743801383</v>
      </c>
      <c r="N769">
        <f t="shared" si="531"/>
        <v>88.300004074961322</v>
      </c>
      <c r="O769">
        <f t="shared" si="531"/>
        <v>71.055725798745115</v>
      </c>
      <c r="P769">
        <f t="shared" si="531"/>
        <v>95.830200381869062</v>
      </c>
      <c r="Q769">
        <f t="shared" si="531"/>
        <v>90.189898503209577</v>
      </c>
      <c r="R769">
        <f t="shared" si="531"/>
        <v>26.256647962624978</v>
      </c>
      <c r="S769">
        <f t="shared" si="531"/>
        <v>58.821124419663249</v>
      </c>
      <c r="T769">
        <f t="shared" si="531"/>
        <v>60.677293924238668</v>
      </c>
      <c r="U769">
        <f t="shared" si="531"/>
        <v>113.66645210956408</v>
      </c>
      <c r="V769">
        <f t="shared" si="531"/>
        <v>78.30987107881036</v>
      </c>
      <c r="W769">
        <f t="shared" si="531"/>
        <v>195.14573782069024</v>
      </c>
      <c r="Y769" s="6">
        <f t="shared" si="519"/>
        <v>1778.3874159891382</v>
      </c>
      <c r="Z769">
        <f t="shared" si="520"/>
        <v>-169.02550378358373</v>
      </c>
    </row>
    <row r="770" spans="1:26" x14ac:dyDescent="0.25">
      <c r="A770" t="s">
        <v>55</v>
      </c>
      <c r="D770">
        <f t="shared" ref="D770:W770" si="532">D86*D230</f>
        <v>266.78164168560835</v>
      </c>
      <c r="E770">
        <f t="shared" si="532"/>
        <v>253.47967315633147</v>
      </c>
      <c r="F770">
        <f t="shared" si="532"/>
        <v>135.89312168467069</v>
      </c>
      <c r="G770">
        <f t="shared" si="532"/>
        <v>186.32711506750439</v>
      </c>
      <c r="H770">
        <f t="shared" si="532"/>
        <v>125.65547597129765</v>
      </c>
      <c r="I770">
        <f t="shared" si="532"/>
        <v>136.55291143031363</v>
      </c>
      <c r="J770">
        <f t="shared" si="532"/>
        <v>63.292554292709497</v>
      </c>
      <c r="K770">
        <f t="shared" si="532"/>
        <v>49.160546695378649</v>
      </c>
      <c r="L770">
        <f t="shared" si="532"/>
        <v>66.104224649683403</v>
      </c>
      <c r="M770">
        <f t="shared" si="532"/>
        <v>76.818833192869576</v>
      </c>
      <c r="N770">
        <f t="shared" si="532"/>
        <v>86.161605778587756</v>
      </c>
      <c r="O770">
        <f t="shared" si="532"/>
        <v>20.076536567254809</v>
      </c>
      <c r="P770">
        <f t="shared" si="532"/>
        <v>38.035068438183913</v>
      </c>
      <c r="Q770">
        <f t="shared" si="532"/>
        <v>110.49622595999156</v>
      </c>
      <c r="R770">
        <f t="shared" si="532"/>
        <v>52.159653293911305</v>
      </c>
      <c r="S770">
        <f t="shared" si="532"/>
        <v>100.43829332394397</v>
      </c>
      <c r="T770">
        <f t="shared" si="532"/>
        <v>49.232952941243234</v>
      </c>
      <c r="U770">
        <f t="shared" si="532"/>
        <v>57.465356511641694</v>
      </c>
      <c r="V770">
        <f t="shared" si="532"/>
        <v>178.00934763032666</v>
      </c>
      <c r="W770">
        <f t="shared" si="532"/>
        <v>158.01835574319796</v>
      </c>
      <c r="Y770" s="6">
        <f t="shared" si="519"/>
        <v>2210.1594940146497</v>
      </c>
      <c r="Z770">
        <f t="shared" si="520"/>
        <v>-157.77618184558298</v>
      </c>
    </row>
    <row r="771" spans="1:26" x14ac:dyDescent="0.25">
      <c r="A771" t="s">
        <v>56</v>
      </c>
      <c r="D771">
        <f t="shared" ref="D771:W771" si="533">D87*D231</f>
        <v>303.16465778824312</v>
      </c>
      <c r="E771">
        <f t="shared" si="533"/>
        <v>150.0380311170519</v>
      </c>
      <c r="F771">
        <f t="shared" si="533"/>
        <v>147.06925040689825</v>
      </c>
      <c r="G771">
        <f t="shared" si="533"/>
        <v>119.6858700011008</v>
      </c>
      <c r="H771">
        <f t="shared" si="533"/>
        <v>68.75729128140712</v>
      </c>
      <c r="I771">
        <f t="shared" si="533"/>
        <v>88.331757419657706</v>
      </c>
      <c r="J771">
        <f t="shared" si="533"/>
        <v>67.204654006786257</v>
      </c>
      <c r="K771">
        <f t="shared" si="533"/>
        <v>98.343276843735808</v>
      </c>
      <c r="L771">
        <f t="shared" si="533"/>
        <v>61.312357788381043</v>
      </c>
      <c r="M771">
        <f t="shared" si="533"/>
        <v>65.522048307113792</v>
      </c>
      <c r="N771">
        <f t="shared" si="533"/>
        <v>40.520251366334513</v>
      </c>
      <c r="O771">
        <f t="shared" si="533"/>
        <v>88.515104466821114</v>
      </c>
      <c r="P771">
        <f t="shared" si="533"/>
        <v>91.271002251569954</v>
      </c>
      <c r="Q771">
        <f t="shared" si="533"/>
        <v>42.894977465821171</v>
      </c>
      <c r="R771">
        <f t="shared" si="533"/>
        <v>101.60256412512135</v>
      </c>
      <c r="S771">
        <f t="shared" si="533"/>
        <v>100.86293053074392</v>
      </c>
      <c r="T771">
        <f t="shared" si="533"/>
        <v>66.594806767467404</v>
      </c>
      <c r="U771">
        <f t="shared" si="533"/>
        <v>95.456250536182324</v>
      </c>
      <c r="V771">
        <f t="shared" si="533"/>
        <v>116.37665755698309</v>
      </c>
      <c r="W771">
        <f t="shared" si="533"/>
        <v>150.28739701344327</v>
      </c>
      <c r="Y771" s="6">
        <f t="shared" si="519"/>
        <v>2063.8111370408637</v>
      </c>
      <c r="Z771">
        <f t="shared" si="520"/>
        <v>-145.77198823039231</v>
      </c>
    </row>
    <row r="772" spans="1:26" x14ac:dyDescent="0.25">
      <c r="A772" t="s">
        <v>57</v>
      </c>
      <c r="D772">
        <f t="shared" ref="D772:W772" si="534">D88*D232</f>
        <v>187.00578332082358</v>
      </c>
      <c r="E772">
        <f t="shared" si="534"/>
        <v>182.62266225017567</v>
      </c>
      <c r="F772">
        <f t="shared" si="534"/>
        <v>155.54612133202014</v>
      </c>
      <c r="G772">
        <f t="shared" si="534"/>
        <v>134.82048410225201</v>
      </c>
      <c r="H772">
        <f t="shared" si="534"/>
        <v>96.017875848345298</v>
      </c>
      <c r="I772">
        <f t="shared" si="534"/>
        <v>97.170938858877307</v>
      </c>
      <c r="J772">
        <f t="shared" si="534"/>
        <v>63.115801280089528</v>
      </c>
      <c r="K772">
        <f t="shared" si="534"/>
        <v>82.270438829844835</v>
      </c>
      <c r="L772">
        <f t="shared" si="534"/>
        <v>76.242947417703533</v>
      </c>
      <c r="M772">
        <f t="shared" si="534"/>
        <v>100.26518120303942</v>
      </c>
      <c r="N772">
        <f t="shared" si="534"/>
        <v>99.581776350432321</v>
      </c>
      <c r="O772">
        <f t="shared" si="534"/>
        <v>73.957602880557047</v>
      </c>
      <c r="P772">
        <f t="shared" si="534"/>
        <v>126.58971030891958</v>
      </c>
      <c r="Q772">
        <f t="shared" si="534"/>
        <v>101.56360748917325</v>
      </c>
      <c r="R772">
        <f t="shared" si="534"/>
        <v>70.764715445851976</v>
      </c>
      <c r="S772">
        <f t="shared" si="534"/>
        <v>88.708584386452316</v>
      </c>
      <c r="T772">
        <f t="shared" si="534"/>
        <v>100.80492218651351</v>
      </c>
      <c r="U772">
        <f t="shared" si="534"/>
        <v>159.20416901749215</v>
      </c>
      <c r="V772">
        <f t="shared" si="534"/>
        <v>109.1448301591799</v>
      </c>
      <c r="W772">
        <f t="shared" si="534"/>
        <v>133.03895912999985</v>
      </c>
      <c r="Y772" s="6">
        <f t="shared" si="519"/>
        <v>2238.437111797743</v>
      </c>
      <c r="Z772">
        <f t="shared" si="520"/>
        <v>-220.29768803927095</v>
      </c>
    </row>
    <row r="773" spans="1:26" x14ac:dyDescent="0.25">
      <c r="A773" t="s">
        <v>58</v>
      </c>
      <c r="D773">
        <f t="shared" ref="D773:W773" si="535">D89*D233</f>
        <v>97.166901006444988</v>
      </c>
      <c r="E773">
        <f t="shared" si="535"/>
        <v>121.29601690616265</v>
      </c>
      <c r="F773">
        <f t="shared" si="535"/>
        <v>200.05280050115101</v>
      </c>
      <c r="G773">
        <f t="shared" si="535"/>
        <v>221.03082620422762</v>
      </c>
      <c r="H773">
        <f t="shared" si="535"/>
        <v>88.166345145857647</v>
      </c>
      <c r="I773">
        <f t="shared" si="535"/>
        <v>41.039731651806783</v>
      </c>
      <c r="J773">
        <f t="shared" si="535"/>
        <v>62.486617219160898</v>
      </c>
      <c r="K773">
        <f t="shared" si="535"/>
        <v>86.253871442135164</v>
      </c>
      <c r="L773">
        <f t="shared" si="535"/>
        <v>68.571042993493563</v>
      </c>
      <c r="M773">
        <f t="shared" si="535"/>
        <v>49.864719257914032</v>
      </c>
      <c r="N773">
        <f t="shared" si="535"/>
        <v>38.636497538693312</v>
      </c>
      <c r="O773">
        <f t="shared" si="535"/>
        <v>71.56472528397245</v>
      </c>
      <c r="P773">
        <f t="shared" si="535"/>
        <v>36.856902373029662</v>
      </c>
      <c r="Q773">
        <f t="shared" si="535"/>
        <v>51.409021547176543</v>
      </c>
      <c r="R773">
        <f t="shared" si="535"/>
        <v>36.360748685402136</v>
      </c>
      <c r="S773">
        <f t="shared" si="535"/>
        <v>72.820390232513915</v>
      </c>
      <c r="T773">
        <f t="shared" si="535"/>
        <v>118.75218468951618</v>
      </c>
      <c r="U773">
        <f t="shared" si="535"/>
        <v>60.091567918977177</v>
      </c>
      <c r="V773">
        <f t="shared" si="535"/>
        <v>50.150418209237728</v>
      </c>
      <c r="W773">
        <f t="shared" si="535"/>
        <v>162.23932626143952</v>
      </c>
      <c r="Y773" s="6">
        <f t="shared" si="519"/>
        <v>1734.8106550683128</v>
      </c>
      <c r="Z773">
        <f t="shared" si="520"/>
        <v>-168.8505296285305</v>
      </c>
    </row>
    <row r="774" spans="1:26" x14ac:dyDescent="0.25">
      <c r="A774" t="s">
        <v>59</v>
      </c>
      <c r="D774">
        <f t="shared" ref="D774:W774" si="536">D90*D234</f>
        <v>175.0430780946769</v>
      </c>
      <c r="E774">
        <f t="shared" si="536"/>
        <v>81.249289761740044</v>
      </c>
      <c r="F774">
        <f t="shared" si="536"/>
        <v>82.549181352441735</v>
      </c>
      <c r="G774">
        <f t="shared" si="536"/>
        <v>124.63133419531994</v>
      </c>
      <c r="H774">
        <f t="shared" si="536"/>
        <v>53.679546974194956</v>
      </c>
      <c r="I774">
        <f t="shared" si="536"/>
        <v>72.858832474257852</v>
      </c>
      <c r="J774">
        <f t="shared" si="536"/>
        <v>102.3792215900782</v>
      </c>
      <c r="K774">
        <f t="shared" si="536"/>
        <v>68.900081142527867</v>
      </c>
      <c r="L774">
        <f t="shared" si="536"/>
        <v>33.510778199422937</v>
      </c>
      <c r="M774">
        <f t="shared" si="536"/>
        <v>62.329548176214182</v>
      </c>
      <c r="N774">
        <f t="shared" si="536"/>
        <v>85.652364928617587</v>
      </c>
      <c r="O774">
        <f t="shared" si="536"/>
        <v>65.732389903781083</v>
      </c>
      <c r="P774">
        <f t="shared" si="536"/>
        <v>53.201079285196187</v>
      </c>
      <c r="Q774">
        <f t="shared" si="536"/>
        <v>31.838035159323685</v>
      </c>
      <c r="R774">
        <f t="shared" si="536"/>
        <v>43.661030029688426</v>
      </c>
      <c r="S774">
        <f t="shared" si="536"/>
        <v>88.267296624574044</v>
      </c>
      <c r="T774">
        <f t="shared" si="536"/>
        <v>92.742247516325847</v>
      </c>
      <c r="U774">
        <f t="shared" si="536"/>
        <v>93.367431556345807</v>
      </c>
      <c r="V774">
        <f t="shared" si="536"/>
        <v>149.26070188029752</v>
      </c>
      <c r="W774">
        <f t="shared" si="536"/>
        <v>181.46609610260154</v>
      </c>
      <c r="Y774" s="6">
        <f t="shared" si="519"/>
        <v>1742.3195649476263</v>
      </c>
      <c r="Z774">
        <f t="shared" si="520"/>
        <v>-205.3570752104348</v>
      </c>
    </row>
    <row r="775" spans="1:26" x14ac:dyDescent="0.25">
      <c r="A775" t="s">
        <v>60</v>
      </c>
      <c r="D775">
        <f t="shared" ref="D775:W775" si="537">D91*D235</f>
        <v>125.86172077101851</v>
      </c>
      <c r="E775">
        <f t="shared" si="537"/>
        <v>123.18585948481712</v>
      </c>
      <c r="F775">
        <f t="shared" si="537"/>
        <v>111.42395157259818</v>
      </c>
      <c r="G775">
        <f t="shared" si="537"/>
        <v>119.89940385663471</v>
      </c>
      <c r="H775">
        <f t="shared" si="537"/>
        <v>63.349027555234265</v>
      </c>
      <c r="I775">
        <f t="shared" si="537"/>
        <v>99.951635644968107</v>
      </c>
      <c r="J775">
        <f t="shared" si="537"/>
        <v>77.970283456036526</v>
      </c>
      <c r="K775">
        <f t="shared" si="537"/>
        <v>113.16364252827438</v>
      </c>
      <c r="L775">
        <f t="shared" si="537"/>
        <v>89.028861757575626</v>
      </c>
      <c r="M775">
        <f t="shared" si="537"/>
        <v>71.636161406215592</v>
      </c>
      <c r="N775">
        <f t="shared" si="537"/>
        <v>75.809984975179276</v>
      </c>
      <c r="O775">
        <f t="shared" si="537"/>
        <v>48.356834285957788</v>
      </c>
      <c r="P775">
        <f t="shared" si="537"/>
        <v>111.46465562027005</v>
      </c>
      <c r="Q775">
        <f t="shared" si="537"/>
        <v>106.29077321350398</v>
      </c>
      <c r="R775">
        <f t="shared" si="537"/>
        <v>75.387590698882818</v>
      </c>
      <c r="S775">
        <f t="shared" si="537"/>
        <v>98.778065098959644</v>
      </c>
      <c r="T775">
        <f t="shared" si="537"/>
        <v>125.07955667830358</v>
      </c>
      <c r="U775">
        <f t="shared" si="537"/>
        <v>159.04839431869263</v>
      </c>
      <c r="V775">
        <f t="shared" si="537"/>
        <v>42.48098574817584</v>
      </c>
      <c r="W775">
        <f t="shared" si="537"/>
        <v>97.568473999815268</v>
      </c>
      <c r="Y775" s="6">
        <f t="shared" si="519"/>
        <v>1935.7358626711141</v>
      </c>
      <c r="Z775">
        <f t="shared" si="520"/>
        <v>-212.60655866829248</v>
      </c>
    </row>
    <row r="776" spans="1:26" x14ac:dyDescent="0.25">
      <c r="A776" t="s">
        <v>61</v>
      </c>
      <c r="D776">
        <f t="shared" ref="D776:W776" si="538">D92*D236</f>
        <v>181.58041345487808</v>
      </c>
      <c r="E776">
        <f t="shared" si="538"/>
        <v>191.99726670041602</v>
      </c>
      <c r="F776">
        <f t="shared" si="538"/>
        <v>145.03282072870331</v>
      </c>
      <c r="G776">
        <f t="shared" si="538"/>
        <v>106.08756611351764</v>
      </c>
      <c r="H776">
        <f t="shared" si="538"/>
        <v>83.944253236591109</v>
      </c>
      <c r="I776">
        <f t="shared" si="538"/>
        <v>94.208996583109311</v>
      </c>
      <c r="J776">
        <f t="shared" si="538"/>
        <v>96.731892046166664</v>
      </c>
      <c r="K776">
        <f t="shared" si="538"/>
        <v>63.089061872109269</v>
      </c>
      <c r="L776">
        <f t="shared" si="538"/>
        <v>35.533060470709508</v>
      </c>
      <c r="M776">
        <f t="shared" si="538"/>
        <v>75.241600887405127</v>
      </c>
      <c r="N776">
        <f t="shared" si="538"/>
        <v>84.835313478985341</v>
      </c>
      <c r="O776">
        <f t="shared" si="538"/>
        <v>119.17496910800415</v>
      </c>
      <c r="P776">
        <f t="shared" si="538"/>
        <v>57.639572354703553</v>
      </c>
      <c r="Q776">
        <f t="shared" si="538"/>
        <v>35.17044772097686</v>
      </c>
      <c r="R776">
        <f t="shared" si="538"/>
        <v>55.530114728139864</v>
      </c>
      <c r="S776">
        <f t="shared" si="538"/>
        <v>122.3872656009963</v>
      </c>
      <c r="T776">
        <f t="shared" si="538"/>
        <v>96.566521879924622</v>
      </c>
      <c r="U776">
        <f t="shared" si="538"/>
        <v>84.789827608479953</v>
      </c>
      <c r="V776">
        <f t="shared" si="538"/>
        <v>100.63400206958045</v>
      </c>
      <c r="W776">
        <f t="shared" si="538"/>
        <v>167.99338449596584</v>
      </c>
      <c r="Y776" s="6">
        <f t="shared" si="519"/>
        <v>1998.168351139363</v>
      </c>
      <c r="Z776">
        <f t="shared" si="520"/>
        <v>-178.53030605738061</v>
      </c>
    </row>
    <row r="777" spans="1:26" x14ac:dyDescent="0.25">
      <c r="A777" t="s">
        <v>62</v>
      </c>
      <c r="D777">
        <f t="shared" ref="D777:W777" si="539">D93*D237</f>
        <v>117.89648100511555</v>
      </c>
      <c r="E777">
        <f t="shared" si="539"/>
        <v>99.663236520414628</v>
      </c>
      <c r="F777">
        <f t="shared" si="539"/>
        <v>116.20003908839242</v>
      </c>
      <c r="G777">
        <f t="shared" si="539"/>
        <v>103.95711662577486</v>
      </c>
      <c r="H777">
        <f t="shared" si="539"/>
        <v>96.257879762794687</v>
      </c>
      <c r="I777">
        <f t="shared" si="539"/>
        <v>104.68717842511357</v>
      </c>
      <c r="J777">
        <f t="shared" si="539"/>
        <v>71.027531616035134</v>
      </c>
      <c r="K777">
        <f t="shared" si="539"/>
        <v>63.222331470611863</v>
      </c>
      <c r="L777">
        <f t="shared" si="539"/>
        <v>79.573338508648831</v>
      </c>
      <c r="M777">
        <f t="shared" si="539"/>
        <v>36.306114284697401</v>
      </c>
      <c r="N777">
        <f t="shared" si="539"/>
        <v>36.535083562656453</v>
      </c>
      <c r="O777">
        <f t="shared" si="539"/>
        <v>35.215801724645488</v>
      </c>
      <c r="P777">
        <f t="shared" si="539"/>
        <v>39.599565070362587</v>
      </c>
      <c r="Q777">
        <f t="shared" si="539"/>
        <v>49.804338302206766</v>
      </c>
      <c r="R777">
        <f t="shared" si="539"/>
        <v>137.62036054541292</v>
      </c>
      <c r="S777">
        <f t="shared" si="539"/>
        <v>95.61774022527986</v>
      </c>
      <c r="T777">
        <f t="shared" si="539"/>
        <v>29.034752693447761</v>
      </c>
      <c r="U777">
        <f t="shared" si="539"/>
        <v>120.96624437586613</v>
      </c>
      <c r="V777">
        <f t="shared" si="539"/>
        <v>102.98143563183244</v>
      </c>
      <c r="W777">
        <f t="shared" si="539"/>
        <v>97.128575150714198</v>
      </c>
      <c r="Y777" s="6">
        <f t="shared" si="519"/>
        <v>1633.2951445900237</v>
      </c>
      <c r="Z777">
        <f t="shared" si="520"/>
        <v>-151.0042865821369</v>
      </c>
    </row>
    <row r="778" spans="1:26" x14ac:dyDescent="0.25">
      <c r="A778" t="s">
        <v>63</v>
      </c>
      <c r="D778">
        <f t="shared" ref="D778:W778" si="540">D94*D238</f>
        <v>128.61977878513343</v>
      </c>
      <c r="E778">
        <f t="shared" si="540"/>
        <v>115.28023716042308</v>
      </c>
      <c r="F778">
        <f t="shared" si="540"/>
        <v>115.91245220164821</v>
      </c>
      <c r="G778">
        <f t="shared" si="540"/>
        <v>106.90859587763032</v>
      </c>
      <c r="H778">
        <f t="shared" si="540"/>
        <v>118.5298479777662</v>
      </c>
      <c r="I778">
        <f t="shared" si="540"/>
        <v>78.034019671900779</v>
      </c>
      <c r="J778">
        <f t="shared" si="540"/>
        <v>61.27042359039185</v>
      </c>
      <c r="K778">
        <f t="shared" si="540"/>
        <v>58.402296707258486</v>
      </c>
      <c r="L778">
        <f t="shared" si="540"/>
        <v>75.324037179931892</v>
      </c>
      <c r="M778">
        <f t="shared" si="540"/>
        <v>59.58567884524922</v>
      </c>
      <c r="N778">
        <f t="shared" si="540"/>
        <v>28.952753991258067</v>
      </c>
      <c r="O778">
        <f t="shared" si="540"/>
        <v>68.931377946133082</v>
      </c>
      <c r="P778">
        <f t="shared" si="540"/>
        <v>21.031073045585742</v>
      </c>
      <c r="Q778">
        <f t="shared" si="540"/>
        <v>49.553469413324969</v>
      </c>
      <c r="R778">
        <f t="shared" si="540"/>
        <v>90.971078409066067</v>
      </c>
      <c r="S778">
        <f t="shared" si="540"/>
        <v>140.02588268666395</v>
      </c>
      <c r="T778">
        <f t="shared" si="540"/>
        <v>121.27413598982018</v>
      </c>
      <c r="U778">
        <f t="shared" si="540"/>
        <v>95.982898506201764</v>
      </c>
      <c r="V778">
        <f t="shared" si="540"/>
        <v>155.73615140927697</v>
      </c>
      <c r="W778">
        <f t="shared" si="540"/>
        <v>167.49572197511702</v>
      </c>
      <c r="Y778" s="6">
        <f t="shared" si="519"/>
        <v>1857.8219113697814</v>
      </c>
      <c r="Z778">
        <f t="shared" si="520"/>
        <v>-185.71434991482496</v>
      </c>
    </row>
    <row r="779" spans="1:26" x14ac:dyDescent="0.25">
      <c r="A779" t="s">
        <v>64</v>
      </c>
      <c r="D779">
        <f t="shared" ref="D779:W779" si="541">D95*D239</f>
        <v>182.43620361921751</v>
      </c>
      <c r="E779">
        <f t="shared" si="541"/>
        <v>176.94706231841073</v>
      </c>
      <c r="F779">
        <f t="shared" si="541"/>
        <v>164.39353706402184</v>
      </c>
      <c r="G779">
        <f t="shared" si="541"/>
        <v>117.7616276947597</v>
      </c>
      <c r="H779">
        <f t="shared" si="541"/>
        <v>92.830529753860858</v>
      </c>
      <c r="I779">
        <f t="shared" si="541"/>
        <v>136.99904886247492</v>
      </c>
      <c r="J779">
        <f t="shared" si="541"/>
        <v>80.503086587249655</v>
      </c>
      <c r="K779">
        <f t="shared" si="541"/>
        <v>101.20400838079719</v>
      </c>
      <c r="L779">
        <f t="shared" si="541"/>
        <v>118.86834418132285</v>
      </c>
      <c r="M779">
        <f t="shared" si="541"/>
        <v>84.72800354111051</v>
      </c>
      <c r="N779">
        <f t="shared" si="541"/>
        <v>49.423893475146876</v>
      </c>
      <c r="O779">
        <f t="shared" si="541"/>
        <v>74.832503933837259</v>
      </c>
      <c r="P779">
        <f t="shared" si="541"/>
        <v>69.835622753286728</v>
      </c>
      <c r="Q779">
        <f t="shared" si="541"/>
        <v>163.77131564146819</v>
      </c>
      <c r="R779">
        <f t="shared" si="541"/>
        <v>159.5870220948178</v>
      </c>
      <c r="S779">
        <f t="shared" si="541"/>
        <v>98.449800809612043</v>
      </c>
      <c r="T779">
        <f t="shared" si="541"/>
        <v>140.13879973749786</v>
      </c>
      <c r="U779">
        <f t="shared" si="541"/>
        <v>106.0199080550797</v>
      </c>
      <c r="V779">
        <f t="shared" si="541"/>
        <v>116.70683276454774</v>
      </c>
      <c r="W779">
        <f t="shared" si="541"/>
        <v>142.93628127234024</v>
      </c>
      <c r="Y779" s="6">
        <f t="shared" si="519"/>
        <v>2378.3734325408604</v>
      </c>
      <c r="Z779">
        <f t="shared" si="520"/>
        <v>-226.99591826486929</v>
      </c>
    </row>
    <row r="780" spans="1:26" x14ac:dyDescent="0.25">
      <c r="A780" t="s">
        <v>65</v>
      </c>
      <c r="D780">
        <f t="shared" ref="D780:W780" si="542">D96*D240</f>
        <v>183.55324189810258</v>
      </c>
      <c r="E780">
        <f t="shared" si="542"/>
        <v>152.22335371473162</v>
      </c>
      <c r="F780">
        <f t="shared" si="542"/>
        <v>96.176616954118998</v>
      </c>
      <c r="G780">
        <f t="shared" si="542"/>
        <v>62.709029009684293</v>
      </c>
      <c r="H780">
        <f t="shared" si="542"/>
        <v>117.19398249623221</v>
      </c>
      <c r="I780">
        <f t="shared" si="542"/>
        <v>96.152788894176581</v>
      </c>
      <c r="J780">
        <f t="shared" si="542"/>
        <v>65.820435016731878</v>
      </c>
      <c r="K780">
        <f t="shared" si="542"/>
        <v>68.535546303909086</v>
      </c>
      <c r="L780">
        <f t="shared" si="542"/>
        <v>76.423345618070655</v>
      </c>
      <c r="M780">
        <f t="shared" si="542"/>
        <v>76.707704240800922</v>
      </c>
      <c r="N780">
        <f t="shared" si="542"/>
        <v>65.535717565263994</v>
      </c>
      <c r="O780">
        <f t="shared" si="542"/>
        <v>48.668057501263114</v>
      </c>
      <c r="P780">
        <f t="shared" si="542"/>
        <v>26.377713895926853</v>
      </c>
      <c r="Q780">
        <f t="shared" si="542"/>
        <v>30.968104343284267</v>
      </c>
      <c r="R780">
        <f t="shared" si="542"/>
        <v>8.2804930610096772</v>
      </c>
      <c r="S780">
        <f t="shared" si="542"/>
        <v>24.997555684788018</v>
      </c>
      <c r="T780">
        <f t="shared" si="542"/>
        <v>53.225550470709827</v>
      </c>
      <c r="U780">
        <f t="shared" si="542"/>
        <v>46.779411476872063</v>
      </c>
      <c r="V780">
        <f t="shared" si="542"/>
        <v>80.715946280059853</v>
      </c>
      <c r="W780">
        <f t="shared" si="542"/>
        <v>107.0285741737685</v>
      </c>
      <c r="Y780" s="6">
        <f t="shared" si="519"/>
        <v>1488.0731685995049</v>
      </c>
      <c r="Z780">
        <f t="shared" si="520"/>
        <v>-128.09372185798804</v>
      </c>
    </row>
    <row r="781" spans="1:26" x14ac:dyDescent="0.25">
      <c r="A781" t="s">
        <v>66</v>
      </c>
      <c r="D781">
        <f t="shared" ref="D781:W781" si="543">D97*D241</f>
        <v>165.90768590555371</v>
      </c>
      <c r="E781">
        <f t="shared" si="543"/>
        <v>138.1095393244432</v>
      </c>
      <c r="F781">
        <f t="shared" si="543"/>
        <v>124.35888673123851</v>
      </c>
      <c r="G781">
        <f t="shared" si="543"/>
        <v>72.197075535854367</v>
      </c>
      <c r="H781">
        <f t="shared" si="543"/>
        <v>121.8234625731459</v>
      </c>
      <c r="I781">
        <f t="shared" si="543"/>
        <v>230.12867347259896</v>
      </c>
      <c r="J781">
        <f t="shared" si="543"/>
        <v>170.04113804338706</v>
      </c>
      <c r="K781">
        <f t="shared" si="543"/>
        <v>180.70628793437416</v>
      </c>
      <c r="L781">
        <f t="shared" si="543"/>
        <v>71.461371447564147</v>
      </c>
      <c r="M781">
        <f t="shared" si="543"/>
        <v>47.368248442809254</v>
      </c>
      <c r="N781">
        <f t="shared" si="543"/>
        <v>92.926680704407431</v>
      </c>
      <c r="O781">
        <f t="shared" si="543"/>
        <v>159.83273154233424</v>
      </c>
      <c r="P781">
        <f t="shared" si="543"/>
        <v>80.631075663584298</v>
      </c>
      <c r="Q781">
        <f t="shared" si="543"/>
        <v>51.558775284240937</v>
      </c>
      <c r="R781">
        <f t="shared" si="543"/>
        <v>76.251315771404776</v>
      </c>
      <c r="S781">
        <f t="shared" si="543"/>
        <v>92.085710640461812</v>
      </c>
      <c r="T781">
        <f t="shared" si="543"/>
        <v>82.56340492019531</v>
      </c>
      <c r="U781">
        <f t="shared" si="543"/>
        <v>109.65851975959022</v>
      </c>
      <c r="V781">
        <f t="shared" si="543"/>
        <v>83.788676302939919</v>
      </c>
      <c r="W781">
        <f t="shared" si="543"/>
        <v>55.412175703431508</v>
      </c>
      <c r="Y781" s="6">
        <f t="shared" si="519"/>
        <v>2206.8114357035597</v>
      </c>
      <c r="Z781">
        <f t="shared" si="520"/>
        <v>-273.85730281767064</v>
      </c>
    </row>
    <row r="782" spans="1:26" x14ac:dyDescent="0.25">
      <c r="A782" t="s">
        <v>67</v>
      </c>
      <c r="D782">
        <f t="shared" ref="D782:W782" si="544">D98*D242</f>
        <v>119.72161546588565</v>
      </c>
      <c r="E782">
        <f t="shared" si="544"/>
        <v>139.34289617915479</v>
      </c>
      <c r="F782">
        <f t="shared" si="544"/>
        <v>181.07201457395126</v>
      </c>
      <c r="G782">
        <f t="shared" si="544"/>
        <v>68.458648852393694</v>
      </c>
      <c r="H782">
        <f t="shared" si="544"/>
        <v>91.324554777174143</v>
      </c>
      <c r="I782">
        <f t="shared" si="544"/>
        <v>96.029954290329997</v>
      </c>
      <c r="J782">
        <f t="shared" si="544"/>
        <v>102.06023356226825</v>
      </c>
      <c r="K782">
        <f t="shared" si="544"/>
        <v>132.34367727053873</v>
      </c>
      <c r="L782">
        <f t="shared" si="544"/>
        <v>44.515032057135237</v>
      </c>
      <c r="M782">
        <f t="shared" si="544"/>
        <v>69.744281547488313</v>
      </c>
      <c r="N782">
        <f t="shared" si="544"/>
        <v>66.827238280849528</v>
      </c>
      <c r="O782">
        <f t="shared" si="544"/>
        <v>75.798966521969717</v>
      </c>
      <c r="P782">
        <f t="shared" si="544"/>
        <v>63.449757114590547</v>
      </c>
      <c r="Q782">
        <f t="shared" si="544"/>
        <v>66.135309254931784</v>
      </c>
      <c r="R782">
        <f t="shared" si="544"/>
        <v>70.469085731240966</v>
      </c>
      <c r="S782">
        <f t="shared" si="544"/>
        <v>87.840118847508151</v>
      </c>
      <c r="T782">
        <f t="shared" si="544"/>
        <v>93.365918336678305</v>
      </c>
      <c r="U782">
        <f t="shared" si="544"/>
        <v>101.159860613947</v>
      </c>
      <c r="V782">
        <f t="shared" si="544"/>
        <v>137.29250796321543</v>
      </c>
      <c r="W782">
        <f t="shared" si="544"/>
        <v>111.76468056905317</v>
      </c>
      <c r="Y782" s="6">
        <f t="shared" si="519"/>
        <v>1918.7163518103048</v>
      </c>
      <c r="Z782">
        <f t="shared" si="520"/>
        <v>-212.49013861407553</v>
      </c>
    </row>
    <row r="783" spans="1:26" x14ac:dyDescent="0.25">
      <c r="A783" t="s">
        <v>68</v>
      </c>
      <c r="D783">
        <f t="shared" ref="D783:W783" si="545">D99*D243</f>
        <v>237.41139041622256</v>
      </c>
      <c r="E783">
        <f t="shared" si="545"/>
        <v>325.5068336524613</v>
      </c>
      <c r="F783">
        <f t="shared" si="545"/>
        <v>278.2387909158864</v>
      </c>
      <c r="G783">
        <f t="shared" si="545"/>
        <v>170.29225572101794</v>
      </c>
      <c r="H783">
        <f t="shared" si="545"/>
        <v>132.93976897541847</v>
      </c>
      <c r="I783">
        <f t="shared" si="545"/>
        <v>100.94544297349056</v>
      </c>
      <c r="J783">
        <f t="shared" si="545"/>
        <v>72.861654854663144</v>
      </c>
      <c r="K783">
        <f t="shared" si="545"/>
        <v>116.86997188811134</v>
      </c>
      <c r="L783">
        <f t="shared" si="545"/>
        <v>115.5470542478446</v>
      </c>
      <c r="M783">
        <f t="shared" si="545"/>
        <v>31.568867044754704</v>
      </c>
      <c r="N783">
        <f t="shared" si="545"/>
        <v>64.570866952619795</v>
      </c>
      <c r="O783">
        <f t="shared" si="545"/>
        <v>64.902416555990683</v>
      </c>
      <c r="P783">
        <f t="shared" si="545"/>
        <v>68.129587219129775</v>
      </c>
      <c r="Q783">
        <f t="shared" si="545"/>
        <v>97.191735804390561</v>
      </c>
      <c r="R783">
        <f t="shared" si="545"/>
        <v>129.32008809904193</v>
      </c>
      <c r="S783">
        <f t="shared" si="545"/>
        <v>145.61221813771544</v>
      </c>
      <c r="T783">
        <f t="shared" si="545"/>
        <v>104.02714966303124</v>
      </c>
      <c r="U783">
        <f t="shared" si="545"/>
        <v>137.40993287368562</v>
      </c>
      <c r="V783">
        <f t="shared" si="545"/>
        <v>103.10793707827814</v>
      </c>
      <c r="W783">
        <f t="shared" si="545"/>
        <v>93.016376481072001</v>
      </c>
      <c r="Y783" s="6">
        <f t="shared" si="519"/>
        <v>2589.4703395548258</v>
      </c>
      <c r="Z783">
        <f t="shared" si="520"/>
        <v>-157.64293144334255</v>
      </c>
    </row>
    <row r="784" spans="1:26" x14ac:dyDescent="0.25">
      <c r="A784" t="s">
        <v>69</v>
      </c>
      <c r="D784">
        <f t="shared" ref="D784:W784" si="546">D100*D244</f>
        <v>155.98045637816961</v>
      </c>
      <c r="E784">
        <f t="shared" si="546"/>
        <v>172.2979369455997</v>
      </c>
      <c r="F784">
        <f t="shared" si="546"/>
        <v>139.78898904138907</v>
      </c>
      <c r="G784">
        <f t="shared" si="546"/>
        <v>113.50584764920556</v>
      </c>
      <c r="H784">
        <f t="shared" si="546"/>
        <v>123.60535580921582</v>
      </c>
      <c r="I784">
        <f t="shared" si="546"/>
        <v>132.36799683862768</v>
      </c>
      <c r="J784">
        <f t="shared" si="546"/>
        <v>28.372601283915326</v>
      </c>
      <c r="K784">
        <f t="shared" si="546"/>
        <v>54.927358795266038</v>
      </c>
      <c r="L784">
        <f t="shared" si="546"/>
        <v>35.519899904856821</v>
      </c>
      <c r="M784">
        <f t="shared" si="546"/>
        <v>66.220720510547423</v>
      </c>
      <c r="N784">
        <f t="shared" si="546"/>
        <v>68.942030513449296</v>
      </c>
      <c r="O784">
        <f t="shared" si="546"/>
        <v>74.61196049096597</v>
      </c>
      <c r="P784">
        <f t="shared" si="546"/>
        <v>64.214413519764392</v>
      </c>
      <c r="Q784">
        <f t="shared" si="546"/>
        <v>45.203337025565773</v>
      </c>
      <c r="R784">
        <f t="shared" si="546"/>
        <v>28.489792927602895</v>
      </c>
      <c r="S784">
        <f t="shared" si="546"/>
        <v>56.071728625463336</v>
      </c>
      <c r="T784">
        <f t="shared" si="546"/>
        <v>64.767688045424677</v>
      </c>
      <c r="U784">
        <f t="shared" si="546"/>
        <v>85.859353264310855</v>
      </c>
      <c r="V784">
        <f t="shared" si="546"/>
        <v>62.518052626750276</v>
      </c>
      <c r="W784">
        <f t="shared" si="546"/>
        <v>78.336141933469719</v>
      </c>
      <c r="Y784" s="6">
        <f t="shared" si="519"/>
        <v>1651.6016621295596</v>
      </c>
      <c r="Z784">
        <f t="shared" si="520"/>
        <v>-125.55636677257021</v>
      </c>
    </row>
    <row r="785" spans="1:26" x14ac:dyDescent="0.25">
      <c r="Y785" s="6"/>
    </row>
    <row r="786" spans="1:26" x14ac:dyDescent="0.25">
      <c r="A786" t="s">
        <v>70</v>
      </c>
      <c r="D786">
        <f t="shared" ref="D786:W786" si="547">D102*D246</f>
        <v>109.11678635616524</v>
      </c>
      <c r="E786">
        <f t="shared" si="547"/>
        <v>112.53375286994613</v>
      </c>
      <c r="F786">
        <f t="shared" si="547"/>
        <v>118.17540310117803</v>
      </c>
      <c r="G786">
        <f t="shared" si="547"/>
        <v>96.495332727589911</v>
      </c>
      <c r="H786">
        <f t="shared" si="547"/>
        <v>103.46180777760985</v>
      </c>
      <c r="I786">
        <f t="shared" si="547"/>
        <v>138.10529007329453</v>
      </c>
      <c r="J786">
        <f t="shared" si="547"/>
        <v>106.68942223086026</v>
      </c>
      <c r="K786">
        <f t="shared" si="547"/>
        <v>102.12347678964565</v>
      </c>
      <c r="L786">
        <f t="shared" si="547"/>
        <v>65.338603338561825</v>
      </c>
      <c r="M786">
        <f t="shared" si="547"/>
        <v>58.041145814398185</v>
      </c>
      <c r="N786">
        <f t="shared" si="547"/>
        <v>58.804288133053689</v>
      </c>
      <c r="O786">
        <f t="shared" si="547"/>
        <v>72.887380942454612</v>
      </c>
      <c r="P786">
        <f t="shared" si="547"/>
        <v>52.384123021653167</v>
      </c>
      <c r="Q786">
        <f t="shared" si="547"/>
        <v>66.216536550693164</v>
      </c>
      <c r="R786">
        <f t="shared" si="547"/>
        <v>79.108415547594376</v>
      </c>
      <c r="S786">
        <f t="shared" si="547"/>
        <v>88.909850659057611</v>
      </c>
      <c r="T786">
        <f t="shared" si="547"/>
        <v>86.046341125708935</v>
      </c>
      <c r="U786">
        <f t="shared" si="547"/>
        <v>99.261605945501458</v>
      </c>
      <c r="V786">
        <f t="shared" si="547"/>
        <v>104.22510493658184</v>
      </c>
      <c r="W786">
        <f t="shared" si="547"/>
        <v>105.99301127739456</v>
      </c>
      <c r="Y786" s="6">
        <f t="shared" si="519"/>
        <v>1823.9176792189432</v>
      </c>
      <c r="Z786">
        <f>SUMPRODUCT($D$790:$W$790,D786:W786)</f>
        <v>-210.68719405533457</v>
      </c>
    </row>
    <row r="787" spans="1:26" x14ac:dyDescent="0.25">
      <c r="A787" t="s">
        <v>313</v>
      </c>
      <c r="D787">
        <f t="shared" ref="D787:W787" si="548">D103*D247</f>
        <v>222.63969651933951</v>
      </c>
      <c r="E787">
        <f t="shared" si="548"/>
        <v>206.32402105356937</v>
      </c>
      <c r="F787">
        <f t="shared" si="548"/>
        <v>123.57303238178271</v>
      </c>
      <c r="G787">
        <f t="shared" si="548"/>
        <v>129.6239276427176</v>
      </c>
      <c r="H787">
        <f t="shared" si="548"/>
        <v>167.28258901682037</v>
      </c>
      <c r="I787">
        <f t="shared" si="548"/>
        <v>136.11614037763081</v>
      </c>
      <c r="J787">
        <f t="shared" si="548"/>
        <v>119.7153820453517</v>
      </c>
      <c r="K787">
        <f t="shared" si="548"/>
        <v>47.435170379037523</v>
      </c>
      <c r="L787">
        <f t="shared" si="548"/>
        <v>57.512005032902891</v>
      </c>
      <c r="M787">
        <f t="shared" si="548"/>
        <v>65.622851458355498</v>
      </c>
      <c r="N787">
        <f t="shared" si="548"/>
        <v>40.201821100194365</v>
      </c>
      <c r="O787">
        <f t="shared" si="548"/>
        <v>71.321523023625645</v>
      </c>
      <c r="P787">
        <f t="shared" si="548"/>
        <v>131.51999999999998</v>
      </c>
      <c r="Q787">
        <f t="shared" si="548"/>
        <v>178.5</v>
      </c>
      <c r="R787">
        <f t="shared" si="548"/>
        <v>143.19</v>
      </c>
      <c r="S787">
        <f t="shared" si="548"/>
        <v>48.18</v>
      </c>
      <c r="T787">
        <f t="shared" si="548"/>
        <v>96.48</v>
      </c>
      <c r="U787">
        <f t="shared" si="548"/>
        <v>106.91999999999999</v>
      </c>
      <c r="V787">
        <f t="shared" si="548"/>
        <v>100.44</v>
      </c>
      <c r="W787">
        <f t="shared" si="548"/>
        <v>105.3</v>
      </c>
      <c r="Y787" s="6">
        <f t="shared" si="519"/>
        <v>2297.8981600313282</v>
      </c>
      <c r="Z787">
        <f>SUMPRODUCT($D$790:$W$790,D787:W787)</f>
        <v>-208.57321546925357</v>
      </c>
    </row>
    <row r="788" spans="1:26" x14ac:dyDescent="0.25">
      <c r="A788" t="s">
        <v>314</v>
      </c>
      <c r="D788">
        <f t="shared" ref="D788:W788" si="549">D104*D248</f>
        <v>248.54312124596606</v>
      </c>
      <c r="E788">
        <f t="shared" si="549"/>
        <v>199.51122536432592</v>
      </c>
      <c r="F788">
        <f t="shared" si="549"/>
        <v>179.91317943321118</v>
      </c>
      <c r="G788">
        <f t="shared" si="549"/>
        <v>114.12124262046392</v>
      </c>
      <c r="H788">
        <f t="shared" si="549"/>
        <v>155.36666747395248</v>
      </c>
      <c r="I788">
        <f t="shared" si="549"/>
        <v>89.593718868542851</v>
      </c>
      <c r="J788">
        <f t="shared" si="549"/>
        <v>56.793897903688524</v>
      </c>
      <c r="K788">
        <f t="shared" si="549"/>
        <v>75.19</v>
      </c>
      <c r="L788">
        <f t="shared" si="549"/>
        <v>62.043307910224698</v>
      </c>
      <c r="M788">
        <f t="shared" si="549"/>
        <v>68.644071853546507</v>
      </c>
      <c r="N788">
        <f t="shared" si="549"/>
        <v>64.88091376335224</v>
      </c>
      <c r="O788">
        <f t="shared" si="549"/>
        <v>70.640582611330643</v>
      </c>
      <c r="P788">
        <f t="shared" si="549"/>
        <v>52.967518135345173</v>
      </c>
      <c r="Q788">
        <f t="shared" si="549"/>
        <v>60.677381440783797</v>
      </c>
      <c r="R788">
        <f t="shared" si="549"/>
        <v>76.983379719285239</v>
      </c>
      <c r="S788">
        <f t="shared" si="549"/>
        <v>92.368792072791251</v>
      </c>
      <c r="T788">
        <f t="shared" si="549"/>
        <v>88.212630991475862</v>
      </c>
      <c r="U788">
        <f t="shared" si="549"/>
        <v>95.844648110603472</v>
      </c>
      <c r="V788">
        <f t="shared" si="549"/>
        <v>110.63054095113006</v>
      </c>
      <c r="W788">
        <f t="shared" si="549"/>
        <v>121.89532427555727</v>
      </c>
      <c r="Y788" s="6">
        <f t="shared" si="519"/>
        <v>2084.8221447455776</v>
      </c>
      <c r="Z788">
        <f>SUMPRODUCT($D$790:$W$790,D788:W788)</f>
        <v>-145.64001882744236</v>
      </c>
    </row>
    <row r="789" spans="1:26" ht="18.75" customHeight="1" x14ac:dyDescent="0.25">
      <c r="A789" t="s">
        <v>658</v>
      </c>
      <c r="D789">
        <f t="shared" ref="D789:W789" si="550">D105*D249</f>
        <v>290.76807717374362</v>
      </c>
      <c r="E789">
        <f t="shared" si="550"/>
        <v>216.63652726793475</v>
      </c>
      <c r="F789">
        <f t="shared" si="550"/>
        <v>274.15679827057261</v>
      </c>
      <c r="G789">
        <f t="shared" si="550"/>
        <v>276.82738832133674</v>
      </c>
      <c r="H789">
        <f t="shared" si="550"/>
        <v>190.5041175506571</v>
      </c>
      <c r="I789">
        <f t="shared" si="550"/>
        <v>119.31</v>
      </c>
      <c r="J789">
        <f t="shared" si="550"/>
        <v>82.45714285714287</v>
      </c>
      <c r="K789">
        <f t="shared" si="550"/>
        <v>95.331714285714312</v>
      </c>
      <c r="L789">
        <f t="shared" si="550"/>
        <v>69.046279761904771</v>
      </c>
      <c r="M789">
        <f t="shared" si="550"/>
        <v>59.436944606414009</v>
      </c>
      <c r="N789">
        <f t="shared" si="550"/>
        <v>65.100000000000009</v>
      </c>
      <c r="O789">
        <f t="shared" si="550"/>
        <v>72.72</v>
      </c>
      <c r="P789">
        <f t="shared" si="550"/>
        <v>148.15956880190518</v>
      </c>
      <c r="Q789">
        <f t="shared" si="550"/>
        <v>193.81437582957233</v>
      </c>
      <c r="R789">
        <f t="shared" si="550"/>
        <v>168.09999425359626</v>
      </c>
      <c r="S789">
        <f t="shared" si="550"/>
        <v>191.84102040816327</v>
      </c>
      <c r="T789">
        <f t="shared" si="550"/>
        <v>92.332394104084372</v>
      </c>
      <c r="U789">
        <f t="shared" si="550"/>
        <v>94.223296870891488</v>
      </c>
      <c r="V789">
        <f t="shared" si="550"/>
        <v>101.50717574488745</v>
      </c>
      <c r="W789">
        <f t="shared" si="550"/>
        <v>124.96865437961112</v>
      </c>
      <c r="Y789" s="6">
        <f t="shared" ref="Y789" si="551">SUM(D789:W789)</f>
        <v>2927.2414704881317</v>
      </c>
      <c r="Z789">
        <f>SUMPRODUCT($D$790:$W$790,D789:W789)</f>
        <v>-224.44898148692565</v>
      </c>
    </row>
    <row r="790" spans="1:26" x14ac:dyDescent="0.25">
      <c r="A790" s="2" t="s">
        <v>71</v>
      </c>
      <c r="D790" s="3">
        <f>CORREL($B$2:$B$28,D758:D784)</f>
        <v>0.21093987827553781</v>
      </c>
      <c r="E790" s="3">
        <f t="shared" ref="E790:W790" si="552">CORREL($B$2:$B$28,E758:E784)</f>
        <v>0.20730393297779248</v>
      </c>
      <c r="F790" s="3">
        <f t="shared" si="552"/>
        <v>6.8152684341371852E-2</v>
      </c>
      <c r="G790" s="3">
        <f t="shared" si="552"/>
        <v>-0.15109428157763699</v>
      </c>
      <c r="H790" s="3">
        <f t="shared" si="552"/>
        <v>-0.13668705458300698</v>
      </c>
      <c r="I790" s="3">
        <f t="shared" si="552"/>
        <v>-4.3510229985657872E-2</v>
      </c>
      <c r="J790" s="3">
        <f t="shared" si="552"/>
        <v>-0.38797544976932047</v>
      </c>
      <c r="K790" s="3">
        <f t="shared" si="552"/>
        <v>-0.23361207487763175</v>
      </c>
      <c r="L790" s="3">
        <f t="shared" si="552"/>
        <v>-0.26905936207539</v>
      </c>
      <c r="M790" s="3">
        <f t="shared" si="552"/>
        <v>-0.13694719794600937</v>
      </c>
      <c r="N790" s="3">
        <f t="shared" si="552"/>
        <v>-0.40064623073329947</v>
      </c>
      <c r="O790" s="3">
        <f t="shared" si="552"/>
        <v>-0.31718067345370332</v>
      </c>
      <c r="P790" s="3">
        <f t="shared" si="552"/>
        <v>-0.24799852130827466</v>
      </c>
      <c r="Q790" s="3">
        <f t="shared" si="552"/>
        <v>-0.22108893672411306</v>
      </c>
      <c r="R790" s="3">
        <f t="shared" si="552"/>
        <v>4.9671496443884199E-3</v>
      </c>
      <c r="S790" s="3">
        <f t="shared" si="552"/>
        <v>-8.3557190091237913E-3</v>
      </c>
      <c r="T790" s="3">
        <f t="shared" si="552"/>
        <v>-0.17303800968099925</v>
      </c>
      <c r="U790" s="3">
        <f t="shared" si="552"/>
        <v>-6.851742077025047E-2</v>
      </c>
      <c r="V790" s="3">
        <f t="shared" si="552"/>
        <v>-0.35403159736893686</v>
      </c>
      <c r="W790" s="3">
        <f t="shared" si="552"/>
        <v>-5.9711277772555464E-2</v>
      </c>
    </row>
    <row r="793" spans="1:26" x14ac:dyDescent="0.25">
      <c r="D793" t="s">
        <v>250</v>
      </c>
      <c r="E793" t="s">
        <v>251</v>
      </c>
      <c r="F793" t="s">
        <v>252</v>
      </c>
      <c r="G793" t="s">
        <v>253</v>
      </c>
      <c r="H793" t="s">
        <v>254</v>
      </c>
      <c r="I793" t="s">
        <v>255</v>
      </c>
      <c r="J793" t="s">
        <v>256</v>
      </c>
      <c r="K793" t="s">
        <v>257</v>
      </c>
      <c r="L793" t="s">
        <v>337</v>
      </c>
      <c r="M793" t="s">
        <v>409</v>
      </c>
      <c r="N793" t="s">
        <v>410</v>
      </c>
      <c r="O793" t="s">
        <v>411</v>
      </c>
      <c r="P793" t="s">
        <v>522</v>
      </c>
      <c r="Q793" t="s">
        <v>523</v>
      </c>
      <c r="R793" t="s">
        <v>524</v>
      </c>
      <c r="S793" t="s">
        <v>525</v>
      </c>
      <c r="T793" t="s">
        <v>634</v>
      </c>
      <c r="U793" t="s">
        <v>635</v>
      </c>
      <c r="V793" t="s">
        <v>636</v>
      </c>
      <c r="W793" t="s">
        <v>637</v>
      </c>
      <c r="Y793" t="s">
        <v>258</v>
      </c>
      <c r="Z793" t="s">
        <v>259</v>
      </c>
    </row>
    <row r="794" spans="1:26" x14ac:dyDescent="0.25">
      <c r="A794" t="s">
        <v>43</v>
      </c>
      <c r="D794">
        <f t="shared" ref="D794:W794" si="553">D110*D146</f>
        <v>1199.7523271768459</v>
      </c>
      <c r="E794">
        <f t="shared" si="553"/>
        <v>1217.8276870025336</v>
      </c>
      <c r="F794">
        <f t="shared" si="553"/>
        <v>958.19690755261638</v>
      </c>
      <c r="G794">
        <f t="shared" si="553"/>
        <v>1815.8959763939126</v>
      </c>
      <c r="H794">
        <f t="shared" si="553"/>
        <v>1442.5936946911527</v>
      </c>
      <c r="I794">
        <f t="shared" si="553"/>
        <v>1405.3790548475497</v>
      </c>
      <c r="J794">
        <f t="shared" si="553"/>
        <v>2670.663010177303</v>
      </c>
      <c r="K794">
        <f t="shared" si="553"/>
        <v>1674.2044759491846</v>
      </c>
      <c r="L794">
        <f t="shared" si="553"/>
        <v>2006.5850115740645</v>
      </c>
      <c r="M794">
        <f t="shared" si="553"/>
        <v>805.01777272608376</v>
      </c>
      <c r="N794">
        <f t="shared" si="553"/>
        <v>908.6188104594562</v>
      </c>
      <c r="O794">
        <f t="shared" si="553"/>
        <v>1861.7164627486702</v>
      </c>
      <c r="P794">
        <f t="shared" si="553"/>
        <v>1460.5691512731553</v>
      </c>
      <c r="Q794">
        <f t="shared" si="553"/>
        <v>1655.4847251461956</v>
      </c>
      <c r="R794">
        <f t="shared" si="553"/>
        <v>1512.1756617260207</v>
      </c>
      <c r="S794">
        <f t="shared" si="553"/>
        <v>1329.5937931050842</v>
      </c>
      <c r="T794">
        <f t="shared" si="553"/>
        <v>799.47605788757778</v>
      </c>
      <c r="U794">
        <f t="shared" si="553"/>
        <v>463.67842591698655</v>
      </c>
      <c r="V794">
        <f t="shared" si="553"/>
        <v>2117.0890370947627</v>
      </c>
      <c r="W794">
        <f t="shared" si="553"/>
        <v>755.46727455535927</v>
      </c>
      <c r="Y794" s="6">
        <f t="shared" ref="Y794:Y824" si="554">SUM(D794:W794)</f>
        <v>28059.985318004514</v>
      </c>
      <c r="Z794">
        <f t="shared" ref="Z794:Z820" si="555">SUMPRODUCT($D$826:$W$826,D794:W794)</f>
        <v>-214.99858495525959</v>
      </c>
    </row>
    <row r="795" spans="1:26" x14ac:dyDescent="0.25">
      <c r="A795" t="s">
        <v>44</v>
      </c>
      <c r="D795">
        <f t="shared" ref="D795:W795" si="556">D111*D147</f>
        <v>700.03177863050166</v>
      </c>
      <c r="E795">
        <f t="shared" si="556"/>
        <v>744.72071893417217</v>
      </c>
      <c r="F795">
        <f t="shared" si="556"/>
        <v>2313.530376103779</v>
      </c>
      <c r="G795">
        <f t="shared" si="556"/>
        <v>1053.7486231075898</v>
      </c>
      <c r="H795">
        <f t="shared" si="556"/>
        <v>1192.3421950962136</v>
      </c>
      <c r="I795">
        <f t="shared" si="556"/>
        <v>964.56977947221924</v>
      </c>
      <c r="J795">
        <f t="shared" si="556"/>
        <v>1323.5499732475216</v>
      </c>
      <c r="K795">
        <f t="shared" si="556"/>
        <v>802.95695087538218</v>
      </c>
      <c r="L795">
        <f t="shared" si="556"/>
        <v>1127.9514930085593</v>
      </c>
      <c r="M795">
        <f t="shared" si="556"/>
        <v>1503.8775248823476</v>
      </c>
      <c r="N795">
        <f t="shared" si="556"/>
        <v>3462.7537087762994</v>
      </c>
      <c r="O795">
        <f t="shared" si="556"/>
        <v>1757.3764769681529</v>
      </c>
      <c r="P795">
        <f t="shared" si="556"/>
        <v>874.47600313500277</v>
      </c>
      <c r="Q795">
        <f t="shared" si="556"/>
        <v>922.98292378295798</v>
      </c>
      <c r="R795">
        <f t="shared" si="556"/>
        <v>1257.9002949516239</v>
      </c>
      <c r="S795">
        <f t="shared" si="556"/>
        <v>1265.4405824272387</v>
      </c>
      <c r="T795">
        <f t="shared" si="556"/>
        <v>1416.0300064802771</v>
      </c>
      <c r="U795">
        <f t="shared" si="556"/>
        <v>953.51563115862905</v>
      </c>
      <c r="V795">
        <f t="shared" si="556"/>
        <v>1430.9306264395884</v>
      </c>
      <c r="W795">
        <f t="shared" si="556"/>
        <v>1877.5365527178858</v>
      </c>
      <c r="Y795" s="6">
        <f t="shared" si="554"/>
        <v>26946.222220195945</v>
      </c>
      <c r="Z795">
        <f t="shared" si="555"/>
        <v>-726.39150807249791</v>
      </c>
    </row>
    <row r="796" spans="1:26" x14ac:dyDescent="0.25">
      <c r="A796" t="s">
        <v>45</v>
      </c>
      <c r="D796">
        <f t="shared" ref="D796:W796" si="557">D112*D148</f>
        <v>1122.7107208687646</v>
      </c>
      <c r="E796">
        <f t="shared" si="557"/>
        <v>351.35967952711871</v>
      </c>
      <c r="F796">
        <f t="shared" si="557"/>
        <v>424.89714054772838</v>
      </c>
      <c r="G796">
        <f t="shared" si="557"/>
        <v>1578.2314112897868</v>
      </c>
      <c r="H796">
        <f t="shared" si="557"/>
        <v>1974.68310702178</v>
      </c>
      <c r="I796">
        <f t="shared" si="557"/>
        <v>1258.9919359696266</v>
      </c>
      <c r="J796">
        <f t="shared" si="557"/>
        <v>3028.0681416298416</v>
      </c>
      <c r="K796">
        <f t="shared" si="557"/>
        <v>1348.3985260627674</v>
      </c>
      <c r="L796">
        <f t="shared" si="557"/>
        <v>1514.0345306271399</v>
      </c>
      <c r="M796">
        <f t="shared" si="557"/>
        <v>1398.3541690627997</v>
      </c>
      <c r="N796">
        <f t="shared" si="557"/>
        <v>1826.933146673603</v>
      </c>
      <c r="O796">
        <f t="shared" si="557"/>
        <v>1371.0270069524879</v>
      </c>
      <c r="P796">
        <f t="shared" si="557"/>
        <v>644.79679669859956</v>
      </c>
      <c r="Q796">
        <f t="shared" si="557"/>
        <v>591.4168385780149</v>
      </c>
      <c r="R796">
        <f t="shared" si="557"/>
        <v>1561.2554454584904</v>
      </c>
      <c r="S796">
        <f t="shared" si="557"/>
        <v>1454.1713006689079</v>
      </c>
      <c r="T796">
        <f t="shared" si="557"/>
        <v>1936.5036743584324</v>
      </c>
      <c r="U796">
        <f t="shared" si="557"/>
        <v>1883.3327857970276</v>
      </c>
      <c r="V796">
        <f t="shared" si="557"/>
        <v>1689.4247300731383</v>
      </c>
      <c r="W796">
        <f t="shared" si="557"/>
        <v>1953.5223538218356</v>
      </c>
      <c r="Y796" s="6">
        <f t="shared" si="554"/>
        <v>28912.113441687889</v>
      </c>
      <c r="Z796">
        <f t="shared" si="555"/>
        <v>-864.64180638794994</v>
      </c>
    </row>
    <row r="797" spans="1:26" x14ac:dyDescent="0.25">
      <c r="A797" t="s">
        <v>46</v>
      </c>
      <c r="D797">
        <f t="shared" ref="D797:W797" si="558">D113*D149</f>
        <v>1019.0292417166302</v>
      </c>
      <c r="E797">
        <f t="shared" si="558"/>
        <v>779.19601080933057</v>
      </c>
      <c r="F797">
        <f t="shared" si="558"/>
        <v>1043.935541023267</v>
      </c>
      <c r="G797">
        <f t="shared" si="558"/>
        <v>1202.2342755236552</v>
      </c>
      <c r="H797">
        <f t="shared" si="558"/>
        <v>1205.4484348520582</v>
      </c>
      <c r="I797">
        <f t="shared" si="558"/>
        <v>1232.4966608700745</v>
      </c>
      <c r="J797">
        <f t="shared" si="558"/>
        <v>1384.9275941615961</v>
      </c>
      <c r="K797">
        <f t="shared" si="558"/>
        <v>2331.1568442221637</v>
      </c>
      <c r="L797">
        <f t="shared" si="558"/>
        <v>3062.681158854873</v>
      </c>
      <c r="M797">
        <f t="shared" si="558"/>
        <v>2546.2516187447918</v>
      </c>
      <c r="N797">
        <f t="shared" si="558"/>
        <v>1520.4164770984462</v>
      </c>
      <c r="O797">
        <f t="shared" si="558"/>
        <v>2120.7792442966329</v>
      </c>
      <c r="P797">
        <f t="shared" si="558"/>
        <v>1167.8612741226818</v>
      </c>
      <c r="Q797">
        <f t="shared" si="558"/>
        <v>1510.2939401406131</v>
      </c>
      <c r="R797">
        <f t="shared" si="558"/>
        <v>916.90713373956976</v>
      </c>
      <c r="S797">
        <f t="shared" si="558"/>
        <v>2606.3266800679307</v>
      </c>
      <c r="T797">
        <f t="shared" si="558"/>
        <v>977.89088156443268</v>
      </c>
      <c r="U797">
        <f t="shared" si="558"/>
        <v>852.04460133818839</v>
      </c>
      <c r="V797">
        <f t="shared" si="558"/>
        <v>678.71197579765942</v>
      </c>
      <c r="W797">
        <f t="shared" si="558"/>
        <v>948.72731800725489</v>
      </c>
      <c r="Y797" s="6">
        <f t="shared" si="554"/>
        <v>29107.316906951852</v>
      </c>
      <c r="Z797">
        <f t="shared" si="555"/>
        <v>-254.51890451808697</v>
      </c>
    </row>
    <row r="798" spans="1:26" x14ac:dyDescent="0.25">
      <c r="A798" t="s">
        <v>47</v>
      </c>
      <c r="D798">
        <f t="shared" ref="D798:W798" si="559">D114*D150</f>
        <v>1636.4491380649565</v>
      </c>
      <c r="E798">
        <f t="shared" si="559"/>
        <v>1730.9289074525573</v>
      </c>
      <c r="F798">
        <f t="shared" si="559"/>
        <v>1257.9151189353308</v>
      </c>
      <c r="G798">
        <f t="shared" si="559"/>
        <v>2610.3871248256751</v>
      </c>
      <c r="H798">
        <f t="shared" si="559"/>
        <v>1511.7216704843838</v>
      </c>
      <c r="I798">
        <f t="shared" si="559"/>
        <v>1681.9721812220284</v>
      </c>
      <c r="J798">
        <f t="shared" si="559"/>
        <v>1958.4602202199599</v>
      </c>
      <c r="K798">
        <f t="shared" si="559"/>
        <v>2512.1390809774834</v>
      </c>
      <c r="L798">
        <f t="shared" si="559"/>
        <v>2112.5771012610999</v>
      </c>
      <c r="M798">
        <f t="shared" si="559"/>
        <v>2132.294383150248</v>
      </c>
      <c r="N798">
        <f t="shared" si="559"/>
        <v>2049.5900046915203</v>
      </c>
      <c r="O798">
        <f t="shared" si="559"/>
        <v>1941.9495722308814</v>
      </c>
      <c r="P798">
        <f t="shared" si="559"/>
        <v>2358.4443877547619</v>
      </c>
      <c r="Q798">
        <f t="shared" si="559"/>
        <v>1372.0381052636633</v>
      </c>
      <c r="R798">
        <f t="shared" si="559"/>
        <v>2168.3355052990059</v>
      </c>
      <c r="S798">
        <f t="shared" si="559"/>
        <v>2717.8972937108379</v>
      </c>
      <c r="T798">
        <f t="shared" si="559"/>
        <v>1807.1704551030875</v>
      </c>
      <c r="U798">
        <f t="shared" si="559"/>
        <v>2006.0320526749822</v>
      </c>
      <c r="V798">
        <f t="shared" si="559"/>
        <v>1830.0537103548836</v>
      </c>
      <c r="W798">
        <f t="shared" si="559"/>
        <v>1947.2601910988781</v>
      </c>
      <c r="Y798" s="6">
        <f t="shared" si="554"/>
        <v>39343.616204776234</v>
      </c>
      <c r="Z798">
        <f t="shared" si="555"/>
        <v>-80.434480754043619</v>
      </c>
    </row>
    <row r="799" spans="1:26" x14ac:dyDescent="0.25">
      <c r="A799" t="s">
        <v>48</v>
      </c>
      <c r="D799">
        <f t="shared" ref="D799:W799" si="560">D115*D151</f>
        <v>2564.5611558248802</v>
      </c>
      <c r="E799">
        <f t="shared" si="560"/>
        <v>3348.0645962356234</v>
      </c>
      <c r="F799">
        <f t="shared" si="560"/>
        <v>3746.4075975246728</v>
      </c>
      <c r="G799">
        <f t="shared" si="560"/>
        <v>4711.3029852799191</v>
      </c>
      <c r="H799">
        <f t="shared" si="560"/>
        <v>4903.2348958405628</v>
      </c>
      <c r="I799">
        <f t="shared" si="560"/>
        <v>4415.5628672298835</v>
      </c>
      <c r="J799">
        <f t="shared" si="560"/>
        <v>6313.2429874705958</v>
      </c>
      <c r="K799">
        <f t="shared" si="560"/>
        <v>6000.7466371800847</v>
      </c>
      <c r="L799">
        <f t="shared" si="560"/>
        <v>3646.3243827955903</v>
      </c>
      <c r="M799">
        <f t="shared" si="560"/>
        <v>2273.4168579066777</v>
      </c>
      <c r="N799">
        <f t="shared" si="560"/>
        <v>2528.2834402420094</v>
      </c>
      <c r="O799">
        <f t="shared" si="560"/>
        <v>1609.2984281881888</v>
      </c>
      <c r="P799">
        <f t="shared" si="560"/>
        <v>2459.1823437278053</v>
      </c>
      <c r="Q799">
        <f t="shared" si="560"/>
        <v>3068.8985507336101</v>
      </c>
      <c r="R799">
        <f t="shared" si="560"/>
        <v>1851.8436203996935</v>
      </c>
      <c r="S799">
        <f t="shared" si="560"/>
        <v>756.38574303486826</v>
      </c>
      <c r="T799">
        <f t="shared" si="560"/>
        <v>916.94174867411641</v>
      </c>
      <c r="U799">
        <f t="shared" si="560"/>
        <v>1125.7485965972719</v>
      </c>
      <c r="V799">
        <f t="shared" si="560"/>
        <v>1094.6796950156149</v>
      </c>
      <c r="W799">
        <f t="shared" si="560"/>
        <v>1084.6414383877052</v>
      </c>
      <c r="Y799" s="6">
        <f t="shared" si="554"/>
        <v>58418.768568289364</v>
      </c>
      <c r="Z799">
        <f t="shared" si="555"/>
        <v>1072.8794710800378</v>
      </c>
    </row>
    <row r="800" spans="1:26" x14ac:dyDescent="0.25">
      <c r="A800" t="s">
        <v>49</v>
      </c>
      <c r="D800">
        <f t="shared" ref="D800:W800" si="561">D116*D152</f>
        <v>856.66221067477284</v>
      </c>
      <c r="E800">
        <f t="shared" si="561"/>
        <v>1636.4327052179083</v>
      </c>
      <c r="F800">
        <f t="shared" si="561"/>
        <v>2106.0950875860808</v>
      </c>
      <c r="G800">
        <f t="shared" si="561"/>
        <v>1884.2231094067361</v>
      </c>
      <c r="H800">
        <f t="shared" si="561"/>
        <v>1480.9608000467842</v>
      </c>
      <c r="I800">
        <f t="shared" si="561"/>
        <v>1736.8766772242602</v>
      </c>
      <c r="J800">
        <f t="shared" si="561"/>
        <v>1800.0578058848462</v>
      </c>
      <c r="K800">
        <f t="shared" si="561"/>
        <v>2399.6019720127629</v>
      </c>
      <c r="L800">
        <f t="shared" si="561"/>
        <v>2148.7050541669751</v>
      </c>
      <c r="M800">
        <f t="shared" si="561"/>
        <v>1954.4922596066433</v>
      </c>
      <c r="N800">
        <f t="shared" si="561"/>
        <v>2404.503666165303</v>
      </c>
      <c r="O800">
        <f t="shared" si="561"/>
        <v>1820.6279652683161</v>
      </c>
      <c r="P800">
        <f t="shared" si="561"/>
        <v>2972.9518642969701</v>
      </c>
      <c r="Q800">
        <f t="shared" si="561"/>
        <v>5373.2873543365804</v>
      </c>
      <c r="R800">
        <f t="shared" si="561"/>
        <v>3948.2772881258134</v>
      </c>
      <c r="S800">
        <f t="shared" si="561"/>
        <v>2563.0542466036636</v>
      </c>
      <c r="T800">
        <f t="shared" si="561"/>
        <v>1425.2892865509702</v>
      </c>
      <c r="U800">
        <f t="shared" si="561"/>
        <v>1730.0587521456325</v>
      </c>
      <c r="V800">
        <f t="shared" si="561"/>
        <v>2074.5367316825127</v>
      </c>
      <c r="W800">
        <f t="shared" si="561"/>
        <v>1041.6758519984135</v>
      </c>
      <c r="Y800" s="6">
        <f t="shared" si="554"/>
        <v>43358.370689001946</v>
      </c>
      <c r="Z800">
        <f t="shared" si="555"/>
        <v>-783.40273192641007</v>
      </c>
    </row>
    <row r="801" spans="1:26" x14ac:dyDescent="0.25">
      <c r="A801" t="s">
        <v>50</v>
      </c>
      <c r="D801">
        <f t="shared" ref="D801:W801" si="562">D117*D153</f>
        <v>1455.8608563950631</v>
      </c>
      <c r="E801">
        <f t="shared" si="562"/>
        <v>1477.152382466154</v>
      </c>
      <c r="F801">
        <f t="shared" si="562"/>
        <v>-19.682650533316867</v>
      </c>
      <c r="G801">
        <f t="shared" si="562"/>
        <v>2680.6633571490274</v>
      </c>
      <c r="H801">
        <f t="shared" si="562"/>
        <v>2855.4936110306689</v>
      </c>
      <c r="I801">
        <f t="shared" si="562"/>
        <v>2452.3961595836822</v>
      </c>
      <c r="J801">
        <f t="shared" si="562"/>
        <v>2271.3315525434027</v>
      </c>
      <c r="K801">
        <f t="shared" si="562"/>
        <v>1862.6828004861661</v>
      </c>
      <c r="L801">
        <f t="shared" si="562"/>
        <v>2642.1582507750504</v>
      </c>
      <c r="M801">
        <f t="shared" si="562"/>
        <v>5517.0566250138527</v>
      </c>
      <c r="N801">
        <f t="shared" si="562"/>
        <v>8029.2296840649542</v>
      </c>
      <c r="O801">
        <f t="shared" si="562"/>
        <v>9040.4135815059544</v>
      </c>
      <c r="P801">
        <f t="shared" si="562"/>
        <v>9091.9688268642858</v>
      </c>
      <c r="Q801">
        <f t="shared" si="562"/>
        <v>9001.7620026428904</v>
      </c>
      <c r="R801">
        <f t="shared" si="562"/>
        <v>646.01972946798719</v>
      </c>
      <c r="S801">
        <f t="shared" si="562"/>
        <v>611.73721912307064</v>
      </c>
      <c r="T801">
        <f t="shared" si="562"/>
        <v>3089.3884423541836</v>
      </c>
      <c r="U801">
        <f t="shared" si="562"/>
        <v>2465.7592669101505</v>
      </c>
      <c r="V801">
        <f t="shared" si="562"/>
        <v>2085.4111660384974</v>
      </c>
      <c r="W801">
        <f t="shared" si="562"/>
        <v>1056.9835206368357</v>
      </c>
      <c r="Y801" s="6">
        <f t="shared" si="554"/>
        <v>68313.786384518549</v>
      </c>
      <c r="Z801">
        <f t="shared" si="555"/>
        <v>-5155.7377579886652</v>
      </c>
    </row>
    <row r="802" spans="1:26" x14ac:dyDescent="0.25">
      <c r="A802" t="s">
        <v>51</v>
      </c>
      <c r="D802">
        <f t="shared" ref="D802:W802" si="563">D118*D154</f>
        <v>1603.0510470707677</v>
      </c>
      <c r="E802">
        <f t="shared" si="563"/>
        <v>4054.5095509373405</v>
      </c>
      <c r="F802">
        <f t="shared" si="563"/>
        <v>9070.1244190386024</v>
      </c>
      <c r="G802">
        <f t="shared" si="563"/>
        <v>3281.222394163407</v>
      </c>
      <c r="H802">
        <f t="shared" si="563"/>
        <v>3174.270309872973</v>
      </c>
      <c r="I802">
        <f t="shared" si="563"/>
        <v>2051.1907287372092</v>
      </c>
      <c r="J802">
        <f t="shared" si="563"/>
        <v>6091.9288620719708</v>
      </c>
      <c r="K802">
        <f t="shared" si="563"/>
        <v>5449.7487925385021</v>
      </c>
      <c r="L802">
        <f t="shared" si="563"/>
        <v>8221.8416246156376</v>
      </c>
      <c r="M802">
        <f t="shared" si="563"/>
        <v>7558.6247883014266</v>
      </c>
      <c r="N802">
        <f t="shared" si="563"/>
        <v>8316.2687947452541</v>
      </c>
      <c r="O802">
        <f t="shared" si="563"/>
        <v>6210.7045095328467</v>
      </c>
      <c r="P802">
        <f t="shared" si="563"/>
        <v>6862.793743696403</v>
      </c>
      <c r="Q802">
        <f t="shared" si="563"/>
        <v>5803.5714145376487</v>
      </c>
      <c r="R802">
        <f t="shared" si="563"/>
        <v>6852.3312392124335</v>
      </c>
      <c r="S802">
        <f t="shared" si="563"/>
        <v>6140.4656356089617</v>
      </c>
      <c r="T802">
        <f t="shared" si="563"/>
        <v>5584.0980469419137</v>
      </c>
      <c r="U802">
        <f t="shared" si="563"/>
        <v>3539.9832728702081</v>
      </c>
      <c r="V802">
        <f t="shared" si="563"/>
        <v>3817.4016384991578</v>
      </c>
      <c r="W802">
        <f t="shared" si="563"/>
        <v>2123.2232138353743</v>
      </c>
      <c r="Y802" s="6">
        <f t="shared" si="554"/>
        <v>105807.35402682803</v>
      </c>
      <c r="Z802">
        <f t="shared" si="555"/>
        <v>-3768.7697316123076</v>
      </c>
    </row>
    <row r="803" spans="1:26" x14ac:dyDescent="0.25">
      <c r="A803" t="s">
        <v>52</v>
      </c>
      <c r="D803">
        <f t="shared" ref="D803:W803" si="564">D119*D155</f>
        <v>1683.760712244808</v>
      </c>
      <c r="E803">
        <f t="shared" si="564"/>
        <v>1972.7970366795028</v>
      </c>
      <c r="F803">
        <f t="shared" si="564"/>
        <v>2153.9648932382202</v>
      </c>
      <c r="G803">
        <f t="shared" si="564"/>
        <v>1875.7572051572429</v>
      </c>
      <c r="H803">
        <f t="shared" si="564"/>
        <v>2479.7336791169337</v>
      </c>
      <c r="I803">
        <f t="shared" si="564"/>
        <v>3408.2841252330281</v>
      </c>
      <c r="J803">
        <f t="shared" si="564"/>
        <v>1437.3312383207774</v>
      </c>
      <c r="K803">
        <f t="shared" si="564"/>
        <v>1769.1100937506194</v>
      </c>
      <c r="L803">
        <f t="shared" si="564"/>
        <v>2377.7706249499547</v>
      </c>
      <c r="M803">
        <f t="shared" si="564"/>
        <v>2180.3808282333584</v>
      </c>
      <c r="N803">
        <f t="shared" si="564"/>
        <v>2702.2857246147701</v>
      </c>
      <c r="O803">
        <f t="shared" si="564"/>
        <v>2390.6869007356509</v>
      </c>
      <c r="P803">
        <f t="shared" si="564"/>
        <v>2202.4504282998628</v>
      </c>
      <c r="Q803">
        <f t="shared" si="564"/>
        <v>1740.4336080128348</v>
      </c>
      <c r="R803">
        <f t="shared" si="564"/>
        <v>1830.6036685060137</v>
      </c>
      <c r="S803">
        <f t="shared" si="564"/>
        <v>2410.0374333024597</v>
      </c>
      <c r="T803">
        <f t="shared" si="564"/>
        <v>1221.7169434862253</v>
      </c>
      <c r="U803">
        <f t="shared" si="564"/>
        <v>1221.0241439084355</v>
      </c>
      <c r="V803">
        <f t="shared" si="564"/>
        <v>1181.5228300758099</v>
      </c>
      <c r="W803">
        <f t="shared" si="564"/>
        <v>1101.2714125204805</v>
      </c>
      <c r="Y803" s="6">
        <f t="shared" si="554"/>
        <v>39340.923530386986</v>
      </c>
      <c r="Z803">
        <f t="shared" si="555"/>
        <v>813.46569869294513</v>
      </c>
    </row>
    <row r="804" spans="1:26" x14ac:dyDescent="0.25">
      <c r="A804" t="s">
        <v>53</v>
      </c>
      <c r="D804">
        <f t="shared" ref="D804:W804" si="565">D120*D156</f>
        <v>1147.5178250290419</v>
      </c>
      <c r="E804">
        <f t="shared" si="565"/>
        <v>1363.2114433064341</v>
      </c>
      <c r="F804">
        <f t="shared" si="565"/>
        <v>1360.5873736263211</v>
      </c>
      <c r="G804">
        <f t="shared" si="565"/>
        <v>1632.0220180903027</v>
      </c>
      <c r="H804">
        <f t="shared" si="565"/>
        <v>1361.3129522568529</v>
      </c>
      <c r="I804">
        <f t="shared" si="565"/>
        <v>1347.9247947092372</v>
      </c>
      <c r="J804">
        <f t="shared" si="565"/>
        <v>2428.2937664564629</v>
      </c>
      <c r="K804">
        <f t="shared" si="565"/>
        <v>2740.777212102314</v>
      </c>
      <c r="L804">
        <f t="shared" si="565"/>
        <v>2790.5209163439927</v>
      </c>
      <c r="M804">
        <f t="shared" si="565"/>
        <v>2699.5530882607354</v>
      </c>
      <c r="N804">
        <f t="shared" si="565"/>
        <v>1972.2529250593211</v>
      </c>
      <c r="O804">
        <f t="shared" si="565"/>
        <v>2271.1734163753881</v>
      </c>
      <c r="P804">
        <f t="shared" si="565"/>
        <v>1828.3349011252296</v>
      </c>
      <c r="Q804">
        <f t="shared" si="565"/>
        <v>863.93058142413076</v>
      </c>
      <c r="R804">
        <f t="shared" si="565"/>
        <v>1473.7698145246793</v>
      </c>
      <c r="S804">
        <f t="shared" si="565"/>
        <v>1359.0505994414732</v>
      </c>
      <c r="T804">
        <f t="shared" si="565"/>
        <v>2002.940069578824</v>
      </c>
      <c r="U804">
        <f t="shared" si="565"/>
        <v>1326.8105427177302</v>
      </c>
      <c r="V804">
        <f t="shared" si="565"/>
        <v>941.55104914596745</v>
      </c>
      <c r="W804">
        <f t="shared" si="565"/>
        <v>831.25401085717942</v>
      </c>
      <c r="Y804" s="6">
        <f t="shared" si="554"/>
        <v>33742.789300431614</v>
      </c>
      <c r="Z804">
        <f t="shared" si="555"/>
        <v>-877.77251418328308</v>
      </c>
    </row>
    <row r="805" spans="1:26" x14ac:dyDescent="0.25">
      <c r="A805" t="s">
        <v>54</v>
      </c>
      <c r="D805">
        <f t="shared" ref="D805:W805" si="566">D121*D157</f>
        <v>1784.7099634862454</v>
      </c>
      <c r="E805">
        <f t="shared" si="566"/>
        <v>2434.2981680445264</v>
      </c>
      <c r="F805">
        <f t="shared" si="566"/>
        <v>1848.5067295593469</v>
      </c>
      <c r="G805">
        <f t="shared" si="566"/>
        <v>1444.7927265274261</v>
      </c>
      <c r="H805">
        <f t="shared" si="566"/>
        <v>1137.1081044055384</v>
      </c>
      <c r="I805">
        <f t="shared" si="566"/>
        <v>1501.2301416826547</v>
      </c>
      <c r="J805">
        <f t="shared" si="566"/>
        <v>882.22726554082794</v>
      </c>
      <c r="K805">
        <f t="shared" si="566"/>
        <v>1150.4000167003628</v>
      </c>
      <c r="L805">
        <f t="shared" si="566"/>
        <v>1982.6248176654237</v>
      </c>
      <c r="M805">
        <f t="shared" si="566"/>
        <v>2455.2208686389154</v>
      </c>
      <c r="N805">
        <f t="shared" si="566"/>
        <v>2888.1677886669918</v>
      </c>
      <c r="O805">
        <f t="shared" si="566"/>
        <v>3394.7371252100879</v>
      </c>
      <c r="P805">
        <f t="shared" si="566"/>
        <v>3034.1762081718939</v>
      </c>
      <c r="Q805">
        <f t="shared" si="566"/>
        <v>2608.1001102247078</v>
      </c>
      <c r="R805">
        <f t="shared" si="566"/>
        <v>833.00807955163998</v>
      </c>
      <c r="S805">
        <f t="shared" si="566"/>
        <v>1261.1115837489517</v>
      </c>
      <c r="T805">
        <f t="shared" si="566"/>
        <v>1020.288383625752</v>
      </c>
      <c r="U805">
        <f t="shared" si="566"/>
        <v>1119.7164491310452</v>
      </c>
      <c r="V805">
        <f t="shared" si="566"/>
        <v>736.48165338941214</v>
      </c>
      <c r="W805">
        <f t="shared" si="566"/>
        <v>1499.9580081190559</v>
      </c>
      <c r="Y805" s="6">
        <f t="shared" si="554"/>
        <v>35016.864192090812</v>
      </c>
      <c r="Z805">
        <f t="shared" si="555"/>
        <v>-369.89316191679893</v>
      </c>
    </row>
    <row r="806" spans="1:26" x14ac:dyDescent="0.25">
      <c r="A806" t="s">
        <v>55</v>
      </c>
      <c r="D806">
        <f t="shared" ref="D806:W806" si="567">D122*D158</f>
        <v>2869.9923225481098</v>
      </c>
      <c r="E806">
        <f t="shared" si="567"/>
        <v>2677.0697245610777</v>
      </c>
      <c r="F806">
        <f t="shared" si="567"/>
        <v>1740.391769255767</v>
      </c>
      <c r="G806">
        <f t="shared" si="567"/>
        <v>2824.7954057487636</v>
      </c>
      <c r="H806">
        <f t="shared" si="567"/>
        <v>2198.4626517008874</v>
      </c>
      <c r="I806">
        <f t="shared" si="567"/>
        <v>3187.1222163248126</v>
      </c>
      <c r="J806">
        <f t="shared" si="567"/>
        <v>2206.645836717606</v>
      </c>
      <c r="K806">
        <f t="shared" si="567"/>
        <v>2127.9895339687937</v>
      </c>
      <c r="L806">
        <f t="shared" si="567"/>
        <v>2172.4255712823001</v>
      </c>
      <c r="M806">
        <f t="shared" si="567"/>
        <v>2257.3451796080035</v>
      </c>
      <c r="N806">
        <f t="shared" si="567"/>
        <v>2111.3694299084486</v>
      </c>
      <c r="O806">
        <f t="shared" si="567"/>
        <v>1022.2975745375733</v>
      </c>
      <c r="P806">
        <f t="shared" si="567"/>
        <v>1416.574533199602</v>
      </c>
      <c r="Q806">
        <f t="shared" si="567"/>
        <v>2567.6713347989148</v>
      </c>
      <c r="R806">
        <f t="shared" si="567"/>
        <v>1240.4257159479982</v>
      </c>
      <c r="S806">
        <f t="shared" si="567"/>
        <v>2193.340311099741</v>
      </c>
      <c r="T806">
        <f t="shared" si="567"/>
        <v>1075.2308405620481</v>
      </c>
      <c r="U806">
        <f t="shared" si="567"/>
        <v>929.53331471385741</v>
      </c>
      <c r="V806">
        <f t="shared" si="567"/>
        <v>2139.6867648303537</v>
      </c>
      <c r="W806">
        <f t="shared" si="567"/>
        <v>1820.2546989792795</v>
      </c>
      <c r="Y806" s="6">
        <f t="shared" si="554"/>
        <v>40778.624730293937</v>
      </c>
      <c r="Z806">
        <f t="shared" si="555"/>
        <v>1463.7782916602173</v>
      </c>
    </row>
    <row r="807" spans="1:26" x14ac:dyDescent="0.25">
      <c r="A807" t="s">
        <v>56</v>
      </c>
      <c r="D807">
        <f t="shared" ref="D807:W807" si="568">D123*D159</f>
        <v>3102.9803229160902</v>
      </c>
      <c r="E807">
        <f t="shared" si="568"/>
        <v>2282.2550673186261</v>
      </c>
      <c r="F807">
        <f t="shared" si="568"/>
        <v>2586.3444022593585</v>
      </c>
      <c r="G807">
        <f t="shared" si="568"/>
        <v>2231.070014857713</v>
      </c>
      <c r="H807">
        <f t="shared" si="568"/>
        <v>1501.0269178555652</v>
      </c>
      <c r="I807">
        <f t="shared" si="568"/>
        <v>1991.1899462846307</v>
      </c>
      <c r="J807">
        <f t="shared" si="568"/>
        <v>1915.2467935586708</v>
      </c>
      <c r="K807">
        <f t="shared" si="568"/>
        <v>2987.0270307256387</v>
      </c>
      <c r="L807">
        <f t="shared" si="568"/>
        <v>1772.9268234865499</v>
      </c>
      <c r="M807">
        <f t="shared" si="568"/>
        <v>2225.6219374667771</v>
      </c>
      <c r="N807">
        <f t="shared" si="568"/>
        <v>1742.5994964112713</v>
      </c>
      <c r="O807">
        <f t="shared" si="568"/>
        <v>2430.3826277678572</v>
      </c>
      <c r="P807">
        <f t="shared" si="568"/>
        <v>2803.8574173710572</v>
      </c>
      <c r="Q807">
        <f t="shared" si="568"/>
        <v>1474.1411727082364</v>
      </c>
      <c r="R807">
        <f t="shared" si="568"/>
        <v>1278.6576223927148</v>
      </c>
      <c r="S807">
        <f t="shared" si="568"/>
        <v>890.04883808965974</v>
      </c>
      <c r="T807">
        <f t="shared" si="568"/>
        <v>664.41779076059197</v>
      </c>
      <c r="U807">
        <f t="shared" si="568"/>
        <v>508.54108652532437</v>
      </c>
      <c r="V807">
        <f t="shared" si="568"/>
        <v>2859.1851990178288</v>
      </c>
      <c r="W807">
        <f t="shared" si="568"/>
        <v>2093.5470760682097</v>
      </c>
      <c r="Y807" s="6">
        <f t="shared" si="554"/>
        <v>39341.067583842363</v>
      </c>
      <c r="Z807">
        <f t="shared" si="555"/>
        <v>498.80447194100083</v>
      </c>
    </row>
    <row r="808" spans="1:26" x14ac:dyDescent="0.25">
      <c r="A808" t="s">
        <v>57</v>
      </c>
      <c r="D808">
        <f t="shared" ref="D808:W808" si="569">D124*D160</f>
        <v>1894.1456123285727</v>
      </c>
      <c r="E808">
        <f t="shared" si="569"/>
        <v>2371.2601132929785</v>
      </c>
      <c r="F808">
        <f t="shared" si="569"/>
        <v>2033.9053805453425</v>
      </c>
      <c r="G808">
        <f t="shared" si="569"/>
        <v>2068.3434573509062</v>
      </c>
      <c r="H808">
        <f t="shared" si="569"/>
        <v>1626.4144915174907</v>
      </c>
      <c r="I808">
        <f t="shared" si="569"/>
        <v>2064.9099563532595</v>
      </c>
      <c r="J808">
        <f t="shared" si="569"/>
        <v>1758.0251562930382</v>
      </c>
      <c r="K808">
        <f t="shared" si="569"/>
        <v>2117.2118946077858</v>
      </c>
      <c r="L808">
        <f t="shared" si="569"/>
        <v>2169.5966920139945</v>
      </c>
      <c r="M808">
        <f t="shared" si="569"/>
        <v>2511.7372041442459</v>
      </c>
      <c r="N808">
        <f t="shared" si="569"/>
        <v>2798.5950093721722</v>
      </c>
      <c r="O808">
        <f t="shared" si="569"/>
        <v>1753.3827705453014</v>
      </c>
      <c r="P808">
        <f t="shared" si="569"/>
        <v>2771.7932132202759</v>
      </c>
      <c r="Q808">
        <f t="shared" si="569"/>
        <v>2931.7743259963472</v>
      </c>
      <c r="R808">
        <f t="shared" si="569"/>
        <v>2051.3175659827234</v>
      </c>
      <c r="S808">
        <f t="shared" si="569"/>
        <v>1381.4396445353691</v>
      </c>
      <c r="T808">
        <f t="shared" si="569"/>
        <v>1483.4472439463339</v>
      </c>
      <c r="U808">
        <f t="shared" si="569"/>
        <v>2227.1268748646244</v>
      </c>
      <c r="V808">
        <f t="shared" si="569"/>
        <v>987.29502035202586</v>
      </c>
      <c r="W808">
        <f t="shared" si="569"/>
        <v>1584.1884355523068</v>
      </c>
      <c r="Y808" s="6">
        <f t="shared" si="554"/>
        <v>40585.910062815099</v>
      </c>
      <c r="Z808">
        <f t="shared" si="555"/>
        <v>-186.4027844636849</v>
      </c>
    </row>
    <row r="809" spans="1:26" x14ac:dyDescent="0.25">
      <c r="A809" t="s">
        <v>58</v>
      </c>
      <c r="D809">
        <f t="shared" ref="D809:W809" si="570">D125*D161</f>
        <v>703.94555210243448</v>
      </c>
      <c r="E809">
        <f t="shared" si="570"/>
        <v>1269.0968589262225</v>
      </c>
      <c r="F809">
        <f t="shared" si="570"/>
        <v>1843.1213254803151</v>
      </c>
      <c r="G809">
        <f t="shared" si="570"/>
        <v>3896.5350237641164</v>
      </c>
      <c r="H809">
        <f t="shared" si="570"/>
        <v>1229.12812526327</v>
      </c>
      <c r="I809">
        <f t="shared" si="570"/>
        <v>824.19384924728297</v>
      </c>
      <c r="J809">
        <f t="shared" si="570"/>
        <v>1259.7941977980956</v>
      </c>
      <c r="K809">
        <f t="shared" si="570"/>
        <v>1701.0818978993805</v>
      </c>
      <c r="L809">
        <f t="shared" si="570"/>
        <v>1692.2702782537676</v>
      </c>
      <c r="M809">
        <f t="shared" si="570"/>
        <v>1890.3670388449912</v>
      </c>
      <c r="N809">
        <f t="shared" si="570"/>
        <v>1349.6862279714483</v>
      </c>
      <c r="O809">
        <f t="shared" si="570"/>
        <v>2170.1779085473368</v>
      </c>
      <c r="P809">
        <f t="shared" si="570"/>
        <v>1065.4292024912731</v>
      </c>
      <c r="Q809">
        <f t="shared" si="570"/>
        <v>834.18375558960406</v>
      </c>
      <c r="R809">
        <f t="shared" si="570"/>
        <v>1095.2073681597453</v>
      </c>
      <c r="S809">
        <f t="shared" si="570"/>
        <v>1391.5217908413533</v>
      </c>
      <c r="T809">
        <f t="shared" si="570"/>
        <v>1790.0136440610879</v>
      </c>
      <c r="U809">
        <f t="shared" si="570"/>
        <v>388.39531851311204</v>
      </c>
      <c r="V809">
        <f t="shared" si="570"/>
        <v>453.53660413687584</v>
      </c>
      <c r="W809">
        <f t="shared" si="570"/>
        <v>1216.3891984096822</v>
      </c>
      <c r="Y809" s="6">
        <f t="shared" si="554"/>
        <v>28064.075166301394</v>
      </c>
      <c r="Z809">
        <f t="shared" si="555"/>
        <v>222.80861178614785</v>
      </c>
    </row>
    <row r="810" spans="1:26" x14ac:dyDescent="0.25">
      <c r="A810" t="s">
        <v>59</v>
      </c>
      <c r="D810">
        <f t="shared" ref="D810:W810" si="571">D126*D162</f>
        <v>1523.4029598784937</v>
      </c>
      <c r="E810">
        <f t="shared" si="571"/>
        <v>932.56537169570743</v>
      </c>
      <c r="F810">
        <f t="shared" si="571"/>
        <v>982.20321108217263</v>
      </c>
      <c r="G810">
        <f t="shared" si="571"/>
        <v>1414.6679199235573</v>
      </c>
      <c r="H810">
        <f t="shared" si="571"/>
        <v>955.40820142926486</v>
      </c>
      <c r="I810">
        <f t="shared" si="571"/>
        <v>1390.7852804248498</v>
      </c>
      <c r="J810">
        <f t="shared" si="571"/>
        <v>1778.2666782352978</v>
      </c>
      <c r="K810">
        <f t="shared" si="571"/>
        <v>1318.9430646146257</v>
      </c>
      <c r="L810">
        <f t="shared" si="571"/>
        <v>926.45851332971188</v>
      </c>
      <c r="M810">
        <f t="shared" si="571"/>
        <v>1602.6470287956731</v>
      </c>
      <c r="N810">
        <f t="shared" si="571"/>
        <v>2381.8718670655303</v>
      </c>
      <c r="O810">
        <f t="shared" si="571"/>
        <v>1950.2694356586776</v>
      </c>
      <c r="P810">
        <f t="shared" si="571"/>
        <v>1688.3638493101396</v>
      </c>
      <c r="Q810">
        <f t="shared" si="571"/>
        <v>952.56200263349194</v>
      </c>
      <c r="R810">
        <f t="shared" si="571"/>
        <v>1272.6811509507934</v>
      </c>
      <c r="S810">
        <f t="shared" si="571"/>
        <v>1885.5713302152053</v>
      </c>
      <c r="T810">
        <f t="shared" si="571"/>
        <v>1259.0226156694337</v>
      </c>
      <c r="U810">
        <f t="shared" si="571"/>
        <v>1386.6210704734879</v>
      </c>
      <c r="V810">
        <f t="shared" si="571"/>
        <v>1485.1128918948714</v>
      </c>
      <c r="W810">
        <f t="shared" si="571"/>
        <v>1389.8191986993604</v>
      </c>
      <c r="Y810" s="6">
        <f t="shared" si="554"/>
        <v>28477.243641980345</v>
      </c>
      <c r="Z810">
        <f t="shared" si="555"/>
        <v>-378.35931044431032</v>
      </c>
    </row>
    <row r="811" spans="1:26" x14ac:dyDescent="0.25">
      <c r="A811" t="s">
        <v>60</v>
      </c>
      <c r="D811">
        <f t="shared" ref="D811:W811" si="572">D127*D163</f>
        <v>1011.5062106598937</v>
      </c>
      <c r="E811">
        <f t="shared" si="572"/>
        <v>870.96493892904175</v>
      </c>
      <c r="F811">
        <f t="shared" si="572"/>
        <v>1238.0786073945983</v>
      </c>
      <c r="G811">
        <f t="shared" si="572"/>
        <v>1431.3047690686126</v>
      </c>
      <c r="H811">
        <f t="shared" si="572"/>
        <v>1234.9125842355022</v>
      </c>
      <c r="I811">
        <f t="shared" si="572"/>
        <v>1130.5585423885288</v>
      </c>
      <c r="J811">
        <f t="shared" si="572"/>
        <v>1092.6398072522179</v>
      </c>
      <c r="K811">
        <f t="shared" si="572"/>
        <v>2238.4026705013298</v>
      </c>
      <c r="L811">
        <f t="shared" si="572"/>
        <v>2254.0842026034297</v>
      </c>
      <c r="M811">
        <f t="shared" si="572"/>
        <v>1864.5211093188602</v>
      </c>
      <c r="N811">
        <f t="shared" si="572"/>
        <v>1352.0623435614998</v>
      </c>
      <c r="O811">
        <f t="shared" si="572"/>
        <v>887.59983099279498</v>
      </c>
      <c r="P811">
        <f t="shared" si="572"/>
        <v>1548.7956954977446</v>
      </c>
      <c r="Q811">
        <f t="shared" si="572"/>
        <v>2389.105178871594</v>
      </c>
      <c r="R811">
        <f t="shared" si="572"/>
        <v>1210.9691388083863</v>
      </c>
      <c r="S811">
        <f t="shared" si="572"/>
        <v>1447.2390407405233</v>
      </c>
      <c r="T811">
        <f t="shared" si="572"/>
        <v>1989.1552936964538</v>
      </c>
      <c r="U811">
        <f t="shared" si="572"/>
        <v>1507.6938966430416</v>
      </c>
      <c r="V811">
        <f t="shared" si="572"/>
        <v>328.32093496605705</v>
      </c>
      <c r="W811">
        <f t="shared" si="572"/>
        <v>714.90445218779064</v>
      </c>
      <c r="Y811" s="6">
        <f t="shared" si="554"/>
        <v>27742.819248317901</v>
      </c>
      <c r="Z811">
        <f t="shared" si="555"/>
        <v>-405.52264078405472</v>
      </c>
    </row>
    <row r="812" spans="1:26" x14ac:dyDescent="0.25">
      <c r="A812" t="s">
        <v>61</v>
      </c>
      <c r="D812">
        <f t="shared" ref="D812:W812" si="573">D128*D164</f>
        <v>1873.2587770966377</v>
      </c>
      <c r="E812">
        <f t="shared" si="573"/>
        <v>2369.5086361351237</v>
      </c>
      <c r="F812">
        <f t="shared" si="573"/>
        <v>1983.3633263975973</v>
      </c>
      <c r="G812">
        <f t="shared" si="573"/>
        <v>1543.1354056589564</v>
      </c>
      <c r="H812">
        <f t="shared" si="573"/>
        <v>1872.5412928361704</v>
      </c>
      <c r="I812">
        <f t="shared" si="573"/>
        <v>1724.7705070182983</v>
      </c>
      <c r="J812">
        <f t="shared" si="573"/>
        <v>2183.9274098499213</v>
      </c>
      <c r="K812">
        <f t="shared" si="573"/>
        <v>1771.598776583784</v>
      </c>
      <c r="L812">
        <f t="shared" si="573"/>
        <v>1517.0871676948284</v>
      </c>
      <c r="M812">
        <f t="shared" si="573"/>
        <v>2214.6418452309122</v>
      </c>
      <c r="N812">
        <f t="shared" si="573"/>
        <v>2516.556718933964</v>
      </c>
      <c r="O812">
        <f t="shared" si="573"/>
        <v>3172.2990186442757</v>
      </c>
      <c r="P812">
        <f t="shared" si="573"/>
        <v>2335.1475363504942</v>
      </c>
      <c r="Q812">
        <f t="shared" si="573"/>
        <v>1202.0676903448111</v>
      </c>
      <c r="R812">
        <f t="shared" si="573"/>
        <v>1513.1480246598901</v>
      </c>
      <c r="S812">
        <f t="shared" si="573"/>
        <v>2350.692494653189</v>
      </c>
      <c r="T812">
        <f t="shared" si="573"/>
        <v>1436.6391459224903</v>
      </c>
      <c r="U812">
        <f t="shared" si="573"/>
        <v>950.94629592459773</v>
      </c>
      <c r="V812">
        <f t="shared" si="573"/>
        <v>754.33446764778864</v>
      </c>
      <c r="W812">
        <f t="shared" si="573"/>
        <v>1094.3220501581266</v>
      </c>
      <c r="Y812" s="6">
        <f t="shared" si="554"/>
        <v>36379.986587741856</v>
      </c>
      <c r="Z812">
        <f t="shared" si="555"/>
        <v>63.677656752190423</v>
      </c>
    </row>
    <row r="813" spans="1:26" x14ac:dyDescent="0.25">
      <c r="A813" t="s">
        <v>62</v>
      </c>
      <c r="D813">
        <f t="shared" ref="D813:W813" si="574">D129*D165</f>
        <v>1266.3367568693761</v>
      </c>
      <c r="E813">
        <f t="shared" si="574"/>
        <v>1289.8954226429285</v>
      </c>
      <c r="F813">
        <f t="shared" si="574"/>
        <v>1324.8337092484348</v>
      </c>
      <c r="G813">
        <f t="shared" si="574"/>
        <v>1554.5305468860929</v>
      </c>
      <c r="H813">
        <f t="shared" si="574"/>
        <v>1583.4593145121416</v>
      </c>
      <c r="I813">
        <f t="shared" si="574"/>
        <v>1807.8169703964177</v>
      </c>
      <c r="J813">
        <f t="shared" si="574"/>
        <v>1687.894868253831</v>
      </c>
      <c r="K813">
        <f t="shared" si="574"/>
        <v>1850.886419032563</v>
      </c>
      <c r="L813">
        <f t="shared" si="574"/>
        <v>2084.4726257958</v>
      </c>
      <c r="M813">
        <f t="shared" si="574"/>
        <v>1518.979581709345</v>
      </c>
      <c r="N813">
        <f t="shared" si="574"/>
        <v>1720.8179306918639</v>
      </c>
      <c r="O813">
        <f t="shared" si="574"/>
        <v>1776.8869807841195</v>
      </c>
      <c r="P813">
        <f t="shared" si="574"/>
        <v>1552.9694332192532</v>
      </c>
      <c r="Q813">
        <f t="shared" si="574"/>
        <v>1805.1545084396503</v>
      </c>
      <c r="R813">
        <f t="shared" si="574"/>
        <v>2588.210999125487</v>
      </c>
      <c r="S813">
        <f t="shared" si="574"/>
        <v>2222.4921150951013</v>
      </c>
      <c r="T813">
        <f t="shared" si="574"/>
        <v>520.51668262790508</v>
      </c>
      <c r="U813">
        <f t="shared" si="574"/>
        <v>1496.0321420599209</v>
      </c>
      <c r="V813">
        <f t="shared" si="574"/>
        <v>1498.7139104444182</v>
      </c>
      <c r="W813">
        <f t="shared" si="574"/>
        <v>1086.9429200835857</v>
      </c>
      <c r="Y813" s="6">
        <f t="shared" si="554"/>
        <v>32237.843837918233</v>
      </c>
      <c r="Z813">
        <f t="shared" si="555"/>
        <v>114.07567377755127</v>
      </c>
    </row>
    <row r="814" spans="1:26" x14ac:dyDescent="0.25">
      <c r="A814" t="s">
        <v>63</v>
      </c>
      <c r="D814">
        <f t="shared" ref="D814:W814" si="575">D130*D166</f>
        <v>1435.9844133874926</v>
      </c>
      <c r="E814">
        <f t="shared" si="575"/>
        <v>1537.9908435309328</v>
      </c>
      <c r="F814">
        <f t="shared" si="575"/>
        <v>1739.6371692215894</v>
      </c>
      <c r="G814">
        <f t="shared" si="575"/>
        <v>1587.2528313098987</v>
      </c>
      <c r="H814">
        <f t="shared" si="575"/>
        <v>1724.2864421985466</v>
      </c>
      <c r="I814">
        <f t="shared" si="575"/>
        <v>1734.3525419424923</v>
      </c>
      <c r="J814">
        <f t="shared" si="575"/>
        <v>1906.0785290732967</v>
      </c>
      <c r="K814">
        <f t="shared" si="575"/>
        <v>1889.0312852627796</v>
      </c>
      <c r="L814">
        <f t="shared" si="575"/>
        <v>2398.7069849064719</v>
      </c>
      <c r="M814">
        <f t="shared" si="575"/>
        <v>2795.5351552043458</v>
      </c>
      <c r="N814">
        <f t="shared" si="575"/>
        <v>1715.3514279886531</v>
      </c>
      <c r="O814">
        <f t="shared" si="575"/>
        <v>3100.5899189124452</v>
      </c>
      <c r="P814">
        <f t="shared" si="575"/>
        <v>1641.2305886162592</v>
      </c>
      <c r="Q814">
        <f t="shared" si="575"/>
        <v>1630.3151593985031</v>
      </c>
      <c r="R814">
        <f t="shared" si="575"/>
        <v>1437.6217545233351</v>
      </c>
      <c r="S814">
        <f t="shared" si="575"/>
        <v>2171.3019133145449</v>
      </c>
      <c r="T814">
        <f t="shared" si="575"/>
        <v>1370.5341833869541</v>
      </c>
      <c r="U814">
        <f t="shared" si="575"/>
        <v>888.80929719191499</v>
      </c>
      <c r="V814">
        <f t="shared" si="575"/>
        <v>2167.8278980454811</v>
      </c>
      <c r="W814">
        <f t="shared" si="575"/>
        <v>1870.6880618119687</v>
      </c>
      <c r="Y814" s="6">
        <f t="shared" si="554"/>
        <v>36743.126399227905</v>
      </c>
      <c r="Z814">
        <f t="shared" si="555"/>
        <v>-288.99294281828492</v>
      </c>
    </row>
    <row r="815" spans="1:26" x14ac:dyDescent="0.25">
      <c r="A815" t="s">
        <v>64</v>
      </c>
      <c r="D815">
        <f t="shared" ref="D815:W815" si="576">D131*D167</f>
        <v>1704.8244576054803</v>
      </c>
      <c r="E815">
        <f t="shared" si="576"/>
        <v>2002.1836105170837</v>
      </c>
      <c r="F815">
        <f t="shared" si="576"/>
        <v>1979.7546086893503</v>
      </c>
      <c r="G815">
        <f t="shared" si="576"/>
        <v>1620.2367717702025</v>
      </c>
      <c r="H815">
        <f t="shared" si="576"/>
        <v>1722.1957139723013</v>
      </c>
      <c r="I815">
        <f t="shared" si="576"/>
        <v>2321.3993138288884</v>
      </c>
      <c r="J815">
        <f t="shared" si="576"/>
        <v>1862.2937541758965</v>
      </c>
      <c r="K815">
        <f t="shared" si="576"/>
        <v>2219.2818547929901</v>
      </c>
      <c r="L815">
        <f t="shared" si="576"/>
        <v>2824.2687194290106</v>
      </c>
      <c r="M815">
        <f t="shared" si="576"/>
        <v>2339.7029387545667</v>
      </c>
      <c r="N815">
        <f t="shared" si="576"/>
        <v>1245.74793322302</v>
      </c>
      <c r="O815">
        <f t="shared" si="576"/>
        <v>1957.6665645292974</v>
      </c>
      <c r="P815">
        <f t="shared" si="576"/>
        <v>1130.7345350777409</v>
      </c>
      <c r="Q815">
        <f t="shared" si="576"/>
        <v>2794.4496830482708</v>
      </c>
      <c r="R815">
        <f t="shared" si="576"/>
        <v>3344.0279289208406</v>
      </c>
      <c r="S815">
        <f t="shared" si="576"/>
        <v>2207.2191888977277</v>
      </c>
      <c r="T815">
        <f t="shared" si="576"/>
        <v>1748.8971042404023</v>
      </c>
      <c r="U815">
        <f t="shared" si="576"/>
        <v>1571.2228955150824</v>
      </c>
      <c r="V815">
        <f t="shared" si="576"/>
        <v>1170.6275445870451</v>
      </c>
      <c r="W815">
        <f t="shared" si="576"/>
        <v>1147.3789141622021</v>
      </c>
      <c r="Y815" s="6">
        <f t="shared" si="554"/>
        <v>38914.114035737402</v>
      </c>
      <c r="Z815">
        <f t="shared" si="555"/>
        <v>336.75346367387408</v>
      </c>
    </row>
    <row r="816" spans="1:26" x14ac:dyDescent="0.25">
      <c r="A816" t="s">
        <v>65</v>
      </c>
      <c r="D816">
        <f t="shared" ref="D816:W816" si="577">D132*D168</f>
        <v>2190.2390509198735</v>
      </c>
      <c r="E816">
        <f t="shared" si="577"/>
        <v>1805.0746454571085</v>
      </c>
      <c r="F816">
        <f t="shared" si="577"/>
        <v>1610.9397184406016</v>
      </c>
      <c r="G816">
        <f t="shared" si="577"/>
        <v>1297.5728148057167</v>
      </c>
      <c r="H816">
        <f t="shared" si="577"/>
        <v>2618.8030937824346</v>
      </c>
      <c r="I816">
        <f t="shared" si="577"/>
        <v>2612.8169838119252</v>
      </c>
      <c r="J816">
        <f t="shared" si="577"/>
        <v>1706.3816431275579</v>
      </c>
      <c r="K816">
        <f t="shared" si="577"/>
        <v>1907.9718402768492</v>
      </c>
      <c r="L816">
        <f t="shared" si="577"/>
        <v>2080.0658091823379</v>
      </c>
      <c r="M816">
        <f t="shared" si="577"/>
        <v>1957.8685991959153</v>
      </c>
      <c r="N816">
        <f t="shared" si="577"/>
        <v>1810.5004451765781</v>
      </c>
      <c r="O816">
        <f t="shared" si="577"/>
        <v>1514.2117816221903</v>
      </c>
      <c r="P816">
        <f t="shared" si="577"/>
        <v>1359.0807278828404</v>
      </c>
      <c r="Q816">
        <f t="shared" si="577"/>
        <v>2100.758002308175</v>
      </c>
      <c r="R816">
        <f t="shared" si="577"/>
        <v>634.70736656355086</v>
      </c>
      <c r="S816">
        <f t="shared" si="577"/>
        <v>836.40855503690443</v>
      </c>
      <c r="T816">
        <f t="shared" si="577"/>
        <v>1114.5331796381665</v>
      </c>
      <c r="U816">
        <f t="shared" si="577"/>
        <v>812.89299347520159</v>
      </c>
      <c r="V816">
        <f t="shared" si="577"/>
        <v>791.54443254104933</v>
      </c>
      <c r="W816">
        <f t="shared" si="577"/>
        <v>1037.6978179265388</v>
      </c>
      <c r="Y816" s="6">
        <f t="shared" si="554"/>
        <v>31800.069501171514</v>
      </c>
      <c r="Z816">
        <f t="shared" si="555"/>
        <v>653.99563583418796</v>
      </c>
    </row>
    <row r="817" spans="1:26" x14ac:dyDescent="0.25">
      <c r="A817" t="s">
        <v>66</v>
      </c>
      <c r="D817">
        <f t="shared" ref="D817:W817" si="578">D133*D169</f>
        <v>2034.0609417422797</v>
      </c>
      <c r="E817">
        <f t="shared" si="578"/>
        <v>1715.1427739599937</v>
      </c>
      <c r="F817">
        <f t="shared" si="578"/>
        <v>1733.8519224145118</v>
      </c>
      <c r="G817">
        <f t="shared" si="578"/>
        <v>1252.9963921123101</v>
      </c>
      <c r="H817">
        <f t="shared" si="578"/>
        <v>3379.4855182823162</v>
      </c>
      <c r="I817">
        <f t="shared" si="578"/>
        <v>2452.6487274181318</v>
      </c>
      <c r="J817">
        <f t="shared" si="578"/>
        <v>2539.3030310047807</v>
      </c>
      <c r="K817">
        <f t="shared" si="578"/>
        <v>2942.7080586533434</v>
      </c>
      <c r="L817">
        <f t="shared" si="578"/>
        <v>2660.6310684520895</v>
      </c>
      <c r="M817">
        <f t="shared" si="578"/>
        <v>1596.9064412332389</v>
      </c>
      <c r="N817">
        <f t="shared" si="578"/>
        <v>2086.3992118356014</v>
      </c>
      <c r="O817">
        <f t="shared" si="578"/>
        <v>2904.60190322382</v>
      </c>
      <c r="P817">
        <f t="shared" si="578"/>
        <v>2309.0056033212973</v>
      </c>
      <c r="Q817">
        <f t="shared" si="578"/>
        <v>1291.4204576232135</v>
      </c>
      <c r="R817">
        <f t="shared" si="578"/>
        <v>1780.2977783294468</v>
      </c>
      <c r="S817">
        <f t="shared" si="578"/>
        <v>1538.6400180125136</v>
      </c>
      <c r="T817">
        <f t="shared" si="578"/>
        <v>1088.5824202894935</v>
      </c>
      <c r="U817">
        <f t="shared" si="578"/>
        <v>1208.1028006942738</v>
      </c>
      <c r="V817">
        <f t="shared" si="578"/>
        <v>998.03849573877949</v>
      </c>
      <c r="W817">
        <f t="shared" si="578"/>
        <v>471.33169879982768</v>
      </c>
      <c r="Y817" s="6">
        <f t="shared" si="554"/>
        <v>37984.155263141263</v>
      </c>
      <c r="Z817">
        <f t="shared" si="555"/>
        <v>81.590148745249735</v>
      </c>
    </row>
    <row r="818" spans="1:26" x14ac:dyDescent="0.25">
      <c r="A818" t="s">
        <v>67</v>
      </c>
      <c r="D818">
        <f t="shared" ref="D818:W818" si="579">D134*D170</f>
        <v>1259.4332527757301</v>
      </c>
      <c r="E818">
        <f t="shared" si="579"/>
        <v>1498.7916236137125</v>
      </c>
      <c r="F818">
        <f t="shared" si="579"/>
        <v>2996.1127577873563</v>
      </c>
      <c r="G818">
        <f t="shared" si="579"/>
        <v>1959.4550774323536</v>
      </c>
      <c r="H818">
        <f t="shared" si="579"/>
        <v>2982.5929578334526</v>
      </c>
      <c r="I818">
        <f t="shared" si="579"/>
        <v>2611.9476533617994</v>
      </c>
      <c r="J818">
        <f t="shared" si="579"/>
        <v>2972.5191976871129</v>
      </c>
      <c r="K818">
        <f t="shared" si="579"/>
        <v>3259.6704687184879</v>
      </c>
      <c r="L818">
        <f t="shared" si="579"/>
        <v>2225.3996749455355</v>
      </c>
      <c r="M818">
        <f t="shared" si="579"/>
        <v>2116.563397667042</v>
      </c>
      <c r="N818">
        <f t="shared" si="579"/>
        <v>1900.6549442473938</v>
      </c>
      <c r="O818">
        <f t="shared" si="579"/>
        <v>2126.8345022035555</v>
      </c>
      <c r="P818">
        <f t="shared" si="579"/>
        <v>1694.7594615836299</v>
      </c>
      <c r="Q818">
        <f t="shared" si="579"/>
        <v>1723.990854287757</v>
      </c>
      <c r="R818">
        <f t="shared" si="579"/>
        <v>1672.388501462711</v>
      </c>
      <c r="S818">
        <f t="shared" si="579"/>
        <v>1746.4240363534257</v>
      </c>
      <c r="T818">
        <f t="shared" si="579"/>
        <v>1263.1033035988978</v>
      </c>
      <c r="U818">
        <f t="shared" si="579"/>
        <v>1146.9846658079252</v>
      </c>
      <c r="V818">
        <f t="shared" si="579"/>
        <v>1552.1272254850871</v>
      </c>
      <c r="W818">
        <f t="shared" si="579"/>
        <v>747.0596384816929</v>
      </c>
      <c r="Y818" s="6">
        <f t="shared" si="554"/>
        <v>39456.81319533466</v>
      </c>
      <c r="Z818">
        <f t="shared" si="555"/>
        <v>159.872229074252</v>
      </c>
    </row>
    <row r="819" spans="1:26" x14ac:dyDescent="0.25">
      <c r="A819" t="s">
        <v>68</v>
      </c>
      <c r="D819">
        <f t="shared" ref="D819:W819" si="580">D135*D171</f>
        <v>2453.9729473121733</v>
      </c>
      <c r="E819">
        <f t="shared" si="580"/>
        <v>3508.5797193112098</v>
      </c>
      <c r="F819">
        <f t="shared" si="580"/>
        <v>5860.2244662886351</v>
      </c>
      <c r="G819">
        <f t="shared" si="580"/>
        <v>6085.3254190450962</v>
      </c>
      <c r="H819">
        <f t="shared" si="580"/>
        <v>4169.4169607104577</v>
      </c>
      <c r="I819">
        <f t="shared" si="580"/>
        <v>3499.8749828512568</v>
      </c>
      <c r="J819">
        <f t="shared" si="580"/>
        <v>2430.5842156057238</v>
      </c>
      <c r="K819">
        <f t="shared" si="580"/>
        <v>3096.3007201820324</v>
      </c>
      <c r="L819">
        <f t="shared" si="580"/>
        <v>3793.5852786254131</v>
      </c>
      <c r="M819">
        <f t="shared" si="580"/>
        <v>1764.5107616567782</v>
      </c>
      <c r="N819">
        <f t="shared" si="580"/>
        <v>2472.3483601543048</v>
      </c>
      <c r="O819">
        <f t="shared" si="580"/>
        <v>2143.7805844237237</v>
      </c>
      <c r="P819">
        <f t="shared" si="580"/>
        <v>1946.7154589841846</v>
      </c>
      <c r="Q819">
        <f t="shared" si="580"/>
        <v>2508.6826785655376</v>
      </c>
      <c r="R819">
        <f t="shared" si="580"/>
        <v>3421.9208374296213</v>
      </c>
      <c r="S819">
        <f t="shared" si="580"/>
        <v>3482.1444926229583</v>
      </c>
      <c r="T819">
        <f t="shared" si="580"/>
        <v>2514.9921954818287</v>
      </c>
      <c r="U819">
        <f t="shared" si="580"/>
        <v>1862.1819408633044</v>
      </c>
      <c r="V819">
        <f t="shared" si="580"/>
        <v>1466.4861041908064</v>
      </c>
      <c r="W819">
        <f t="shared" si="580"/>
        <v>893.62431203167728</v>
      </c>
      <c r="Y819" s="6">
        <f t="shared" si="554"/>
        <v>59375.252436336719</v>
      </c>
      <c r="Z819">
        <f t="shared" si="555"/>
        <v>2376.8371242298467</v>
      </c>
    </row>
    <row r="820" spans="1:26" x14ac:dyDescent="0.25">
      <c r="A820" t="s">
        <v>69</v>
      </c>
      <c r="D820">
        <f t="shared" ref="D820:W820" si="581">D136*D172</f>
        <v>1699.8838893606326</v>
      </c>
      <c r="E820">
        <f t="shared" si="581"/>
        <v>2385.4873262144483</v>
      </c>
      <c r="F820">
        <f t="shared" si="581"/>
        <v>2181.8182810674339</v>
      </c>
      <c r="G820">
        <f t="shared" si="581"/>
        <v>2364.6684111360601</v>
      </c>
      <c r="H820">
        <f t="shared" si="581"/>
        <v>2333.8467717832623</v>
      </c>
      <c r="I820">
        <f t="shared" si="581"/>
        <v>2923.801373573483</v>
      </c>
      <c r="J820">
        <f t="shared" si="581"/>
        <v>1567.4639954188883</v>
      </c>
      <c r="K820">
        <f t="shared" si="581"/>
        <v>2276.5587252786154</v>
      </c>
      <c r="L820">
        <f t="shared" si="581"/>
        <v>1375.2198851779458</v>
      </c>
      <c r="M820">
        <f t="shared" si="581"/>
        <v>2076.059321706065</v>
      </c>
      <c r="N820">
        <f t="shared" si="581"/>
        <v>2016.2144956896868</v>
      </c>
      <c r="O820">
        <f t="shared" si="581"/>
        <v>2150.506105520627</v>
      </c>
      <c r="P820">
        <f t="shared" si="581"/>
        <v>1695.1450092912173</v>
      </c>
      <c r="Q820">
        <f t="shared" si="581"/>
        <v>8247.8088310776693</v>
      </c>
      <c r="R820">
        <f t="shared" si="581"/>
        <v>1355.9642429502298</v>
      </c>
      <c r="S820">
        <f t="shared" si="581"/>
        <v>1103.2901570639788</v>
      </c>
      <c r="T820">
        <f t="shared" si="581"/>
        <v>1159.3918945545377</v>
      </c>
      <c r="U820">
        <f t="shared" si="581"/>
        <v>1719.0788105339964</v>
      </c>
      <c r="V820">
        <f t="shared" si="581"/>
        <v>1142.2046117123161</v>
      </c>
      <c r="W820">
        <f t="shared" si="581"/>
        <v>1058.4942859793603</v>
      </c>
      <c r="Y820" s="6">
        <f t="shared" si="554"/>
        <v>42832.906425090463</v>
      </c>
      <c r="Z820">
        <f t="shared" si="555"/>
        <v>214.55082980539601</v>
      </c>
    </row>
    <row r="821" spans="1:26" x14ac:dyDescent="0.25">
      <c r="Y821" s="6"/>
    </row>
    <row r="822" spans="1:26" x14ac:dyDescent="0.25">
      <c r="A822" t="s">
        <v>70</v>
      </c>
      <c r="D822">
        <f t="shared" ref="D822:W822" si="582">D138*D174</f>
        <v>2051.1382472251134</v>
      </c>
      <c r="E822">
        <f t="shared" si="582"/>
        <v>1868.574604666037</v>
      </c>
      <c r="F822">
        <f t="shared" si="582"/>
        <v>1710.0000469785703</v>
      </c>
      <c r="G822">
        <f t="shared" si="582"/>
        <v>1714.8841099700642</v>
      </c>
      <c r="H822">
        <f t="shared" si="582"/>
        <v>2105.5997897044949</v>
      </c>
      <c r="I822">
        <f t="shared" si="582"/>
        <v>2561.7170077733022</v>
      </c>
      <c r="J822">
        <f t="shared" si="582"/>
        <v>2588.9743202863751</v>
      </c>
      <c r="K822">
        <f t="shared" si="582"/>
        <v>2364.9358999567758</v>
      </c>
      <c r="L822">
        <f t="shared" si="582"/>
        <v>6049.3212384821863</v>
      </c>
      <c r="M822">
        <f t="shared" si="582"/>
        <v>2130.6466465030485</v>
      </c>
      <c r="N822">
        <f t="shared" si="582"/>
        <v>1884.2258572146136</v>
      </c>
      <c r="O822">
        <f t="shared" si="582"/>
        <v>2247.2879937569146</v>
      </c>
      <c r="P822">
        <f t="shared" si="582"/>
        <v>1655.5819453036038</v>
      </c>
      <c r="Q822">
        <f t="shared" si="582"/>
        <v>2608.3932564251777</v>
      </c>
      <c r="R822">
        <f t="shared" si="582"/>
        <v>1956.2076972879579</v>
      </c>
      <c r="S822">
        <f t="shared" si="582"/>
        <v>1880.2834226080718</v>
      </c>
      <c r="T822">
        <f t="shared" si="582"/>
        <v>1321.7985260093617</v>
      </c>
      <c r="U822">
        <f t="shared" si="582"/>
        <v>1335.5066001439202</v>
      </c>
      <c r="V822">
        <f t="shared" si="582"/>
        <v>1339.1651719654192</v>
      </c>
      <c r="W822">
        <f t="shared" si="582"/>
        <v>1034.619193465265</v>
      </c>
      <c r="Y822" s="6">
        <f t="shared" si="554"/>
        <v>42408.861575726281</v>
      </c>
      <c r="Z822">
        <f>SUMPRODUCT($D$826:$W$826,D822:W822)</f>
        <v>-79.21894065416862</v>
      </c>
    </row>
    <row r="823" spans="1:26" x14ac:dyDescent="0.25">
      <c r="A823" t="s">
        <v>313</v>
      </c>
      <c r="D823">
        <f t="shared" ref="D823:W823" si="583">D139*D175</f>
        <v>2504.3593718119573</v>
      </c>
      <c r="E823">
        <f t="shared" si="583"/>
        <v>2996.1362228735429</v>
      </c>
      <c r="F823">
        <f t="shared" si="583"/>
        <v>2331.5528555755054</v>
      </c>
      <c r="G823">
        <f t="shared" si="583"/>
        <v>2587.4165402581948</v>
      </c>
      <c r="H823">
        <f t="shared" si="583"/>
        <v>3148.4578191199525</v>
      </c>
      <c r="I823">
        <f t="shared" si="583"/>
        <v>3017.1786667379642</v>
      </c>
      <c r="J823">
        <f t="shared" si="583"/>
        <v>2876.6627944165311</v>
      </c>
      <c r="K823">
        <f t="shared" si="583"/>
        <v>5893.5250778321215</v>
      </c>
      <c r="L823">
        <f t="shared" si="583"/>
        <v>2278.6626178690349</v>
      </c>
      <c r="M823">
        <f t="shared" si="583"/>
        <v>2159.3428773444607</v>
      </c>
      <c r="N823">
        <f t="shared" si="583"/>
        <v>2225.6954867594641</v>
      </c>
      <c r="O823">
        <f t="shared" si="583"/>
        <v>2275.7613976789003</v>
      </c>
      <c r="P823">
        <f t="shared" si="583"/>
        <v>4743.2</v>
      </c>
      <c r="Q823">
        <f t="shared" si="583"/>
        <v>4754.4000000000005</v>
      </c>
      <c r="R823">
        <f t="shared" si="583"/>
        <v>5173.74</v>
      </c>
      <c r="S823">
        <f t="shared" si="583"/>
        <v>1358.9700000000003</v>
      </c>
      <c r="T823">
        <f t="shared" si="583"/>
        <v>1317.2</v>
      </c>
      <c r="U823">
        <f t="shared" si="583"/>
        <v>1723.8000000000002</v>
      </c>
      <c r="V823">
        <f t="shared" si="583"/>
        <v>1241.5</v>
      </c>
      <c r="W823">
        <f t="shared" si="583"/>
        <v>951.4</v>
      </c>
      <c r="Y823" s="6">
        <f t="shared" si="554"/>
        <v>55558.961728277631</v>
      </c>
      <c r="Z823">
        <f>SUMPRODUCT($D$826:$W$826,D823:W823)</f>
        <v>20.536833458879659</v>
      </c>
    </row>
    <row r="824" spans="1:26" x14ac:dyDescent="0.25">
      <c r="A824" t="s">
        <v>314</v>
      </c>
      <c r="D824">
        <f t="shared" ref="D824:W824" si="584">D140*D176</f>
        <v>2190.6061900698824</v>
      </c>
      <c r="E824">
        <f t="shared" si="584"/>
        <v>2242.5431579855567</v>
      </c>
      <c r="F824">
        <f t="shared" si="584"/>
        <v>1859.6047129099761</v>
      </c>
      <c r="G824">
        <f t="shared" si="584"/>
        <v>1657.7505300900127</v>
      </c>
      <c r="H824">
        <f t="shared" si="584"/>
        <v>2793.3374055144609</v>
      </c>
      <c r="I824">
        <f t="shared" si="584"/>
        <v>2023.4910313482362</v>
      </c>
      <c r="J824">
        <f t="shared" si="584"/>
        <v>2037.5270830584386</v>
      </c>
      <c r="K824">
        <f t="shared" si="584"/>
        <v>1930.0400000000002</v>
      </c>
      <c r="L824">
        <f t="shared" si="584"/>
        <v>2802.3599999999997</v>
      </c>
      <c r="M824">
        <f t="shared" si="584"/>
        <v>3365.36</v>
      </c>
      <c r="N824">
        <f t="shared" si="584"/>
        <v>2125.2800000000002</v>
      </c>
      <c r="O824">
        <f t="shared" si="584"/>
        <v>1888.1100000000001</v>
      </c>
      <c r="P824">
        <f t="shared" si="584"/>
        <v>1643.095673809687</v>
      </c>
      <c r="Q824">
        <f t="shared" si="584"/>
        <v>1753.7185485463838</v>
      </c>
      <c r="R824">
        <f t="shared" si="584"/>
        <v>1678.5520091434744</v>
      </c>
      <c r="S824">
        <f t="shared" si="584"/>
        <v>1804.0804466087013</v>
      </c>
      <c r="T824">
        <f t="shared" si="584"/>
        <v>1293.1935780751428</v>
      </c>
      <c r="U824">
        <f t="shared" si="584"/>
        <v>1153.3770049279026</v>
      </c>
      <c r="V824">
        <f t="shared" si="584"/>
        <v>1081.5104395371172</v>
      </c>
      <c r="W824">
        <f t="shared" si="584"/>
        <v>1000.2536862975755</v>
      </c>
      <c r="Y824" s="6">
        <f t="shared" si="554"/>
        <v>38323.791497922553</v>
      </c>
      <c r="Z824">
        <f>SUMPRODUCT($D$826:$W$826,D824:W824)</f>
        <v>313.65663659828772</v>
      </c>
    </row>
    <row r="825" spans="1:26" x14ac:dyDescent="0.25">
      <c r="A825" t="s">
        <v>658</v>
      </c>
      <c r="D825">
        <f t="shared" ref="D825:W825" si="585">D141*D177</f>
        <v>3098.9965850973736</v>
      </c>
      <c r="E825">
        <f t="shared" si="585"/>
        <v>2693.7419147282649</v>
      </c>
      <c r="F825">
        <f t="shared" si="585"/>
        <v>3650.5193012590948</v>
      </c>
      <c r="G825">
        <f t="shared" si="585"/>
        <v>3784.9666754009722</v>
      </c>
      <c r="H825">
        <f t="shared" si="585"/>
        <v>3535.6990917617054</v>
      </c>
      <c r="I825">
        <f t="shared" si="585"/>
        <v>2818.65</v>
      </c>
      <c r="J825">
        <f t="shared" si="585"/>
        <v>2240.48</v>
      </c>
      <c r="K825">
        <f t="shared" si="585"/>
        <v>2767.66</v>
      </c>
      <c r="L825">
        <f t="shared" si="585"/>
        <v>2232</v>
      </c>
      <c r="M825">
        <f t="shared" si="585"/>
        <v>2001</v>
      </c>
      <c r="N825">
        <f t="shared" si="585"/>
        <v>1869.12</v>
      </c>
      <c r="O825">
        <f t="shared" si="585"/>
        <v>2153.2599999999998</v>
      </c>
      <c r="P825">
        <f t="shared" si="585"/>
        <v>1592.9891568499872</v>
      </c>
      <c r="Q825">
        <f t="shared" si="585"/>
        <v>1565.8233021233689</v>
      </c>
      <c r="R825">
        <f t="shared" si="585"/>
        <v>1156.2772077331167</v>
      </c>
      <c r="S825">
        <f t="shared" si="585"/>
        <v>1649.5600000000002</v>
      </c>
      <c r="T825">
        <f t="shared" si="585"/>
        <v>1290.0633368973204</v>
      </c>
      <c r="U825">
        <f t="shared" si="585"/>
        <v>1137.5389638468275</v>
      </c>
      <c r="V825">
        <f t="shared" si="585"/>
        <v>1208.7071173647796</v>
      </c>
      <c r="W825">
        <f t="shared" si="585"/>
        <v>1188.1645815360248</v>
      </c>
      <c r="Y825" s="6">
        <f t="shared" ref="Y825" si="586">SUM(D825:W825)</f>
        <v>43635.217234598829</v>
      </c>
      <c r="Z825">
        <f>SUMPRODUCT($D$826:$W$826,D825:W825)</f>
        <v>1764.6154277080673</v>
      </c>
    </row>
    <row r="826" spans="1:26" x14ac:dyDescent="0.25">
      <c r="A826" s="2" t="s">
        <v>71</v>
      </c>
      <c r="D826" s="3">
        <f>CORREL($B$2:$B$28,D794:D820)</f>
        <v>0.27637076988435144</v>
      </c>
      <c r="E826" s="3">
        <f t="shared" ref="E826:W826" si="587">CORREL($B$2:$B$28,E794:E820)</f>
        <v>0.24721759864062456</v>
      </c>
      <c r="F826" s="3">
        <f t="shared" si="587"/>
        <v>0.11173297074193908</v>
      </c>
      <c r="G826" s="3">
        <f t="shared" si="587"/>
        <v>0.18931333558671698</v>
      </c>
      <c r="H826" s="3">
        <f t="shared" si="587"/>
        <v>8.9860298212824763E-2</v>
      </c>
      <c r="I826" s="3">
        <f t="shared" si="587"/>
        <v>0.36938464274330723</v>
      </c>
      <c r="J826" s="3">
        <f t="shared" si="587"/>
        <v>-0.24464879457595198</v>
      </c>
      <c r="K826" s="3">
        <f t="shared" si="587"/>
        <v>-1.1627860295679908E-2</v>
      </c>
      <c r="L826" s="3">
        <f t="shared" si="587"/>
        <v>-7.5607216236945246E-2</v>
      </c>
      <c r="M826" s="3">
        <f t="shared" si="587"/>
        <v>-0.10558435202534108</v>
      </c>
      <c r="N826" s="3">
        <f t="shared" si="587"/>
        <v>-0.18889791163430278</v>
      </c>
      <c r="O826" s="3">
        <f t="shared" si="587"/>
        <v>-0.15705877460404738</v>
      </c>
      <c r="P826" s="3">
        <f t="shared" si="587"/>
        <v>-0.16142885107574578</v>
      </c>
      <c r="Q826" s="3">
        <f t="shared" si="587"/>
        <v>-8.9239612526126375E-2</v>
      </c>
      <c r="R826" s="3">
        <f t="shared" si="587"/>
        <v>-1.7845348182197858E-2</v>
      </c>
      <c r="S826" s="3">
        <f t="shared" si="587"/>
        <v>0.21466271023140604</v>
      </c>
      <c r="T826" s="3">
        <f t="shared" si="587"/>
        <v>-0.18294050638307569</v>
      </c>
      <c r="U826" s="3">
        <f t="shared" si="587"/>
        <v>-0.14080471105122441</v>
      </c>
      <c r="V826" s="3">
        <f t="shared" si="587"/>
        <v>-0.11450897585291636</v>
      </c>
      <c r="W826" s="3">
        <f t="shared" si="587"/>
        <v>7.1538672316065885E-3</v>
      </c>
    </row>
    <row r="829" spans="1:26" x14ac:dyDescent="0.25">
      <c r="D829" t="s">
        <v>260</v>
      </c>
      <c r="E829" t="s">
        <v>261</v>
      </c>
      <c r="F829" t="s">
        <v>262</v>
      </c>
      <c r="G829" t="s">
        <v>263</v>
      </c>
      <c r="H829" t="s">
        <v>264</v>
      </c>
      <c r="I829" t="s">
        <v>265</v>
      </c>
      <c r="J829" t="s">
        <v>266</v>
      </c>
      <c r="K829" t="s">
        <v>267</v>
      </c>
      <c r="L829" t="s">
        <v>338</v>
      </c>
      <c r="M829" t="s">
        <v>412</v>
      </c>
      <c r="N829" t="s">
        <v>413</v>
      </c>
      <c r="O829" t="s">
        <v>414</v>
      </c>
      <c r="P829" t="s">
        <v>526</v>
      </c>
      <c r="Q829" t="s">
        <v>527</v>
      </c>
      <c r="R829" t="s">
        <v>528</v>
      </c>
      <c r="S829" t="s">
        <v>529</v>
      </c>
      <c r="T829" t="s">
        <v>638</v>
      </c>
      <c r="U829" t="s">
        <v>639</v>
      </c>
      <c r="V829" t="s">
        <v>640</v>
      </c>
      <c r="W829" t="s">
        <v>641</v>
      </c>
      <c r="Y829" t="s">
        <v>268</v>
      </c>
      <c r="Z829" t="s">
        <v>269</v>
      </c>
    </row>
    <row r="830" spans="1:26" x14ac:dyDescent="0.25">
      <c r="A830" t="s">
        <v>43</v>
      </c>
      <c r="D830">
        <f t="shared" ref="D830:W830" si="588">D110*D182</f>
        <v>616.12032284142413</v>
      </c>
      <c r="E830">
        <f t="shared" si="588"/>
        <v>632.109402096091</v>
      </c>
      <c r="F830">
        <f t="shared" si="588"/>
        <v>444.76624529753525</v>
      </c>
      <c r="G830">
        <f t="shared" si="588"/>
        <v>583.45009776796246</v>
      </c>
      <c r="H830">
        <f t="shared" si="588"/>
        <v>548.51591630881455</v>
      </c>
      <c r="I830">
        <f t="shared" si="588"/>
        <v>482.72148128466341</v>
      </c>
      <c r="J830">
        <f t="shared" si="588"/>
        <v>623.44339015668243</v>
      </c>
      <c r="K830">
        <f t="shared" si="588"/>
        <v>593.99577632316948</v>
      </c>
      <c r="L830">
        <f t="shared" si="588"/>
        <v>560.14841402410195</v>
      </c>
      <c r="M830">
        <f t="shared" si="588"/>
        <v>220.07015498452535</v>
      </c>
      <c r="N830">
        <f t="shared" si="588"/>
        <v>248.75243437453699</v>
      </c>
      <c r="O830">
        <f t="shared" si="588"/>
        <v>549.96529694600963</v>
      </c>
      <c r="P830">
        <f t="shared" si="588"/>
        <v>374.7283521253903</v>
      </c>
      <c r="Q830">
        <f t="shared" si="588"/>
        <v>401.00517419475295</v>
      </c>
      <c r="R830">
        <f t="shared" si="588"/>
        <v>379.15547674173888</v>
      </c>
      <c r="S830">
        <f t="shared" si="588"/>
        <v>399.27218424760895</v>
      </c>
      <c r="T830">
        <f t="shared" si="588"/>
        <v>316.94464427436628</v>
      </c>
      <c r="U830">
        <f t="shared" si="588"/>
        <v>171.67828882007404</v>
      </c>
      <c r="V830">
        <f t="shared" si="588"/>
        <v>417.34925880385703</v>
      </c>
      <c r="W830">
        <f t="shared" si="588"/>
        <v>422.68283965118195</v>
      </c>
      <c r="Y830" s="6">
        <f t="shared" ref="Y830:Y860" si="589">SUM(D830:W830)</f>
        <v>8986.8751512644885</v>
      </c>
      <c r="Z830">
        <f t="shared" ref="Z830:Z856" si="590">SUMPRODUCT($D$862:$W$862,D830:W830)</f>
        <v>1109.3213796254486</v>
      </c>
    </row>
    <row r="831" spans="1:26" x14ac:dyDescent="0.25">
      <c r="A831" t="s">
        <v>44</v>
      </c>
      <c r="D831">
        <f t="shared" ref="D831:W831" si="591">D111*D183</f>
        <v>329.85175694007847</v>
      </c>
      <c r="E831">
        <f t="shared" si="591"/>
        <v>316.05144713776593</v>
      </c>
      <c r="F831">
        <f t="shared" si="591"/>
        <v>771.75097957729315</v>
      </c>
      <c r="G831">
        <f t="shared" si="591"/>
        <v>306.19464268292677</v>
      </c>
      <c r="H831">
        <f t="shared" si="591"/>
        <v>344.51542117076303</v>
      </c>
      <c r="I831">
        <f t="shared" si="591"/>
        <v>298.08433458947053</v>
      </c>
      <c r="J831">
        <f t="shared" si="591"/>
        <v>314.54440660869017</v>
      </c>
      <c r="K831">
        <f t="shared" si="591"/>
        <v>146.30297731203981</v>
      </c>
      <c r="L831">
        <f t="shared" si="591"/>
        <v>310.85231123177232</v>
      </c>
      <c r="M831">
        <f t="shared" si="591"/>
        <v>327.75080576338479</v>
      </c>
      <c r="N831">
        <f t="shared" si="591"/>
        <v>819.41390295981091</v>
      </c>
      <c r="O831">
        <f t="shared" si="591"/>
        <v>535.56163613517981</v>
      </c>
      <c r="P831">
        <f t="shared" si="591"/>
        <v>282.35551526393681</v>
      </c>
      <c r="Q831">
        <f t="shared" si="591"/>
        <v>389.05015424446799</v>
      </c>
      <c r="R831">
        <f t="shared" si="591"/>
        <v>361.25518508398955</v>
      </c>
      <c r="S831">
        <f t="shared" si="591"/>
        <v>407.62413762583759</v>
      </c>
      <c r="T831">
        <f t="shared" si="591"/>
        <v>465.85840258374617</v>
      </c>
      <c r="U831">
        <f t="shared" si="591"/>
        <v>321.13044379546676</v>
      </c>
      <c r="V831">
        <f t="shared" si="591"/>
        <v>527.67688666703077</v>
      </c>
      <c r="W831">
        <f t="shared" si="591"/>
        <v>869.88992266469938</v>
      </c>
      <c r="Y831" s="6">
        <f t="shared" si="589"/>
        <v>8445.7152700383504</v>
      </c>
      <c r="Z831">
        <f t="shared" si="590"/>
        <v>951.4368544065477</v>
      </c>
    </row>
    <row r="832" spans="1:26" x14ac:dyDescent="0.25">
      <c r="A832" t="s">
        <v>45</v>
      </c>
      <c r="D832">
        <f t="shared" ref="D832:W832" si="592">D112*D184</f>
        <v>301.02205885534204</v>
      </c>
      <c r="E832">
        <f t="shared" si="592"/>
        <v>205.68139628352799</v>
      </c>
      <c r="F832">
        <f t="shared" si="592"/>
        <v>209.77171237806297</v>
      </c>
      <c r="G832">
        <f t="shared" si="592"/>
        <v>360.04212109559597</v>
      </c>
      <c r="H832">
        <f t="shared" si="592"/>
        <v>610.04660445462378</v>
      </c>
      <c r="I832">
        <f t="shared" si="592"/>
        <v>296.35087157470173</v>
      </c>
      <c r="J832">
        <f t="shared" si="592"/>
        <v>733.38536389062176</v>
      </c>
      <c r="K832">
        <f t="shared" si="592"/>
        <v>502.44152756316549</v>
      </c>
      <c r="L832">
        <f t="shared" si="592"/>
        <v>470.35074631852387</v>
      </c>
      <c r="M832">
        <f t="shared" si="592"/>
        <v>461.47697571136672</v>
      </c>
      <c r="N832">
        <f t="shared" si="592"/>
        <v>512.24172016680961</v>
      </c>
      <c r="O832">
        <f t="shared" si="592"/>
        <v>344.00567892190418</v>
      </c>
      <c r="P832">
        <f t="shared" si="592"/>
        <v>277.67408490526736</v>
      </c>
      <c r="Q832">
        <f t="shared" si="592"/>
        <v>182.06100126051783</v>
      </c>
      <c r="R832">
        <f t="shared" si="592"/>
        <v>453.05737122359903</v>
      </c>
      <c r="S832">
        <f t="shared" si="592"/>
        <v>371.59897543771399</v>
      </c>
      <c r="T832">
        <f t="shared" si="592"/>
        <v>365.43151325898384</v>
      </c>
      <c r="U832">
        <f t="shared" si="592"/>
        <v>528.75664175444126</v>
      </c>
      <c r="V832">
        <f t="shared" si="592"/>
        <v>815.35776996942911</v>
      </c>
      <c r="W832">
        <f t="shared" si="592"/>
        <v>849.00214637912768</v>
      </c>
      <c r="Y832" s="6">
        <f t="shared" si="589"/>
        <v>8849.7562814033263</v>
      </c>
      <c r="Z832">
        <f t="shared" si="590"/>
        <v>788.15320830327869</v>
      </c>
    </row>
    <row r="833" spans="1:26" x14ac:dyDescent="0.25">
      <c r="A833" t="s">
        <v>46</v>
      </c>
      <c r="D833">
        <f t="shared" ref="D833:W833" si="593">D113*D185</f>
        <v>554.19547737071855</v>
      </c>
      <c r="E833">
        <f t="shared" si="593"/>
        <v>412.93170893623886</v>
      </c>
      <c r="F833">
        <f t="shared" si="593"/>
        <v>440.52519770331349</v>
      </c>
      <c r="G833">
        <f t="shared" si="593"/>
        <v>430.11224284807491</v>
      </c>
      <c r="H833">
        <f t="shared" si="593"/>
        <v>341.88156936327016</v>
      </c>
      <c r="I833">
        <f t="shared" si="593"/>
        <v>460.4068954834172</v>
      </c>
      <c r="J833">
        <f t="shared" si="593"/>
        <v>495.47448452871521</v>
      </c>
      <c r="K833">
        <f t="shared" si="593"/>
        <v>666.50674523478995</v>
      </c>
      <c r="L833">
        <f t="shared" si="593"/>
        <v>554.2470425454768</v>
      </c>
      <c r="M833">
        <f t="shared" si="593"/>
        <v>501.04435750583332</v>
      </c>
      <c r="N833">
        <f t="shared" si="593"/>
        <v>432.59897121487666</v>
      </c>
      <c r="O833">
        <f t="shared" si="593"/>
        <v>429.8554317231991</v>
      </c>
      <c r="P833">
        <f t="shared" si="593"/>
        <v>319.51324793837557</v>
      </c>
      <c r="Q833">
        <f t="shared" si="593"/>
        <v>458.77967653492686</v>
      </c>
      <c r="R833">
        <f t="shared" si="593"/>
        <v>325.07362908247632</v>
      </c>
      <c r="S833">
        <f t="shared" si="593"/>
        <v>625.12266768950178</v>
      </c>
      <c r="T833">
        <f t="shared" si="593"/>
        <v>360.00080083610516</v>
      </c>
      <c r="U833">
        <f t="shared" si="593"/>
        <v>407.60540459379217</v>
      </c>
      <c r="V833">
        <f t="shared" si="593"/>
        <v>306.3961713147412</v>
      </c>
      <c r="W833">
        <f t="shared" si="593"/>
        <v>419.14033933587899</v>
      </c>
      <c r="Y833" s="6">
        <f t="shared" si="589"/>
        <v>8941.4120617837234</v>
      </c>
      <c r="Z833">
        <f t="shared" si="590"/>
        <v>1103.3801624741384</v>
      </c>
    </row>
    <row r="834" spans="1:26" x14ac:dyDescent="0.25">
      <c r="A834" t="s">
        <v>47</v>
      </c>
      <c r="D834">
        <f t="shared" ref="D834:W834" si="594">D114*D186</f>
        <v>642.88512371051843</v>
      </c>
      <c r="E834">
        <f t="shared" si="594"/>
        <v>604.37853867494948</v>
      </c>
      <c r="F834">
        <f t="shared" si="594"/>
        <v>582.12931625077408</v>
      </c>
      <c r="G834">
        <f t="shared" si="594"/>
        <v>823.84146595577488</v>
      </c>
      <c r="H834">
        <f t="shared" si="594"/>
        <v>398.99750182872054</v>
      </c>
      <c r="I834">
        <f t="shared" si="594"/>
        <v>572.15689239856204</v>
      </c>
      <c r="J834">
        <f t="shared" si="594"/>
        <v>577.55592379601046</v>
      </c>
      <c r="K834">
        <f t="shared" si="594"/>
        <v>630.10757783835129</v>
      </c>
      <c r="L834">
        <f t="shared" si="594"/>
        <v>494.02329628059971</v>
      </c>
      <c r="M834">
        <f t="shared" si="594"/>
        <v>500.04472435720197</v>
      </c>
      <c r="N834">
        <f t="shared" si="594"/>
        <v>492.65643842034922</v>
      </c>
      <c r="O834">
        <f t="shared" si="594"/>
        <v>529.58750617705812</v>
      </c>
      <c r="P834">
        <f t="shared" si="594"/>
        <v>643.27196554676482</v>
      </c>
      <c r="Q834">
        <f t="shared" si="594"/>
        <v>320.05167960713283</v>
      </c>
      <c r="R834">
        <f t="shared" si="594"/>
        <v>613.61818227818492</v>
      </c>
      <c r="S834">
        <f t="shared" si="594"/>
        <v>594.03373722703316</v>
      </c>
      <c r="T834">
        <f t="shared" si="594"/>
        <v>1008.3706526853643</v>
      </c>
      <c r="U834">
        <f t="shared" si="594"/>
        <v>944.00922117190612</v>
      </c>
      <c r="V834">
        <f t="shared" si="594"/>
        <v>940.45423122633008</v>
      </c>
      <c r="W834">
        <f t="shared" si="594"/>
        <v>928.08534669973028</v>
      </c>
      <c r="Y834" s="6">
        <f t="shared" si="589"/>
        <v>12840.259322131315</v>
      </c>
      <c r="Z834">
        <f t="shared" si="590"/>
        <v>1692.4013337853587</v>
      </c>
    </row>
    <row r="835" spans="1:26" x14ac:dyDescent="0.25">
      <c r="A835" t="s">
        <v>48</v>
      </c>
      <c r="D835">
        <f t="shared" ref="D835:W835" si="595">D115*D187</f>
        <v>924.31430542960754</v>
      </c>
      <c r="E835">
        <f t="shared" si="595"/>
        <v>932.63638145085292</v>
      </c>
      <c r="F835">
        <f t="shared" si="595"/>
        <v>973.40930621881489</v>
      </c>
      <c r="G835">
        <f t="shared" si="595"/>
        <v>1226.9437948703871</v>
      </c>
      <c r="H835">
        <f t="shared" si="595"/>
        <v>1074.9993171393496</v>
      </c>
      <c r="I835">
        <f t="shared" si="595"/>
        <v>827.06518708240742</v>
      </c>
      <c r="J835">
        <f t="shared" si="595"/>
        <v>867.64730236600701</v>
      </c>
      <c r="K835">
        <f t="shared" si="595"/>
        <v>943.42148988330155</v>
      </c>
      <c r="L835">
        <f t="shared" si="595"/>
        <v>731.96960664155256</v>
      </c>
      <c r="M835">
        <f t="shared" si="595"/>
        <v>436.95314444281468</v>
      </c>
      <c r="N835">
        <f t="shared" si="595"/>
        <v>405.85942827140133</v>
      </c>
      <c r="O835">
        <f t="shared" si="595"/>
        <v>367.00555513871683</v>
      </c>
      <c r="P835">
        <f t="shared" si="595"/>
        <v>769.4851245785826</v>
      </c>
      <c r="Q835">
        <f t="shared" si="595"/>
        <v>935.42871927778822</v>
      </c>
      <c r="R835">
        <f t="shared" si="595"/>
        <v>692.89287844708758</v>
      </c>
      <c r="S835">
        <f t="shared" si="595"/>
        <v>245.71829405296563</v>
      </c>
      <c r="T835">
        <f t="shared" si="595"/>
        <v>296.60860405017689</v>
      </c>
      <c r="U835">
        <f t="shared" si="595"/>
        <v>490.18721356947913</v>
      </c>
      <c r="V835">
        <f t="shared" si="595"/>
        <v>433.25999107490179</v>
      </c>
      <c r="W835">
        <f t="shared" si="595"/>
        <v>540.67670194197103</v>
      </c>
      <c r="Y835" s="6">
        <f t="shared" si="589"/>
        <v>14116.482345928169</v>
      </c>
      <c r="Z835">
        <f t="shared" si="590"/>
        <v>1710.7174827772499</v>
      </c>
    </row>
    <row r="836" spans="1:26" x14ac:dyDescent="0.25">
      <c r="A836" t="s">
        <v>49</v>
      </c>
      <c r="D836">
        <f t="shared" ref="D836:W836" si="596">D116*D188</f>
        <v>461.52256459406857</v>
      </c>
      <c r="E836">
        <f t="shared" si="596"/>
        <v>642.65038438177146</v>
      </c>
      <c r="F836">
        <f t="shared" si="596"/>
        <v>684.24245239083496</v>
      </c>
      <c r="G836">
        <f t="shared" si="596"/>
        <v>734.69310359958274</v>
      </c>
      <c r="H836">
        <f t="shared" si="596"/>
        <v>550.72771306005802</v>
      </c>
      <c r="I836">
        <f t="shared" si="596"/>
        <v>590.62748583268649</v>
      </c>
      <c r="J836">
        <f t="shared" si="596"/>
        <v>641.15578220059376</v>
      </c>
      <c r="K836">
        <f t="shared" si="596"/>
        <v>633.31923690862675</v>
      </c>
      <c r="L836">
        <f t="shared" si="596"/>
        <v>515.9709613398129</v>
      </c>
      <c r="M836">
        <f t="shared" si="596"/>
        <v>407.78122450890754</v>
      </c>
      <c r="N836">
        <f t="shared" si="596"/>
        <v>473.76888564634845</v>
      </c>
      <c r="O836">
        <f t="shared" si="596"/>
        <v>409.30174099109587</v>
      </c>
      <c r="P836">
        <f t="shared" si="596"/>
        <v>706.12786402220092</v>
      </c>
      <c r="Q836">
        <f t="shared" si="596"/>
        <v>1061.8547033194072</v>
      </c>
      <c r="R836">
        <f t="shared" si="596"/>
        <v>875.63095337893753</v>
      </c>
      <c r="S836">
        <f t="shared" si="596"/>
        <v>564.92370041735205</v>
      </c>
      <c r="T836">
        <f t="shared" si="596"/>
        <v>442.41219499707296</v>
      </c>
      <c r="U836">
        <f t="shared" si="596"/>
        <v>552.01837342934948</v>
      </c>
      <c r="V836">
        <f t="shared" si="596"/>
        <v>647.20493750965147</v>
      </c>
      <c r="W836">
        <f t="shared" si="596"/>
        <v>611.11032955001644</v>
      </c>
      <c r="Y836" s="6">
        <f t="shared" si="589"/>
        <v>12207.044592078373</v>
      </c>
      <c r="Z836">
        <f t="shared" si="590"/>
        <v>1419.2270100124556</v>
      </c>
    </row>
    <row r="837" spans="1:26" x14ac:dyDescent="0.25">
      <c r="A837" t="s">
        <v>50</v>
      </c>
      <c r="D837">
        <f t="shared" ref="D837:W837" si="597">D117*D189</f>
        <v>653.8661983932559</v>
      </c>
      <c r="E837">
        <f t="shared" si="597"/>
        <v>548.19291924042625</v>
      </c>
      <c r="F837">
        <f t="shared" si="597"/>
        <v>856.55120015790487</v>
      </c>
      <c r="G837">
        <f t="shared" si="597"/>
        <v>803.52740191836995</v>
      </c>
      <c r="H837">
        <f t="shared" si="597"/>
        <v>729.71532564968038</v>
      </c>
      <c r="I837">
        <f t="shared" si="597"/>
        <v>791.91840286072147</v>
      </c>
      <c r="J837">
        <f t="shared" si="597"/>
        <v>665.85088901704921</v>
      </c>
      <c r="K837">
        <f t="shared" si="597"/>
        <v>590.57417242885788</v>
      </c>
      <c r="L837">
        <f t="shared" si="597"/>
        <v>891.49805306118822</v>
      </c>
      <c r="M837">
        <f t="shared" si="597"/>
        <v>771.99107449587541</v>
      </c>
      <c r="N837">
        <f t="shared" si="597"/>
        <v>985.31233243657027</v>
      </c>
      <c r="O837">
        <f t="shared" si="597"/>
        <v>1023.608470480051</v>
      </c>
      <c r="P837">
        <f t="shared" si="597"/>
        <v>911.82061536209164</v>
      </c>
      <c r="Q837">
        <f t="shared" si="597"/>
        <v>940.11071082392709</v>
      </c>
      <c r="R837">
        <f t="shared" si="597"/>
        <v>672.45190281554528</v>
      </c>
      <c r="S837">
        <f t="shared" si="597"/>
        <v>492.60891836983041</v>
      </c>
      <c r="T837">
        <f t="shared" si="597"/>
        <v>573.4938851868601</v>
      </c>
      <c r="U837">
        <f t="shared" si="597"/>
        <v>586.55982842084723</v>
      </c>
      <c r="V837">
        <f t="shared" si="597"/>
        <v>719.95078493652818</v>
      </c>
      <c r="W837">
        <f t="shared" si="597"/>
        <v>566.36616807465407</v>
      </c>
      <c r="Y837" s="6">
        <f t="shared" si="589"/>
        <v>14775.969254130234</v>
      </c>
      <c r="Z837">
        <f t="shared" si="590"/>
        <v>1473.4740905666658</v>
      </c>
    </row>
    <row r="838" spans="1:26" x14ac:dyDescent="0.25">
      <c r="A838" t="s">
        <v>51</v>
      </c>
      <c r="D838">
        <f t="shared" ref="D838:W838" si="598">D118*D190</f>
        <v>488.71452011596097</v>
      </c>
      <c r="E838">
        <f t="shared" si="598"/>
        <v>854.64336613206399</v>
      </c>
      <c r="F838">
        <f t="shared" si="598"/>
        <v>1543.7231583912101</v>
      </c>
      <c r="G838">
        <f t="shared" si="598"/>
        <v>1064.1375068646564</v>
      </c>
      <c r="H838">
        <f t="shared" si="598"/>
        <v>775.08208640708449</v>
      </c>
      <c r="I838">
        <f t="shared" si="598"/>
        <v>715.9649058745066</v>
      </c>
      <c r="J838">
        <f t="shared" si="598"/>
        <v>866.40441999689028</v>
      </c>
      <c r="K838">
        <f t="shared" si="598"/>
        <v>482.85837307331201</v>
      </c>
      <c r="L838">
        <f t="shared" si="598"/>
        <v>1031.4593415557338</v>
      </c>
      <c r="M838">
        <f t="shared" si="598"/>
        <v>835.99631968306824</v>
      </c>
      <c r="N838">
        <f t="shared" si="598"/>
        <v>1137.4561381619878</v>
      </c>
      <c r="O838">
        <f t="shared" si="598"/>
        <v>751.84852072088427</v>
      </c>
      <c r="P838">
        <f t="shared" si="598"/>
        <v>1097.2687371906081</v>
      </c>
      <c r="Q838">
        <f t="shared" si="598"/>
        <v>622.67889912913733</v>
      </c>
      <c r="R838">
        <f t="shared" si="598"/>
        <v>776.26868714323257</v>
      </c>
      <c r="S838">
        <f t="shared" si="598"/>
        <v>863.81492868399846</v>
      </c>
      <c r="T838">
        <f t="shared" si="598"/>
        <v>567.56026425842072</v>
      </c>
      <c r="U838">
        <f t="shared" si="598"/>
        <v>710.90527739013862</v>
      </c>
      <c r="V838">
        <f t="shared" si="598"/>
        <v>804.21137651813081</v>
      </c>
      <c r="W838">
        <f t="shared" si="598"/>
        <v>705.96214073167107</v>
      </c>
      <c r="Y838" s="6">
        <f t="shared" si="589"/>
        <v>16696.958968022696</v>
      </c>
      <c r="Z838">
        <f t="shared" si="590"/>
        <v>1813.5513342968331</v>
      </c>
    </row>
    <row r="839" spans="1:26" x14ac:dyDescent="0.25">
      <c r="A839" t="s">
        <v>52</v>
      </c>
      <c r="D839">
        <f t="shared" ref="D839:W839" si="599">D119*D191</f>
        <v>786.44464566310853</v>
      </c>
      <c r="E839">
        <f t="shared" si="599"/>
        <v>903.65191851498548</v>
      </c>
      <c r="F839">
        <f t="shared" si="599"/>
        <v>843.90430596671683</v>
      </c>
      <c r="G839">
        <f t="shared" si="599"/>
        <v>661.18538314727732</v>
      </c>
      <c r="H839">
        <f t="shared" si="599"/>
        <v>794.52501671870823</v>
      </c>
      <c r="I839">
        <f t="shared" si="599"/>
        <v>971.48736887897087</v>
      </c>
      <c r="J839">
        <f t="shared" si="599"/>
        <v>417.82251120360939</v>
      </c>
      <c r="K839">
        <f t="shared" si="599"/>
        <v>562.81201373578108</v>
      </c>
      <c r="L839">
        <f t="shared" si="599"/>
        <v>547.38119929520815</v>
      </c>
      <c r="M839">
        <f t="shared" si="599"/>
        <v>499.966513248252</v>
      </c>
      <c r="N839">
        <f t="shared" si="599"/>
        <v>624.61216595666986</v>
      </c>
      <c r="O839">
        <f t="shared" si="599"/>
        <v>609.14721438245942</v>
      </c>
      <c r="P839">
        <f t="shared" si="599"/>
        <v>586.07283562096961</v>
      </c>
      <c r="Q839">
        <f t="shared" si="599"/>
        <v>620.57586024939133</v>
      </c>
      <c r="R839">
        <f t="shared" si="599"/>
        <v>591.94950046479073</v>
      </c>
      <c r="S839">
        <f t="shared" si="599"/>
        <v>820.05640842509717</v>
      </c>
      <c r="T839">
        <f t="shared" si="599"/>
        <v>441.0334740095247</v>
      </c>
      <c r="U839">
        <f t="shared" si="599"/>
        <v>377.41466110932117</v>
      </c>
      <c r="V839">
        <f t="shared" si="599"/>
        <v>481.03639772503323</v>
      </c>
      <c r="W839">
        <f t="shared" si="599"/>
        <v>406.35607455870809</v>
      </c>
      <c r="Y839" s="6">
        <f t="shared" si="589"/>
        <v>12547.435468874581</v>
      </c>
      <c r="Z839">
        <f t="shared" si="590"/>
        <v>1908.5447589732667</v>
      </c>
    </row>
    <row r="840" spans="1:26" x14ac:dyDescent="0.25">
      <c r="A840" t="s">
        <v>53</v>
      </c>
      <c r="D840">
        <f t="shared" ref="D840:W840" si="600">D120*D192</f>
        <v>600.76471833265748</v>
      </c>
      <c r="E840">
        <f t="shared" si="600"/>
        <v>684.64533761235282</v>
      </c>
      <c r="F840">
        <f t="shared" si="600"/>
        <v>734.23046099118665</v>
      </c>
      <c r="G840">
        <f t="shared" si="600"/>
        <v>606.53783717213605</v>
      </c>
      <c r="H840">
        <f t="shared" si="600"/>
        <v>394.1786572930107</v>
      </c>
      <c r="I840">
        <f t="shared" si="600"/>
        <v>478.89554557952965</v>
      </c>
      <c r="J840">
        <f t="shared" si="600"/>
        <v>717.45683233909642</v>
      </c>
      <c r="K840">
        <f t="shared" si="600"/>
        <v>788.52969613179016</v>
      </c>
      <c r="L840">
        <f t="shared" si="600"/>
        <v>632.34235444740102</v>
      </c>
      <c r="M840">
        <f t="shared" si="600"/>
        <v>730.46587859934539</v>
      </c>
      <c r="N840">
        <f t="shared" si="600"/>
        <v>610.51211624547113</v>
      </c>
      <c r="O840">
        <f t="shared" si="600"/>
        <v>622.81251313818234</v>
      </c>
      <c r="P840">
        <f t="shared" si="600"/>
        <v>507.81347971018425</v>
      </c>
      <c r="Q840">
        <f t="shared" si="600"/>
        <v>317.0637499489327</v>
      </c>
      <c r="R840">
        <f t="shared" si="600"/>
        <v>528.52879818183715</v>
      </c>
      <c r="S840">
        <f t="shared" si="600"/>
        <v>427.31901669390379</v>
      </c>
      <c r="T840">
        <f t="shared" si="600"/>
        <v>749.84821817495674</v>
      </c>
      <c r="U840">
        <f t="shared" si="600"/>
        <v>494.13125319909517</v>
      </c>
      <c r="V840">
        <f t="shared" si="600"/>
        <v>571.45173690704053</v>
      </c>
      <c r="W840">
        <f t="shared" si="600"/>
        <v>562.88399936689848</v>
      </c>
      <c r="Y840" s="6">
        <f t="shared" si="589"/>
        <v>11760.412200065006</v>
      </c>
      <c r="Z840">
        <f t="shared" si="590"/>
        <v>1297.3393867605562</v>
      </c>
    </row>
    <row r="841" spans="1:26" x14ac:dyDescent="0.25">
      <c r="A841" t="s">
        <v>54</v>
      </c>
      <c r="D841">
        <f t="shared" ref="D841:W841" si="601">D121*D193</f>
        <v>826.4728032213286</v>
      </c>
      <c r="E841">
        <f t="shared" si="601"/>
        <v>663.18918596804542</v>
      </c>
      <c r="F841">
        <f t="shared" si="601"/>
        <v>624.49921762763677</v>
      </c>
      <c r="G841">
        <f t="shared" si="601"/>
        <v>588.54824873237021</v>
      </c>
      <c r="H841">
        <f t="shared" si="601"/>
        <v>473.70307569152868</v>
      </c>
      <c r="I841">
        <f t="shared" si="601"/>
        <v>499.88884361094455</v>
      </c>
      <c r="J841">
        <f t="shared" si="601"/>
        <v>286.32719382290725</v>
      </c>
      <c r="K841">
        <f t="shared" si="601"/>
        <v>398.54653523901209</v>
      </c>
      <c r="L841">
        <f t="shared" si="601"/>
        <v>504.72183872099157</v>
      </c>
      <c r="M841">
        <f t="shared" si="601"/>
        <v>459.26435297033879</v>
      </c>
      <c r="N841">
        <f t="shared" si="601"/>
        <v>450.10997859501242</v>
      </c>
      <c r="O841">
        <f t="shared" si="601"/>
        <v>524.29619685429589</v>
      </c>
      <c r="P841">
        <f t="shared" si="601"/>
        <v>427.76822979893615</v>
      </c>
      <c r="Q841">
        <f t="shared" si="601"/>
        <v>557.85135120767416</v>
      </c>
      <c r="R841">
        <f t="shared" si="601"/>
        <v>291.47895759157194</v>
      </c>
      <c r="S841">
        <f t="shared" si="601"/>
        <v>473.37406664802148</v>
      </c>
      <c r="T841">
        <f t="shared" si="601"/>
        <v>382.07277255990169</v>
      </c>
      <c r="U841">
        <f t="shared" si="601"/>
        <v>497.14573283589215</v>
      </c>
      <c r="V841">
        <f t="shared" si="601"/>
        <v>450.74384867511873</v>
      </c>
      <c r="W841">
        <f t="shared" si="601"/>
        <v>661.89050910835351</v>
      </c>
      <c r="Y841" s="6">
        <f t="shared" si="589"/>
        <v>10041.892939479882</v>
      </c>
      <c r="Z841">
        <f t="shared" si="590"/>
        <v>1412.1318591192046</v>
      </c>
    </row>
    <row r="842" spans="1:26" x14ac:dyDescent="0.25">
      <c r="A842" t="s">
        <v>55</v>
      </c>
      <c r="D842">
        <f t="shared" ref="D842:W842" si="602">D122*D194</f>
        <v>924.85562098902471</v>
      </c>
      <c r="E842">
        <f t="shared" si="602"/>
        <v>1004.2433538927376</v>
      </c>
      <c r="F842">
        <f t="shared" si="602"/>
        <v>751.43730757510889</v>
      </c>
      <c r="G842">
        <f t="shared" si="602"/>
        <v>1024.7960073537363</v>
      </c>
      <c r="H842">
        <f t="shared" si="602"/>
        <v>548.0167704230704</v>
      </c>
      <c r="I842">
        <f t="shared" si="602"/>
        <v>818.63767183045525</v>
      </c>
      <c r="J842">
        <f t="shared" si="602"/>
        <v>578.50731995805791</v>
      </c>
      <c r="K842">
        <f t="shared" si="602"/>
        <v>606.61916174349994</v>
      </c>
      <c r="L842">
        <f t="shared" si="602"/>
        <v>580.44449363715933</v>
      </c>
      <c r="M842">
        <f t="shared" si="602"/>
        <v>606.50811578433638</v>
      </c>
      <c r="N842">
        <f t="shared" si="602"/>
        <v>678.83978951052916</v>
      </c>
      <c r="O842">
        <f t="shared" si="602"/>
        <v>397.52934277389022</v>
      </c>
      <c r="P842">
        <f t="shared" si="602"/>
        <v>376.43920916604213</v>
      </c>
      <c r="Q842">
        <f t="shared" si="602"/>
        <v>653.19676622039083</v>
      </c>
      <c r="R842">
        <f t="shared" si="602"/>
        <v>489.85542949814919</v>
      </c>
      <c r="S842">
        <f t="shared" si="602"/>
        <v>706.42267546750168</v>
      </c>
      <c r="T842">
        <f t="shared" si="602"/>
        <v>436.182219974166</v>
      </c>
      <c r="U842">
        <f t="shared" si="602"/>
        <v>392.02728581697238</v>
      </c>
      <c r="V842">
        <f t="shared" si="602"/>
        <v>553.99318941038086</v>
      </c>
      <c r="W842">
        <f t="shared" si="602"/>
        <v>599.49667028014335</v>
      </c>
      <c r="Y842" s="6">
        <f t="shared" si="589"/>
        <v>12728.048401305354</v>
      </c>
      <c r="Z842">
        <f t="shared" si="590"/>
        <v>1893.4418481139764</v>
      </c>
    </row>
    <row r="843" spans="1:26" x14ac:dyDescent="0.25">
      <c r="A843" t="s">
        <v>56</v>
      </c>
      <c r="D843">
        <f t="shared" ref="D843:W843" si="603">D123*D195</f>
        <v>1232.1515280032224</v>
      </c>
      <c r="E843">
        <f t="shared" si="603"/>
        <v>823.6430456771086</v>
      </c>
      <c r="F843">
        <f t="shared" si="603"/>
        <v>918.05455297284561</v>
      </c>
      <c r="G843">
        <f t="shared" si="603"/>
        <v>725.15074801377</v>
      </c>
      <c r="H843">
        <f t="shared" si="603"/>
        <v>637.43755489870682</v>
      </c>
      <c r="I843">
        <f t="shared" si="603"/>
        <v>641.04109034572434</v>
      </c>
      <c r="J843">
        <f t="shared" si="603"/>
        <v>554.58452493924608</v>
      </c>
      <c r="K843">
        <f t="shared" si="603"/>
        <v>758.3150268608473</v>
      </c>
      <c r="L843">
        <f t="shared" si="603"/>
        <v>610.94894671798602</v>
      </c>
      <c r="M843">
        <f t="shared" si="603"/>
        <v>641.15401922453475</v>
      </c>
      <c r="N843">
        <f t="shared" si="603"/>
        <v>453.77205065562634</v>
      </c>
      <c r="O843">
        <f t="shared" si="603"/>
        <v>607.65618288329927</v>
      </c>
      <c r="P843">
        <f t="shared" si="603"/>
        <v>627.53547397375235</v>
      </c>
      <c r="Q843">
        <f t="shared" si="603"/>
        <v>429.47456983101779</v>
      </c>
      <c r="R843">
        <f t="shared" si="603"/>
        <v>620.0987876735536</v>
      </c>
      <c r="S843">
        <f t="shared" si="603"/>
        <v>420.9387389727903</v>
      </c>
      <c r="T843">
        <f t="shared" si="603"/>
        <v>461.95309964271422</v>
      </c>
      <c r="U843">
        <f t="shared" si="603"/>
        <v>451.99618367459851</v>
      </c>
      <c r="V843">
        <f t="shared" si="603"/>
        <v>540.8426621162821</v>
      </c>
      <c r="W843">
        <f t="shared" si="603"/>
        <v>761.62649316019053</v>
      </c>
      <c r="Y843" s="6">
        <f t="shared" si="589"/>
        <v>12918.37528023782</v>
      </c>
      <c r="Z843">
        <f t="shared" si="590"/>
        <v>1739.1705309631691</v>
      </c>
    </row>
    <row r="844" spans="1:26" x14ac:dyDescent="0.25">
      <c r="A844" t="s">
        <v>57</v>
      </c>
      <c r="D844">
        <f t="shared" ref="D844:W844" si="604">D124*D196</f>
        <v>856.0722707567503</v>
      </c>
      <c r="E844">
        <f t="shared" si="604"/>
        <v>980.53109165033914</v>
      </c>
      <c r="F844">
        <f t="shared" si="604"/>
        <v>763.17625880430035</v>
      </c>
      <c r="G844">
        <f t="shared" si="604"/>
        <v>649.19882371679557</v>
      </c>
      <c r="H844">
        <f t="shared" si="604"/>
        <v>499.92810699473273</v>
      </c>
      <c r="I844">
        <f t="shared" si="604"/>
        <v>529.75727235499392</v>
      </c>
      <c r="J844">
        <f t="shared" si="604"/>
        <v>514.11969487188674</v>
      </c>
      <c r="K844">
        <f t="shared" si="604"/>
        <v>536.30409733516001</v>
      </c>
      <c r="L844">
        <f t="shared" si="604"/>
        <v>477.22736506204427</v>
      </c>
      <c r="M844">
        <f t="shared" si="604"/>
        <v>591.62694655176529</v>
      </c>
      <c r="N844">
        <f t="shared" si="604"/>
        <v>659.48810669508953</v>
      </c>
      <c r="O844">
        <f t="shared" si="604"/>
        <v>332.74797924374582</v>
      </c>
      <c r="P844">
        <f t="shared" si="604"/>
        <v>716.59631457408875</v>
      </c>
      <c r="Q844">
        <f t="shared" si="604"/>
        <v>679.38034397388469</v>
      </c>
      <c r="R844">
        <f t="shared" si="604"/>
        <v>491.03927138086567</v>
      </c>
      <c r="S844">
        <f t="shared" si="604"/>
        <v>269.85378074684849</v>
      </c>
      <c r="T844">
        <f t="shared" si="604"/>
        <v>547.26153301874399</v>
      </c>
      <c r="U844">
        <f t="shared" si="604"/>
        <v>659.26594191880588</v>
      </c>
      <c r="V844">
        <f t="shared" si="604"/>
        <v>197.41869842484732</v>
      </c>
      <c r="W844">
        <f t="shared" si="604"/>
        <v>709.03715590995296</v>
      </c>
      <c r="Y844" s="6">
        <f t="shared" si="589"/>
        <v>11660.031053985644</v>
      </c>
      <c r="Z844">
        <f t="shared" si="590"/>
        <v>1459.6023191505105</v>
      </c>
    </row>
    <row r="845" spans="1:26" x14ac:dyDescent="0.25">
      <c r="A845" t="s">
        <v>58</v>
      </c>
      <c r="D845">
        <f t="shared" ref="D845:W845" si="605">D125*D197</f>
        <v>466.94991069709761</v>
      </c>
      <c r="E845">
        <f t="shared" si="605"/>
        <v>705.66415252116008</v>
      </c>
      <c r="F845">
        <f t="shared" si="605"/>
        <v>578.26795090937651</v>
      </c>
      <c r="G845">
        <f t="shared" si="605"/>
        <v>660.96763775290719</v>
      </c>
      <c r="H845">
        <f t="shared" si="605"/>
        <v>427.9354251514024</v>
      </c>
      <c r="I845">
        <f t="shared" si="605"/>
        <v>323.54737886708205</v>
      </c>
      <c r="J845">
        <f t="shared" si="605"/>
        <v>477.50548859924851</v>
      </c>
      <c r="K845">
        <f t="shared" si="605"/>
        <v>510.723542546749</v>
      </c>
      <c r="L845">
        <f t="shared" si="605"/>
        <v>468.84615113147578</v>
      </c>
      <c r="M845">
        <f t="shared" si="605"/>
        <v>480.09103409657524</v>
      </c>
      <c r="N845">
        <f t="shared" si="605"/>
        <v>389.04774691589841</v>
      </c>
      <c r="O845">
        <f t="shared" si="605"/>
        <v>466.04591765394207</v>
      </c>
      <c r="P845">
        <f t="shared" si="605"/>
        <v>296.08570413303062</v>
      </c>
      <c r="Q845">
        <f t="shared" si="605"/>
        <v>214.9680639731215</v>
      </c>
      <c r="R845">
        <f t="shared" si="605"/>
        <v>397.26417951322247</v>
      </c>
      <c r="S845">
        <f t="shared" si="605"/>
        <v>465.80140511749937</v>
      </c>
      <c r="T845">
        <f t="shared" si="605"/>
        <v>662.28938170061451</v>
      </c>
      <c r="U845">
        <f t="shared" si="605"/>
        <v>182.47673522192196</v>
      </c>
      <c r="V845">
        <f t="shared" si="605"/>
        <v>251.71176627659895</v>
      </c>
      <c r="W845">
        <f t="shared" si="605"/>
        <v>576.87907908788281</v>
      </c>
      <c r="Y845" s="6">
        <f t="shared" si="589"/>
        <v>9003.0686518668081</v>
      </c>
      <c r="Z845">
        <f t="shared" si="590"/>
        <v>1187.4263496316589</v>
      </c>
    </row>
    <row r="846" spans="1:26" x14ac:dyDescent="0.25">
      <c r="A846" t="s">
        <v>59</v>
      </c>
      <c r="D846">
        <f t="shared" ref="D846:W846" si="606">D126*D198</f>
        <v>914.02037009002765</v>
      </c>
      <c r="E846">
        <f t="shared" si="606"/>
        <v>584.94227300365947</v>
      </c>
      <c r="F846">
        <f t="shared" si="606"/>
        <v>509.9102850979865</v>
      </c>
      <c r="G846">
        <f t="shared" si="606"/>
        <v>646.71063511369994</v>
      </c>
      <c r="H846">
        <f t="shared" si="606"/>
        <v>459.18472174122252</v>
      </c>
      <c r="I846">
        <f t="shared" si="606"/>
        <v>586.52754135335101</v>
      </c>
      <c r="J846">
        <f t="shared" si="606"/>
        <v>617.32297122643206</v>
      </c>
      <c r="K846">
        <f t="shared" si="606"/>
        <v>471.26761628872976</v>
      </c>
      <c r="L846">
        <f t="shared" si="606"/>
        <v>321.03908936900916</v>
      </c>
      <c r="M846">
        <f t="shared" si="606"/>
        <v>471.41008784244264</v>
      </c>
      <c r="N846">
        <f t="shared" si="606"/>
        <v>579.71442804834578</v>
      </c>
      <c r="O846">
        <f t="shared" si="606"/>
        <v>480.87488352403176</v>
      </c>
      <c r="P846">
        <f t="shared" si="606"/>
        <v>368.3904579417831</v>
      </c>
      <c r="Q846">
        <f t="shared" si="606"/>
        <v>264.11957907526624</v>
      </c>
      <c r="R846">
        <f t="shared" si="606"/>
        <v>249.59212526681617</v>
      </c>
      <c r="S846">
        <f t="shared" si="606"/>
        <v>499.87749360870106</v>
      </c>
      <c r="T846">
        <f t="shared" si="606"/>
        <v>538.09044460086352</v>
      </c>
      <c r="U846">
        <f t="shared" si="606"/>
        <v>582.74949119157236</v>
      </c>
      <c r="V846">
        <f t="shared" si="606"/>
        <v>514.34369256283469</v>
      </c>
      <c r="W846">
        <f t="shared" si="606"/>
        <v>558.99238941969986</v>
      </c>
      <c r="Y846" s="6">
        <f t="shared" si="589"/>
        <v>10219.080576366476</v>
      </c>
      <c r="Z846">
        <f t="shared" si="590"/>
        <v>1427.4632233430361</v>
      </c>
    </row>
    <row r="847" spans="1:26" x14ac:dyDescent="0.25">
      <c r="A847" t="s">
        <v>60</v>
      </c>
      <c r="D847">
        <f t="shared" ref="D847:W847" si="607">D127*D199</f>
        <v>486.42745655635036</v>
      </c>
      <c r="E847">
        <f t="shared" si="607"/>
        <v>435.38485171439601</v>
      </c>
      <c r="F847">
        <f t="shared" si="607"/>
        <v>536.72798493414882</v>
      </c>
      <c r="G847">
        <f t="shared" si="607"/>
        <v>549.48571014320532</v>
      </c>
      <c r="H847">
        <f t="shared" si="607"/>
        <v>475.31332878285713</v>
      </c>
      <c r="I847">
        <f t="shared" si="607"/>
        <v>309.24875212082429</v>
      </c>
      <c r="J847">
        <f t="shared" si="607"/>
        <v>442.55022259053169</v>
      </c>
      <c r="K847">
        <f t="shared" si="607"/>
        <v>785.72673340750953</v>
      </c>
      <c r="L847">
        <f t="shared" si="607"/>
        <v>565.86418176274833</v>
      </c>
      <c r="M847">
        <f t="shared" si="607"/>
        <v>437.55213866843394</v>
      </c>
      <c r="N847">
        <f t="shared" si="607"/>
        <v>310.01125358871519</v>
      </c>
      <c r="O847">
        <f t="shared" si="607"/>
        <v>267.95870861671921</v>
      </c>
      <c r="P847">
        <f t="shared" si="607"/>
        <v>488.99152203275338</v>
      </c>
      <c r="Q847">
        <f t="shared" si="607"/>
        <v>611.65642805090476</v>
      </c>
      <c r="R847">
        <f t="shared" si="607"/>
        <v>389.19102130084354</v>
      </c>
      <c r="S847">
        <f t="shared" si="607"/>
        <v>485.54097173454284</v>
      </c>
      <c r="T847">
        <f t="shared" si="607"/>
        <v>750.13779461633089</v>
      </c>
      <c r="U847">
        <f t="shared" si="607"/>
        <v>660.84971984307322</v>
      </c>
      <c r="V847">
        <f t="shared" si="607"/>
        <v>227.03576038989132</v>
      </c>
      <c r="W847">
        <f t="shared" si="607"/>
        <v>413.30812455072004</v>
      </c>
      <c r="Y847" s="6">
        <f t="shared" si="589"/>
        <v>9628.9626654054991</v>
      </c>
      <c r="Z847">
        <f t="shared" si="590"/>
        <v>1167.7113941298153</v>
      </c>
    </row>
    <row r="848" spans="1:26" x14ac:dyDescent="0.25">
      <c r="A848" t="s">
        <v>61</v>
      </c>
      <c r="D848">
        <f t="shared" ref="D848:W848" si="608">D128*D200</f>
        <v>841.15539284974807</v>
      </c>
      <c r="E848">
        <f t="shared" si="608"/>
        <v>1050.0024962472271</v>
      </c>
      <c r="F848">
        <f t="shared" si="608"/>
        <v>756.03541266544391</v>
      </c>
      <c r="G848">
        <f t="shared" si="608"/>
        <v>540.12996805968271</v>
      </c>
      <c r="H848">
        <f t="shared" si="608"/>
        <v>740.87841501990158</v>
      </c>
      <c r="I848">
        <f t="shared" si="608"/>
        <v>723.15435168073645</v>
      </c>
      <c r="J848">
        <f t="shared" si="608"/>
        <v>727.38647540364036</v>
      </c>
      <c r="K848">
        <f t="shared" si="608"/>
        <v>546.35382980752956</v>
      </c>
      <c r="L848">
        <f t="shared" si="608"/>
        <v>375.93785684748406</v>
      </c>
      <c r="M848">
        <f t="shared" si="608"/>
        <v>480.23822301015815</v>
      </c>
      <c r="N848">
        <f t="shared" si="608"/>
        <v>651.62929943417885</v>
      </c>
      <c r="O848">
        <f t="shared" si="608"/>
        <v>684.67933574110464</v>
      </c>
      <c r="P848">
        <f t="shared" si="608"/>
        <v>525.25674048139933</v>
      </c>
      <c r="Q848">
        <f t="shared" si="608"/>
        <v>440.05121993952645</v>
      </c>
      <c r="R848">
        <f t="shared" si="608"/>
        <v>428.06616661547781</v>
      </c>
      <c r="S848">
        <f t="shared" si="608"/>
        <v>603.94212483830404</v>
      </c>
      <c r="T848">
        <f t="shared" si="608"/>
        <v>689.81976044488817</v>
      </c>
      <c r="U848">
        <f t="shared" si="608"/>
        <v>417.47014973514405</v>
      </c>
      <c r="V848">
        <f t="shared" si="608"/>
        <v>346.35839860465887</v>
      </c>
      <c r="W848">
        <f t="shared" si="608"/>
        <v>614.44331802271779</v>
      </c>
      <c r="Y848" s="6">
        <f t="shared" si="589"/>
        <v>12182.988935448953</v>
      </c>
      <c r="Z848">
        <f t="shared" si="590"/>
        <v>1693.1127990319039</v>
      </c>
    </row>
    <row r="849" spans="1:26" x14ac:dyDescent="0.25">
      <c r="A849" t="s">
        <v>62</v>
      </c>
      <c r="D849">
        <f t="shared" ref="D849:W849" si="609">D129*D201</f>
        <v>642.97909307612565</v>
      </c>
      <c r="E849">
        <f t="shared" si="609"/>
        <v>641.65619655335786</v>
      </c>
      <c r="F849">
        <f t="shared" si="609"/>
        <v>584.86756202023878</v>
      </c>
      <c r="G849">
        <f t="shared" si="609"/>
        <v>759.1054140088338</v>
      </c>
      <c r="H849">
        <f t="shared" si="609"/>
        <v>649.92894062956191</v>
      </c>
      <c r="I849">
        <f t="shared" si="609"/>
        <v>678.65438163002318</v>
      </c>
      <c r="J849">
        <f t="shared" si="609"/>
        <v>532.3202529369737</v>
      </c>
      <c r="K849">
        <f t="shared" si="609"/>
        <v>550.69667525554462</v>
      </c>
      <c r="L849">
        <f t="shared" si="609"/>
        <v>578.59822821650334</v>
      </c>
      <c r="M849">
        <f t="shared" si="609"/>
        <v>401.39057562825826</v>
      </c>
      <c r="N849">
        <f t="shared" si="609"/>
        <v>443.19227674738687</v>
      </c>
      <c r="O849">
        <f t="shared" si="609"/>
        <v>396.57023218451195</v>
      </c>
      <c r="P849">
        <f t="shared" si="609"/>
        <v>371.40403901397246</v>
      </c>
      <c r="Q849">
        <f t="shared" si="609"/>
        <v>411.24081469282834</v>
      </c>
      <c r="R849">
        <f t="shared" si="609"/>
        <v>725.38905055565419</v>
      </c>
      <c r="S849">
        <f t="shared" si="609"/>
        <v>587.65479465072031</v>
      </c>
      <c r="T849">
        <f t="shared" si="609"/>
        <v>347.6097231443556</v>
      </c>
      <c r="U849">
        <f t="shared" si="609"/>
        <v>782.67223095581937</v>
      </c>
      <c r="V849">
        <f t="shared" si="609"/>
        <v>665.0578055434695</v>
      </c>
      <c r="W849">
        <f t="shared" si="609"/>
        <v>621.89959055134557</v>
      </c>
      <c r="Y849" s="6">
        <f t="shared" si="589"/>
        <v>11372.887877995485</v>
      </c>
      <c r="Z849">
        <f t="shared" si="590"/>
        <v>1558.6424337025035</v>
      </c>
    </row>
    <row r="850" spans="1:26" x14ac:dyDescent="0.25">
      <c r="A850" t="s">
        <v>63</v>
      </c>
      <c r="D850">
        <f t="shared" ref="D850:W850" si="610">D130*D202</f>
        <v>686.13554238264271</v>
      </c>
      <c r="E850">
        <f t="shared" si="610"/>
        <v>726.05968764451177</v>
      </c>
      <c r="F850">
        <f t="shared" si="610"/>
        <v>727.20267433912363</v>
      </c>
      <c r="G850">
        <f t="shared" si="610"/>
        <v>689.43957308100187</v>
      </c>
      <c r="H850">
        <f t="shared" si="610"/>
        <v>365.23800829195903</v>
      </c>
      <c r="I850">
        <f t="shared" si="610"/>
        <v>504.08289056946995</v>
      </c>
      <c r="J850">
        <f t="shared" si="610"/>
        <v>547.40539967953384</v>
      </c>
      <c r="K850">
        <f t="shared" si="610"/>
        <v>515.52542106880549</v>
      </c>
      <c r="L850">
        <f t="shared" si="610"/>
        <v>598.15004476361867</v>
      </c>
      <c r="M850">
        <f t="shared" si="610"/>
        <v>347.1135378793125</v>
      </c>
      <c r="N850">
        <f t="shared" si="610"/>
        <v>488.15414797763077</v>
      </c>
      <c r="O850">
        <f t="shared" si="610"/>
        <v>727.4746045983652</v>
      </c>
      <c r="P850">
        <f t="shared" si="610"/>
        <v>468.8831690586328</v>
      </c>
      <c r="Q850">
        <f t="shared" si="610"/>
        <v>512.11181541253427</v>
      </c>
      <c r="R850">
        <f t="shared" si="610"/>
        <v>576.68157780402476</v>
      </c>
      <c r="S850">
        <f t="shared" si="610"/>
        <v>751.53724887827912</v>
      </c>
      <c r="T850">
        <f t="shared" si="610"/>
        <v>693.31336425393238</v>
      </c>
      <c r="U850">
        <f t="shared" si="610"/>
        <v>448.32667561174134</v>
      </c>
      <c r="V850">
        <f t="shared" si="610"/>
        <v>711.77608646672843</v>
      </c>
      <c r="W850">
        <f t="shared" si="610"/>
        <v>719.63689814433531</v>
      </c>
      <c r="Y850" s="6">
        <f t="shared" si="589"/>
        <v>11804.248367906184</v>
      </c>
      <c r="Z850">
        <f t="shared" si="590"/>
        <v>1594.4203404444661</v>
      </c>
    </row>
    <row r="851" spans="1:26" x14ac:dyDescent="0.25">
      <c r="A851" t="s">
        <v>64</v>
      </c>
      <c r="D851">
        <f t="shared" ref="D851:W851" si="611">D131*D203</f>
        <v>779.16990723964238</v>
      </c>
      <c r="E851">
        <f t="shared" si="611"/>
        <v>878.20376728825693</v>
      </c>
      <c r="F851">
        <f t="shared" si="611"/>
        <v>878.58429646535524</v>
      </c>
      <c r="G851">
        <f t="shared" si="611"/>
        <v>662.98208866651737</v>
      </c>
      <c r="H851">
        <f t="shared" si="611"/>
        <v>656.49961301415499</v>
      </c>
      <c r="I851">
        <f t="shared" si="611"/>
        <v>598.07111016313956</v>
      </c>
      <c r="J851">
        <f t="shared" si="611"/>
        <v>588.95079023595622</v>
      </c>
      <c r="K851">
        <f t="shared" si="611"/>
        <v>694.38589214859007</v>
      </c>
      <c r="L851">
        <f t="shared" si="611"/>
        <v>827.45457761106366</v>
      </c>
      <c r="M851">
        <f t="shared" si="611"/>
        <v>559.12349077785609</v>
      </c>
      <c r="N851">
        <f t="shared" si="611"/>
        <v>298.46456829787115</v>
      </c>
      <c r="O851">
        <f t="shared" si="611"/>
        <v>528.88408681425415</v>
      </c>
      <c r="P851">
        <f t="shared" si="611"/>
        <v>289.32649438755169</v>
      </c>
      <c r="Q851">
        <f t="shared" si="611"/>
        <v>629.16501973595086</v>
      </c>
      <c r="R851">
        <f t="shared" si="611"/>
        <v>931.69563954112391</v>
      </c>
      <c r="S851">
        <f t="shared" si="611"/>
        <v>744.39278513710849</v>
      </c>
      <c r="T851">
        <f t="shared" si="611"/>
        <v>785.43944565170079</v>
      </c>
      <c r="U851">
        <f t="shared" si="611"/>
        <v>686.53019430695463</v>
      </c>
      <c r="V851">
        <f t="shared" si="611"/>
        <v>468.45921594996838</v>
      </c>
      <c r="W851">
        <f t="shared" si="611"/>
        <v>510.52990723174776</v>
      </c>
      <c r="Y851" s="6">
        <f t="shared" si="589"/>
        <v>12996.312890664763</v>
      </c>
      <c r="Z851">
        <f t="shared" si="590"/>
        <v>1829.4781853755155</v>
      </c>
    </row>
    <row r="852" spans="1:26" x14ac:dyDescent="0.25">
      <c r="A852" t="s">
        <v>65</v>
      </c>
      <c r="D852">
        <f t="shared" ref="D852:W852" si="612">D132*D204</f>
        <v>1031.4756992725233</v>
      </c>
      <c r="E852">
        <f t="shared" si="612"/>
        <v>1022.1582907514918</v>
      </c>
      <c r="F852">
        <f t="shared" si="612"/>
        <v>965.94722602256036</v>
      </c>
      <c r="G852">
        <f t="shared" si="612"/>
        <v>737.07898900975738</v>
      </c>
      <c r="H852">
        <f t="shared" si="612"/>
        <v>841.84978115447518</v>
      </c>
      <c r="I852">
        <f t="shared" si="612"/>
        <v>772.88834517742077</v>
      </c>
      <c r="J852">
        <f t="shared" si="612"/>
        <v>513.85646821773082</v>
      </c>
      <c r="K852">
        <f t="shared" si="612"/>
        <v>716.911803919931</v>
      </c>
      <c r="L852">
        <f t="shared" si="612"/>
        <v>663.06886749408875</v>
      </c>
      <c r="M852">
        <f t="shared" si="612"/>
        <v>514.84666141059427</v>
      </c>
      <c r="N852">
        <f t="shared" si="612"/>
        <v>544.23936435957614</v>
      </c>
      <c r="O852">
        <f t="shared" si="612"/>
        <v>484.93179967960111</v>
      </c>
      <c r="P852">
        <f t="shared" si="612"/>
        <v>339.18321574434026</v>
      </c>
      <c r="Q852">
        <f t="shared" si="612"/>
        <v>488.57224944961155</v>
      </c>
      <c r="R852">
        <f t="shared" si="612"/>
        <v>285.00060701877612</v>
      </c>
      <c r="S852">
        <f t="shared" si="612"/>
        <v>482.76327976254527</v>
      </c>
      <c r="T852">
        <f t="shared" si="612"/>
        <v>574.54999656216228</v>
      </c>
      <c r="U852">
        <f t="shared" si="612"/>
        <v>600.06077994217821</v>
      </c>
      <c r="V852">
        <f t="shared" si="612"/>
        <v>431.76450576363095</v>
      </c>
      <c r="W852">
        <f t="shared" si="612"/>
        <v>791.60846981452369</v>
      </c>
      <c r="Y852" s="6">
        <f t="shared" si="589"/>
        <v>12802.756400527518</v>
      </c>
      <c r="Z852">
        <f t="shared" si="590"/>
        <v>1890.5892498034391</v>
      </c>
    </row>
    <row r="853" spans="1:26" x14ac:dyDescent="0.25">
      <c r="A853" t="s">
        <v>66</v>
      </c>
      <c r="D853">
        <f t="shared" ref="D853:W853" si="613">D133*D205</f>
        <v>1109.6166232617131</v>
      </c>
      <c r="E853">
        <f t="shared" si="613"/>
        <v>975.44561599998292</v>
      </c>
      <c r="F853">
        <f t="shared" si="613"/>
        <v>717.56690820555343</v>
      </c>
      <c r="G853">
        <f t="shared" si="613"/>
        <v>621.4791447117849</v>
      </c>
      <c r="H853">
        <f t="shared" si="613"/>
        <v>824.84338355125203</v>
      </c>
      <c r="I853">
        <f t="shared" si="613"/>
        <v>844.03521561068089</v>
      </c>
      <c r="J853">
        <f t="shared" si="613"/>
        <v>840.01632601697929</v>
      </c>
      <c r="K853">
        <f t="shared" si="613"/>
        <v>855.88513764694278</v>
      </c>
      <c r="L853">
        <f t="shared" si="613"/>
        <v>703.81757395219984</v>
      </c>
      <c r="M853">
        <f t="shared" si="613"/>
        <v>503.20050830328489</v>
      </c>
      <c r="N853">
        <f t="shared" si="613"/>
        <v>550.82085543337496</v>
      </c>
      <c r="O853">
        <f t="shared" si="613"/>
        <v>808.79417615493639</v>
      </c>
      <c r="P853">
        <f t="shared" si="613"/>
        <v>747.04847455095569</v>
      </c>
      <c r="Q853">
        <f t="shared" si="613"/>
        <v>474.1282409308161</v>
      </c>
      <c r="R853">
        <f t="shared" si="613"/>
        <v>593.42900057736574</v>
      </c>
      <c r="S853">
        <f t="shared" si="613"/>
        <v>568.72392142361036</v>
      </c>
      <c r="T853">
        <f t="shared" si="613"/>
        <v>571.62365642300654</v>
      </c>
      <c r="U853">
        <f t="shared" si="613"/>
        <v>772.1121385846252</v>
      </c>
      <c r="V853">
        <f t="shared" si="613"/>
        <v>593.19469592053622</v>
      </c>
      <c r="W853">
        <f t="shared" si="613"/>
        <v>433.61870776800862</v>
      </c>
      <c r="Y853" s="6">
        <f t="shared" si="589"/>
        <v>14109.40030502761</v>
      </c>
      <c r="Z853">
        <f t="shared" si="590"/>
        <v>1805.5427830243934</v>
      </c>
    </row>
    <row r="854" spans="1:26" x14ac:dyDescent="0.25">
      <c r="A854" t="s">
        <v>67</v>
      </c>
      <c r="D854">
        <f t="shared" ref="D854:W854" si="614">D134*D206</f>
        <v>741.06476804405827</v>
      </c>
      <c r="E854">
        <f t="shared" si="614"/>
        <v>601.59789592724371</v>
      </c>
      <c r="F854">
        <f t="shared" si="614"/>
        <v>796.53946688015174</v>
      </c>
      <c r="G854">
        <f t="shared" si="614"/>
        <v>729.15306673241184</v>
      </c>
      <c r="H854">
        <f t="shared" si="614"/>
        <v>1001.745609402195</v>
      </c>
      <c r="I854">
        <f t="shared" si="614"/>
        <v>793.56141505668529</v>
      </c>
      <c r="J854">
        <f t="shared" si="614"/>
        <v>861.02381682751707</v>
      </c>
      <c r="K854">
        <f t="shared" si="614"/>
        <v>786.75888735525052</v>
      </c>
      <c r="L854">
        <f t="shared" si="614"/>
        <v>631.72276537312086</v>
      </c>
      <c r="M854">
        <f t="shared" si="614"/>
        <v>485.27046279075665</v>
      </c>
      <c r="N854">
        <f t="shared" si="614"/>
        <v>484.00437177630488</v>
      </c>
      <c r="O854">
        <f t="shared" si="614"/>
        <v>533.47959910245675</v>
      </c>
      <c r="P854">
        <f t="shared" si="614"/>
        <v>435.18243773755671</v>
      </c>
      <c r="Q854">
        <f t="shared" si="614"/>
        <v>452.05716248513994</v>
      </c>
      <c r="R854">
        <f t="shared" si="614"/>
        <v>492.5961901802591</v>
      </c>
      <c r="S854">
        <f t="shared" si="614"/>
        <v>551.49552794514534</v>
      </c>
      <c r="T854">
        <f t="shared" si="614"/>
        <v>598.58030403495889</v>
      </c>
      <c r="U854">
        <f t="shared" si="614"/>
        <v>543.84985091713509</v>
      </c>
      <c r="V854">
        <f t="shared" si="614"/>
        <v>800.8958845573959</v>
      </c>
      <c r="W854">
        <f t="shared" si="614"/>
        <v>640.78444537531652</v>
      </c>
      <c r="Y854" s="6">
        <f t="shared" si="589"/>
        <v>12961.363928501059</v>
      </c>
      <c r="Z854">
        <f t="shared" si="590"/>
        <v>1638.298711384354</v>
      </c>
    </row>
    <row r="855" spans="1:26" x14ac:dyDescent="0.25">
      <c r="A855" t="s">
        <v>68</v>
      </c>
      <c r="D855">
        <f t="shared" ref="D855:W855" si="615">D135*D207</f>
        <v>1069.833502755348</v>
      </c>
      <c r="E855">
        <f t="shared" si="615"/>
        <v>796.91274533952151</v>
      </c>
      <c r="F855">
        <f t="shared" si="615"/>
        <v>1035.5052569796528</v>
      </c>
      <c r="G855">
        <f t="shared" si="615"/>
        <v>868.09374841349438</v>
      </c>
      <c r="H855">
        <f t="shared" si="615"/>
        <v>740.14618860057271</v>
      </c>
      <c r="I855">
        <f t="shared" si="615"/>
        <v>745.91688954819017</v>
      </c>
      <c r="J855">
        <f t="shared" si="615"/>
        <v>506.66772122235483</v>
      </c>
      <c r="K855">
        <f t="shared" si="615"/>
        <v>535.45621338687727</v>
      </c>
      <c r="L855">
        <f t="shared" si="615"/>
        <v>817.11348912746519</v>
      </c>
      <c r="M855">
        <f t="shared" si="615"/>
        <v>465.00327979372776</v>
      </c>
      <c r="N855">
        <f t="shared" si="615"/>
        <v>559.57148876630833</v>
      </c>
      <c r="O855">
        <f t="shared" si="615"/>
        <v>443.24835766267125</v>
      </c>
      <c r="P855">
        <f t="shared" si="615"/>
        <v>586.70721312557077</v>
      </c>
      <c r="Q855">
        <f t="shared" si="615"/>
        <v>707.60718315961662</v>
      </c>
      <c r="R855">
        <f t="shared" si="615"/>
        <v>941.67971562503237</v>
      </c>
      <c r="S855">
        <f t="shared" si="615"/>
        <v>937.50357754049162</v>
      </c>
      <c r="T855">
        <f t="shared" si="615"/>
        <v>737.44549271102426</v>
      </c>
      <c r="U855">
        <f t="shared" si="615"/>
        <v>715.81102533295837</v>
      </c>
      <c r="V855">
        <f t="shared" si="615"/>
        <v>742.16817894054202</v>
      </c>
      <c r="W855">
        <f t="shared" si="615"/>
        <v>787.42576415270139</v>
      </c>
      <c r="Y855" s="6">
        <f t="shared" si="589"/>
        <v>14739.817032184119</v>
      </c>
      <c r="Z855">
        <f t="shared" si="590"/>
        <v>2193.2758264525687</v>
      </c>
    </row>
    <row r="856" spans="1:26" x14ac:dyDescent="0.25">
      <c r="A856" t="s">
        <v>69</v>
      </c>
      <c r="D856">
        <f t="shared" ref="D856:W856" si="616">D136*D208</f>
        <v>810.93978178171653</v>
      </c>
      <c r="E856">
        <f t="shared" si="616"/>
        <v>1227.8593940608866</v>
      </c>
      <c r="F856">
        <f t="shared" si="616"/>
        <v>1134.7477710175722</v>
      </c>
      <c r="G856">
        <f t="shared" si="616"/>
        <v>998.72219157574034</v>
      </c>
      <c r="H856">
        <f t="shared" si="616"/>
        <v>970.69446421953387</v>
      </c>
      <c r="I856">
        <f t="shared" si="616"/>
        <v>1010.4350813467182</v>
      </c>
      <c r="J856">
        <f t="shared" si="616"/>
        <v>488.69786573319146</v>
      </c>
      <c r="K856">
        <f t="shared" si="616"/>
        <v>597.44219265280844</v>
      </c>
      <c r="L856">
        <f t="shared" si="616"/>
        <v>446.2611247311246</v>
      </c>
      <c r="M856">
        <f t="shared" si="616"/>
        <v>500.23453819221942</v>
      </c>
      <c r="N856">
        <f t="shared" si="616"/>
        <v>539.44345375647845</v>
      </c>
      <c r="O856">
        <f t="shared" si="616"/>
        <v>452.44312742402406</v>
      </c>
      <c r="P856">
        <f t="shared" si="616"/>
        <v>481.74296289050886</v>
      </c>
      <c r="Q856">
        <f t="shared" si="616"/>
        <v>463.89873075935736</v>
      </c>
      <c r="R856">
        <f t="shared" si="616"/>
        <v>331.63837707073952</v>
      </c>
      <c r="S856">
        <f t="shared" si="616"/>
        <v>385.9926736948222</v>
      </c>
      <c r="T856">
        <f t="shared" si="616"/>
        <v>507.885750489972</v>
      </c>
      <c r="U856">
        <f t="shared" si="616"/>
        <v>721.59804642977667</v>
      </c>
      <c r="V856">
        <f t="shared" si="616"/>
        <v>578.60480226938466</v>
      </c>
      <c r="W856">
        <f t="shared" si="616"/>
        <v>608.6918168080465</v>
      </c>
      <c r="Y856" s="6">
        <f t="shared" si="589"/>
        <v>13257.97414690462</v>
      </c>
      <c r="Z856">
        <f t="shared" si="590"/>
        <v>2064.0420116028354</v>
      </c>
    </row>
    <row r="857" spans="1:26" x14ac:dyDescent="0.25">
      <c r="Y857" s="6"/>
    </row>
    <row r="858" spans="1:26" x14ac:dyDescent="0.25">
      <c r="A858" t="s">
        <v>70</v>
      </c>
      <c r="D858">
        <f t="shared" ref="D858:W858" si="617">D138*D210</f>
        <v>1050.52569190809</v>
      </c>
      <c r="E858">
        <f t="shared" si="617"/>
        <v>898.60692518775249</v>
      </c>
      <c r="F858">
        <f t="shared" si="617"/>
        <v>850.01814834471872</v>
      </c>
      <c r="G858">
        <f t="shared" si="617"/>
        <v>810.7064096253772</v>
      </c>
      <c r="H858">
        <f t="shared" si="617"/>
        <v>733.0327745593745</v>
      </c>
      <c r="I858">
        <f t="shared" si="617"/>
        <v>976.59616621002192</v>
      </c>
      <c r="J858">
        <f t="shared" si="617"/>
        <v>970.03094812736038</v>
      </c>
      <c r="K858">
        <f t="shared" si="617"/>
        <v>671.71578986181123</v>
      </c>
      <c r="L858">
        <f t="shared" si="617"/>
        <v>521.18387876352267</v>
      </c>
      <c r="M858">
        <f t="shared" si="617"/>
        <v>489.84790584498154</v>
      </c>
      <c r="N858">
        <f t="shared" si="617"/>
        <v>491.23819066447834</v>
      </c>
      <c r="O858">
        <f t="shared" si="617"/>
        <v>554.19294143557624</v>
      </c>
      <c r="P858">
        <f t="shared" si="617"/>
        <v>456.50179027465288</v>
      </c>
      <c r="Q858">
        <f t="shared" si="617"/>
        <v>520.19915598729904</v>
      </c>
      <c r="R858">
        <f t="shared" si="617"/>
        <v>592.07351826557863</v>
      </c>
      <c r="S858">
        <f t="shared" si="617"/>
        <v>618.33335761941407</v>
      </c>
      <c r="T858">
        <f t="shared" si="617"/>
        <v>598.59212636310735</v>
      </c>
      <c r="U858">
        <f t="shared" si="617"/>
        <v>655.99819795354222</v>
      </c>
      <c r="V858">
        <f t="shared" si="617"/>
        <v>619.15024554753688</v>
      </c>
      <c r="W858">
        <f t="shared" si="617"/>
        <v>634.13718977789983</v>
      </c>
      <c r="Y858" s="6">
        <f t="shared" si="589"/>
        <v>13712.681352322095</v>
      </c>
      <c r="Z858">
        <f>SUMPRODUCT($D$862:$W$862,D858:W858)</f>
        <v>1931.8664778830898</v>
      </c>
    </row>
    <row r="859" spans="1:26" x14ac:dyDescent="0.25">
      <c r="A859" t="s">
        <v>313</v>
      </c>
      <c r="D859">
        <f t="shared" ref="D859:W859" si="618">D139*D211</f>
        <v>1120.0933915103105</v>
      </c>
      <c r="E859">
        <f t="shared" si="618"/>
        <v>1127.3228438941624</v>
      </c>
      <c r="F859">
        <f t="shared" si="618"/>
        <v>675.96877035614511</v>
      </c>
      <c r="G859">
        <f t="shared" si="618"/>
        <v>800.38774272792568</v>
      </c>
      <c r="H859">
        <f t="shared" si="618"/>
        <v>947.3971067954144</v>
      </c>
      <c r="I859">
        <f t="shared" si="618"/>
        <v>890.32257609904138</v>
      </c>
      <c r="J859">
        <f t="shared" si="618"/>
        <v>898.38146365331193</v>
      </c>
      <c r="K859">
        <f t="shared" si="618"/>
        <v>684.6585898435244</v>
      </c>
      <c r="L859">
        <f t="shared" si="618"/>
        <v>626.48273687315213</v>
      </c>
      <c r="M859">
        <f t="shared" si="618"/>
        <v>628.26651383635874</v>
      </c>
      <c r="N859">
        <f t="shared" si="618"/>
        <v>534.48587185822566</v>
      </c>
      <c r="O859">
        <f t="shared" si="618"/>
        <v>608.20499129387031</v>
      </c>
      <c r="P859">
        <f t="shared" si="618"/>
        <v>765.59999999999991</v>
      </c>
      <c r="Q859">
        <f t="shared" si="618"/>
        <v>772.59</v>
      </c>
      <c r="R859">
        <f t="shared" si="618"/>
        <v>940.68</v>
      </c>
      <c r="S859">
        <f t="shared" si="618"/>
        <v>266.19</v>
      </c>
      <c r="T859">
        <f t="shared" si="618"/>
        <v>577.19999999999993</v>
      </c>
      <c r="U859">
        <f t="shared" si="618"/>
        <v>639.59999999999991</v>
      </c>
      <c r="V859">
        <f t="shared" si="618"/>
        <v>650.65</v>
      </c>
      <c r="W859">
        <f t="shared" si="618"/>
        <v>612.38</v>
      </c>
      <c r="Y859" s="6">
        <f t="shared" si="589"/>
        <v>14766.862598741443</v>
      </c>
      <c r="Z859">
        <f>SUMPRODUCT($D$862:$W$862,D859:W859)</f>
        <v>1826.3059938226097</v>
      </c>
    </row>
    <row r="860" spans="1:26" x14ac:dyDescent="0.25">
      <c r="A860" t="s">
        <v>314</v>
      </c>
      <c r="D860">
        <f t="shared" ref="D860:W860" si="619">D140*D212</f>
        <v>1041.5777401522332</v>
      </c>
      <c r="E860">
        <f t="shared" si="619"/>
        <v>915.37995720012066</v>
      </c>
      <c r="F860">
        <f t="shared" si="619"/>
        <v>636.50713110202139</v>
      </c>
      <c r="G860">
        <f t="shared" si="619"/>
        <v>835.02538079638316</v>
      </c>
      <c r="H860">
        <f t="shared" si="619"/>
        <v>958.54909921575256</v>
      </c>
      <c r="I860">
        <f t="shared" si="619"/>
        <v>836.07661659724749</v>
      </c>
      <c r="J860">
        <f t="shared" si="619"/>
        <v>727.47300136771764</v>
      </c>
      <c r="K860">
        <f t="shared" si="619"/>
        <v>606.34</v>
      </c>
      <c r="L860">
        <f t="shared" si="619"/>
        <v>537.24</v>
      </c>
      <c r="M860">
        <f t="shared" si="619"/>
        <v>549.01</v>
      </c>
      <c r="N860">
        <f t="shared" si="619"/>
        <v>588.75999999999988</v>
      </c>
      <c r="O860">
        <f t="shared" si="619"/>
        <v>644.91000000000008</v>
      </c>
      <c r="P860">
        <f t="shared" si="619"/>
        <v>430.02284479337322</v>
      </c>
      <c r="Q860">
        <f t="shared" si="619"/>
        <v>470.01925432421382</v>
      </c>
      <c r="R860">
        <f t="shared" si="619"/>
        <v>531.724146207427</v>
      </c>
      <c r="S860">
        <f t="shared" si="619"/>
        <v>595.76688997431972</v>
      </c>
      <c r="T860">
        <f t="shared" si="619"/>
        <v>640.5312566494523</v>
      </c>
      <c r="U860">
        <f t="shared" si="619"/>
        <v>570.58091005243148</v>
      </c>
      <c r="V860">
        <f t="shared" si="619"/>
        <v>543.07522583593084</v>
      </c>
      <c r="W860">
        <f t="shared" si="619"/>
        <v>594.81015634409414</v>
      </c>
      <c r="Y860" s="6">
        <f t="shared" si="589"/>
        <v>13253.379610612719</v>
      </c>
      <c r="Z860">
        <f>SUMPRODUCT($D$862:$W$862,D860:W860)</f>
        <v>1882.6713805115146</v>
      </c>
    </row>
    <row r="861" spans="1:26" x14ac:dyDescent="0.25">
      <c r="A861" t="s">
        <v>658</v>
      </c>
      <c r="D861">
        <f t="shared" ref="D861:W861" si="620">D141*D213</f>
        <v>977.15970993783571</v>
      </c>
      <c r="E861">
        <f t="shared" si="620"/>
        <v>1045.402815339605</v>
      </c>
      <c r="F861">
        <f t="shared" si="620"/>
        <v>1055.9331819413969</v>
      </c>
      <c r="G861">
        <f t="shared" si="620"/>
        <v>916.1270624766405</v>
      </c>
      <c r="H861">
        <f t="shared" si="620"/>
        <v>759.04628297808915</v>
      </c>
      <c r="I861">
        <f t="shared" si="620"/>
        <v>751.64</v>
      </c>
      <c r="J861">
        <f t="shared" si="620"/>
        <v>611.71</v>
      </c>
      <c r="K861">
        <f t="shared" si="620"/>
        <v>641.55999999999995</v>
      </c>
      <c r="L861">
        <f t="shared" si="620"/>
        <v>602.64</v>
      </c>
      <c r="M861">
        <f t="shared" si="620"/>
        <v>500.25</v>
      </c>
      <c r="N861">
        <f t="shared" si="620"/>
        <v>488.52</v>
      </c>
      <c r="O861">
        <f t="shared" si="620"/>
        <v>549.01</v>
      </c>
      <c r="P861">
        <f t="shared" si="620"/>
        <v>345.47479780550918</v>
      </c>
      <c r="Q861">
        <f t="shared" si="620"/>
        <v>488.76242338764382</v>
      </c>
      <c r="R861">
        <f t="shared" si="620"/>
        <v>274.47809071815368</v>
      </c>
      <c r="S861">
        <f t="shared" si="620"/>
        <v>554.20000000000005</v>
      </c>
      <c r="T861">
        <f t="shared" si="620"/>
        <v>598.82965686828163</v>
      </c>
      <c r="U861">
        <f t="shared" si="620"/>
        <v>549.68465948127596</v>
      </c>
      <c r="V861">
        <f t="shared" si="620"/>
        <v>463.67297735092518</v>
      </c>
      <c r="W861">
        <f t="shared" si="620"/>
        <v>605.68708237583417</v>
      </c>
      <c r="Y861" s="6">
        <f t="shared" ref="Y861" si="621">SUM(D861:W861)</f>
        <v>12779.788740661192</v>
      </c>
      <c r="Z861">
        <f>SUMPRODUCT($D$862:$W$862,D861:W861)</f>
        <v>1913.8297749988615</v>
      </c>
    </row>
    <row r="862" spans="1:26" x14ac:dyDescent="0.25">
      <c r="A862" s="2" t="s">
        <v>71</v>
      </c>
      <c r="D862" s="3">
        <f>CORREL($B$2:$B$28,D830:D856)</f>
        <v>0.36900577909878068</v>
      </c>
      <c r="E862" s="3">
        <f t="shared" ref="E862:W862" si="622">CORREL($B$2:$B$28,E830:E856)</f>
        <v>0.32531946210154827</v>
      </c>
      <c r="F862" s="3">
        <f t="shared" si="622"/>
        <v>0.19395552707182515</v>
      </c>
      <c r="G862" s="3">
        <f t="shared" si="622"/>
        <v>0.22396331049366702</v>
      </c>
      <c r="H862" s="3">
        <f t="shared" si="622"/>
        <v>0.14012481917258326</v>
      </c>
      <c r="I862" s="3">
        <f t="shared" si="622"/>
        <v>0.4544106304784471</v>
      </c>
      <c r="J862" s="3">
        <f t="shared" si="622"/>
        <v>-0.26004880179690831</v>
      </c>
      <c r="K862" s="3">
        <f t="shared" si="622"/>
        <v>3.6733386805987832E-2</v>
      </c>
      <c r="L862" s="3">
        <f t="shared" si="622"/>
        <v>-0.10114739654858143</v>
      </c>
      <c r="M862" s="3">
        <f t="shared" si="622"/>
        <v>-1.1661082566114067E-3</v>
      </c>
      <c r="N862" s="3">
        <f t="shared" si="622"/>
        <v>-8.8616762993855847E-2</v>
      </c>
      <c r="O862" s="3">
        <f t="shared" si="622"/>
        <v>-5.1512734271507224E-2</v>
      </c>
      <c r="P862" s="3">
        <f t="shared" si="622"/>
        <v>-6.9403712842522863E-2</v>
      </c>
      <c r="Q862" s="3">
        <f t="shared" si="622"/>
        <v>2.6336681209305421E-2</v>
      </c>
      <c r="R862" s="3">
        <f t="shared" si="622"/>
        <v>8.8903655641940818E-2</v>
      </c>
      <c r="S862" s="3">
        <f t="shared" si="622"/>
        <v>0.4902627698614781</v>
      </c>
      <c r="T862" s="3">
        <f t="shared" si="622"/>
        <v>0.2589883870007606</v>
      </c>
      <c r="U862" s="3">
        <f t="shared" si="622"/>
        <v>0.12024835033099664</v>
      </c>
      <c r="V862" s="3">
        <f t="shared" si="622"/>
        <v>0.1269310538909515</v>
      </c>
      <c r="W862" s="3">
        <f t="shared" si="622"/>
        <v>9.714527627817271E-2</v>
      </c>
    </row>
    <row r="865" spans="1:26" x14ac:dyDescent="0.25">
      <c r="D865" t="s">
        <v>270</v>
      </c>
      <c r="E865" t="s">
        <v>271</v>
      </c>
      <c r="F865" t="s">
        <v>272</v>
      </c>
      <c r="G865" t="s">
        <v>273</v>
      </c>
      <c r="H865" t="s">
        <v>274</v>
      </c>
      <c r="I865" t="s">
        <v>275</v>
      </c>
      <c r="J865" t="s">
        <v>276</v>
      </c>
      <c r="K865" t="s">
        <v>277</v>
      </c>
      <c r="L865" t="s">
        <v>339</v>
      </c>
      <c r="M865" t="s">
        <v>415</v>
      </c>
      <c r="N865" t="s">
        <v>416</v>
      </c>
      <c r="O865" t="s">
        <v>417</v>
      </c>
      <c r="P865" t="s">
        <v>530</v>
      </c>
      <c r="Q865" t="s">
        <v>531</v>
      </c>
      <c r="R865" t="s">
        <v>532</v>
      </c>
      <c r="S865" t="s">
        <v>533</v>
      </c>
      <c r="T865" t="s">
        <v>642</v>
      </c>
      <c r="U865" t="s">
        <v>643</v>
      </c>
      <c r="V865" t="s">
        <v>644</v>
      </c>
      <c r="W865" t="s">
        <v>645</v>
      </c>
      <c r="Y865" t="s">
        <v>278</v>
      </c>
      <c r="Z865" t="s">
        <v>279</v>
      </c>
    </row>
    <row r="866" spans="1:26" x14ac:dyDescent="0.25">
      <c r="A866" t="s">
        <v>43</v>
      </c>
      <c r="D866">
        <f t="shared" ref="D866:W866" si="623">D110*D218</f>
        <v>466.64859416854836</v>
      </c>
      <c r="E866">
        <f t="shared" si="623"/>
        <v>462.09746984174177</v>
      </c>
      <c r="F866">
        <f t="shared" si="623"/>
        <v>357.86907891733989</v>
      </c>
      <c r="G866">
        <f t="shared" si="623"/>
        <v>570.84171933928246</v>
      </c>
      <c r="H866">
        <f t="shared" si="623"/>
        <v>478.99639951956198</v>
      </c>
      <c r="I866">
        <f t="shared" si="623"/>
        <v>412.34568654572041</v>
      </c>
      <c r="J866">
        <f t="shared" si="623"/>
        <v>692.32552719225419</v>
      </c>
      <c r="K866">
        <f t="shared" si="623"/>
        <v>500.52085810087891</v>
      </c>
      <c r="L866">
        <f t="shared" si="623"/>
        <v>513.62596685234291</v>
      </c>
      <c r="M866">
        <f t="shared" si="623"/>
        <v>196.45680643558433</v>
      </c>
      <c r="N866">
        <f t="shared" si="623"/>
        <v>245.1154096886269</v>
      </c>
      <c r="O866">
        <f t="shared" si="623"/>
        <v>503.50497679441656</v>
      </c>
      <c r="P866">
        <f t="shared" si="623"/>
        <v>406.38080182413518</v>
      </c>
      <c r="Q866">
        <f t="shared" si="623"/>
        <v>411.08294862291586</v>
      </c>
      <c r="R866">
        <f t="shared" si="623"/>
        <v>389.76487153249053</v>
      </c>
      <c r="S866">
        <f t="shared" si="623"/>
        <v>380.36598233481465</v>
      </c>
      <c r="T866">
        <f t="shared" si="623"/>
        <v>238.18011202228041</v>
      </c>
      <c r="U866">
        <f t="shared" si="623"/>
        <v>174.13481092915168</v>
      </c>
      <c r="V866">
        <f t="shared" si="623"/>
        <v>459.0439806784932</v>
      </c>
      <c r="W866">
        <f t="shared" si="623"/>
        <v>283.1406446076378</v>
      </c>
      <c r="Y866" s="6">
        <f t="shared" ref="Y866:Y896" si="624">SUM(D866:W866)</f>
        <v>8142.4426459482193</v>
      </c>
      <c r="Z866">
        <f t="shared" ref="Z866:Z892" si="625">SUMPRODUCT($D$898:$W$898,D866:W866)</f>
        <v>-38.04484855291868</v>
      </c>
    </row>
    <row r="867" spans="1:26" x14ac:dyDescent="0.25">
      <c r="A867" t="s">
        <v>44</v>
      </c>
      <c r="D867">
        <f t="shared" ref="D867:W867" si="626">D111*D219</f>
        <v>297.09643348423447</v>
      </c>
      <c r="E867">
        <f t="shared" si="626"/>
        <v>291.04340886117421</v>
      </c>
      <c r="F867">
        <f t="shared" si="626"/>
        <v>769.74007519499412</v>
      </c>
      <c r="G867">
        <f t="shared" si="626"/>
        <v>367.22932246681938</v>
      </c>
      <c r="H867">
        <f t="shared" si="626"/>
        <v>350.12117958781772</v>
      </c>
      <c r="I867">
        <f t="shared" si="626"/>
        <v>326.20910918838388</v>
      </c>
      <c r="J867">
        <f t="shared" si="626"/>
        <v>292.09840643403084</v>
      </c>
      <c r="K867">
        <f t="shared" si="626"/>
        <v>178.37452043086819</v>
      </c>
      <c r="L867">
        <f t="shared" si="626"/>
        <v>286.85713035794743</v>
      </c>
      <c r="M867">
        <f t="shared" si="626"/>
        <v>393.87489237389883</v>
      </c>
      <c r="N867">
        <f t="shared" si="626"/>
        <v>838.61027073861271</v>
      </c>
      <c r="O867">
        <f t="shared" si="626"/>
        <v>431.82907189206793</v>
      </c>
      <c r="P867">
        <f t="shared" si="626"/>
        <v>250.87454889308461</v>
      </c>
      <c r="Q867">
        <f t="shared" si="626"/>
        <v>286.86848590916424</v>
      </c>
      <c r="R867">
        <f t="shared" si="626"/>
        <v>381.24284097968859</v>
      </c>
      <c r="S867">
        <f t="shared" si="626"/>
        <v>401.72726172582946</v>
      </c>
      <c r="T867">
        <f t="shared" si="626"/>
        <v>461.04126772450388</v>
      </c>
      <c r="U867">
        <f t="shared" si="626"/>
        <v>308.03276165796319</v>
      </c>
      <c r="V867">
        <f t="shared" si="626"/>
        <v>522.22650940539438</v>
      </c>
      <c r="W867">
        <f t="shared" si="626"/>
        <v>694.09276395557845</v>
      </c>
      <c r="Y867" s="6">
        <f t="shared" si="624"/>
        <v>8129.1902612620579</v>
      </c>
      <c r="Z867">
        <f t="shared" si="625"/>
        <v>-47.938815464534905</v>
      </c>
    </row>
    <row r="868" spans="1:26" x14ac:dyDescent="0.25">
      <c r="A868" t="s">
        <v>45</v>
      </c>
      <c r="D868">
        <f t="shared" ref="D868:W868" si="627">D112*D220</f>
        <v>288.91343804353721</v>
      </c>
      <c r="E868">
        <f t="shared" si="627"/>
        <v>146.19513534347917</v>
      </c>
      <c r="F868">
        <f t="shared" si="627"/>
        <v>174.67510508888347</v>
      </c>
      <c r="G868">
        <f t="shared" si="627"/>
        <v>571.78083061339873</v>
      </c>
      <c r="H868">
        <f t="shared" si="627"/>
        <v>679.63198470082659</v>
      </c>
      <c r="I868">
        <f t="shared" si="627"/>
        <v>384.89373722440769</v>
      </c>
      <c r="J868">
        <f t="shared" si="627"/>
        <v>647.12721958171312</v>
      </c>
      <c r="K868">
        <f t="shared" si="627"/>
        <v>385.33966309357822</v>
      </c>
      <c r="L868">
        <f t="shared" si="627"/>
        <v>443.04327186328885</v>
      </c>
      <c r="M868">
        <f t="shared" si="627"/>
        <v>394.68167815421344</v>
      </c>
      <c r="N868">
        <f t="shared" si="627"/>
        <v>535.76767479092905</v>
      </c>
      <c r="O868">
        <f t="shared" si="627"/>
        <v>378.18393084932109</v>
      </c>
      <c r="P868">
        <f t="shared" si="627"/>
        <v>175.88985001267926</v>
      </c>
      <c r="Q868">
        <f t="shared" si="627"/>
        <v>191.42609035265446</v>
      </c>
      <c r="R868">
        <f t="shared" si="627"/>
        <v>478.04744395756444</v>
      </c>
      <c r="S868">
        <f t="shared" si="627"/>
        <v>451.47682758827102</v>
      </c>
      <c r="T868">
        <f t="shared" si="627"/>
        <v>674.30083870528108</v>
      </c>
      <c r="U868">
        <f t="shared" si="627"/>
        <v>642.63574490798635</v>
      </c>
      <c r="V868">
        <f t="shared" si="627"/>
        <v>662.2205930399316</v>
      </c>
      <c r="W868">
        <f t="shared" si="627"/>
        <v>801.79101316086712</v>
      </c>
      <c r="Y868" s="6">
        <f t="shared" si="624"/>
        <v>9108.0220710728117</v>
      </c>
      <c r="Z868">
        <f t="shared" si="625"/>
        <v>-71.212478993881078</v>
      </c>
    </row>
    <row r="869" spans="1:26" x14ac:dyDescent="0.25">
      <c r="A869" t="s">
        <v>46</v>
      </c>
      <c r="D869">
        <f t="shared" ref="D869:W869" si="628">D113*D221</f>
        <v>426.12156573631739</v>
      </c>
      <c r="E869">
        <f t="shared" si="628"/>
        <v>318.65930740777776</v>
      </c>
      <c r="F869">
        <f t="shared" si="628"/>
        <v>402.51516675304742</v>
      </c>
      <c r="G869">
        <f t="shared" si="628"/>
        <v>423.34527020700034</v>
      </c>
      <c r="H869">
        <f t="shared" si="628"/>
        <v>350.0959021553191</v>
      </c>
      <c r="I869">
        <f t="shared" si="628"/>
        <v>394.03620632397849</v>
      </c>
      <c r="J869">
        <f t="shared" si="628"/>
        <v>473.32368503023878</v>
      </c>
      <c r="K869">
        <f t="shared" si="628"/>
        <v>696.91845046044853</v>
      </c>
      <c r="L869">
        <f t="shared" si="628"/>
        <v>779.22450618231983</v>
      </c>
      <c r="M869">
        <f t="shared" si="628"/>
        <v>571.90884530732831</v>
      </c>
      <c r="N869">
        <f t="shared" si="628"/>
        <v>328.14912998708832</v>
      </c>
      <c r="O869">
        <f t="shared" si="628"/>
        <v>510.84081146257091</v>
      </c>
      <c r="P869">
        <f t="shared" si="628"/>
        <v>314.78229751819907</v>
      </c>
      <c r="Q869">
        <f t="shared" si="628"/>
        <v>459.74815626166054</v>
      </c>
      <c r="R869">
        <f t="shared" si="628"/>
        <v>242.07534807297645</v>
      </c>
      <c r="S869">
        <f t="shared" si="628"/>
        <v>630.53666447699197</v>
      </c>
      <c r="T869">
        <f t="shared" si="628"/>
        <v>312.09566339697318</v>
      </c>
      <c r="U869">
        <f t="shared" si="628"/>
        <v>294.10791942339921</v>
      </c>
      <c r="V869">
        <f t="shared" si="628"/>
        <v>284.44555164680577</v>
      </c>
      <c r="W869">
        <f t="shared" si="628"/>
        <v>380.28797962226696</v>
      </c>
      <c r="Y869" s="6">
        <f t="shared" si="624"/>
        <v>8593.2184274327083</v>
      </c>
      <c r="Z869">
        <f t="shared" si="625"/>
        <v>-73.144648510595744</v>
      </c>
    </row>
    <row r="870" spans="1:26" x14ac:dyDescent="0.25">
      <c r="A870" t="s">
        <v>47</v>
      </c>
      <c r="D870">
        <f t="shared" ref="D870:W870" si="629">D114*D222</f>
        <v>653.92871774835771</v>
      </c>
      <c r="E870">
        <f t="shared" si="629"/>
        <v>641.13583166243097</v>
      </c>
      <c r="F870">
        <f t="shared" si="629"/>
        <v>504.08251597755384</v>
      </c>
      <c r="G870">
        <f t="shared" si="629"/>
        <v>830.39174682094392</v>
      </c>
      <c r="H870">
        <f t="shared" si="629"/>
        <v>436.12846373013559</v>
      </c>
      <c r="I870">
        <f t="shared" si="629"/>
        <v>512.36310686747402</v>
      </c>
      <c r="J870">
        <f t="shared" si="629"/>
        <v>578.32106920802278</v>
      </c>
      <c r="K870">
        <f t="shared" si="629"/>
        <v>626.02164607743714</v>
      </c>
      <c r="L870">
        <f t="shared" si="629"/>
        <v>498.12052138877436</v>
      </c>
      <c r="M870">
        <f t="shared" si="629"/>
        <v>578.12841617720142</v>
      </c>
      <c r="N870">
        <f t="shared" si="629"/>
        <v>594.15767145706138</v>
      </c>
      <c r="O870">
        <f t="shared" si="629"/>
        <v>620.78583991013579</v>
      </c>
      <c r="P870">
        <f t="shared" si="629"/>
        <v>733.10596361847104</v>
      </c>
      <c r="Q870">
        <f t="shared" si="629"/>
        <v>383.27430891759894</v>
      </c>
      <c r="R870">
        <f t="shared" si="629"/>
        <v>721.2509209095773</v>
      </c>
      <c r="S870">
        <f t="shared" si="629"/>
        <v>673.34927793038094</v>
      </c>
      <c r="T870">
        <f t="shared" si="629"/>
        <v>1867.1221774064422</v>
      </c>
      <c r="U870">
        <f t="shared" si="629"/>
        <v>1719.2183856187087</v>
      </c>
      <c r="V870">
        <f t="shared" si="629"/>
        <v>642.32198963265625</v>
      </c>
      <c r="W870">
        <f t="shared" si="629"/>
        <v>814.68316376322286</v>
      </c>
      <c r="Y870" s="6">
        <f t="shared" si="624"/>
        <v>14627.891734822586</v>
      </c>
      <c r="Z870">
        <f t="shared" si="625"/>
        <v>225.23151900447183</v>
      </c>
    </row>
    <row r="871" spans="1:26" x14ac:dyDescent="0.25">
      <c r="A871" t="s">
        <v>48</v>
      </c>
      <c r="D871">
        <f t="shared" ref="D871:W871" si="630">D115*D223</f>
        <v>1044.9713761098008</v>
      </c>
      <c r="E871">
        <f t="shared" si="630"/>
        <v>1194.6301485053357</v>
      </c>
      <c r="F871">
        <f t="shared" si="630"/>
        <v>1335.4375723240873</v>
      </c>
      <c r="G871">
        <f t="shared" si="630"/>
        <v>1502.4124305143664</v>
      </c>
      <c r="H871">
        <f t="shared" si="630"/>
        <v>1579.6137486125799</v>
      </c>
      <c r="I871">
        <f t="shared" si="630"/>
        <v>1353.2205219964872</v>
      </c>
      <c r="J871">
        <f t="shared" si="630"/>
        <v>1828.4610420855918</v>
      </c>
      <c r="K871">
        <f t="shared" si="630"/>
        <v>1582.163646333365</v>
      </c>
      <c r="L871">
        <f t="shared" si="630"/>
        <v>917.15443501290099</v>
      </c>
      <c r="M871">
        <f t="shared" si="630"/>
        <v>463.27512599479491</v>
      </c>
      <c r="N871">
        <f t="shared" si="630"/>
        <v>562.90626001522628</v>
      </c>
      <c r="O871">
        <f t="shared" si="630"/>
        <v>407.83430850858753</v>
      </c>
      <c r="P871">
        <f t="shared" si="630"/>
        <v>829.87737892535029</v>
      </c>
      <c r="Q871">
        <f t="shared" si="630"/>
        <v>766.00052382133151</v>
      </c>
      <c r="R871">
        <f t="shared" si="630"/>
        <v>571.70618784359078</v>
      </c>
      <c r="S871">
        <f t="shared" si="630"/>
        <v>182.56257441537937</v>
      </c>
      <c r="T871">
        <f t="shared" si="630"/>
        <v>300.15414004675381</v>
      </c>
      <c r="U871">
        <f t="shared" si="630"/>
        <v>372.09689332190771</v>
      </c>
      <c r="V871">
        <f t="shared" si="630"/>
        <v>392.11244538860961</v>
      </c>
      <c r="W871">
        <f t="shared" si="630"/>
        <v>412.63095729111677</v>
      </c>
      <c r="Y871" s="6">
        <f t="shared" si="624"/>
        <v>17599.221717067161</v>
      </c>
      <c r="Z871">
        <f t="shared" si="625"/>
        <v>262.94397403080018</v>
      </c>
    </row>
    <row r="872" spans="1:26" x14ac:dyDescent="0.25">
      <c r="A872" t="s">
        <v>49</v>
      </c>
      <c r="D872">
        <f t="shared" ref="D872:W872" si="631">D116*D224</f>
        <v>368.38705232541042</v>
      </c>
      <c r="E872">
        <f t="shared" si="631"/>
        <v>558.97947254049825</v>
      </c>
      <c r="F872">
        <f t="shared" si="631"/>
        <v>679.26638179081522</v>
      </c>
      <c r="G872">
        <f t="shared" si="631"/>
        <v>640.91510861612073</v>
      </c>
      <c r="H872">
        <f t="shared" si="631"/>
        <v>457.61508342479567</v>
      </c>
      <c r="I872">
        <f t="shared" si="631"/>
        <v>574.72960714467445</v>
      </c>
      <c r="J872">
        <f t="shared" si="631"/>
        <v>596.9807306256198</v>
      </c>
      <c r="K872">
        <f t="shared" si="631"/>
        <v>678.62057826372779</v>
      </c>
      <c r="L872">
        <f t="shared" si="631"/>
        <v>460.84475354162822</v>
      </c>
      <c r="M872">
        <f t="shared" si="631"/>
        <v>483.89518543833537</v>
      </c>
      <c r="N872">
        <f t="shared" si="631"/>
        <v>566.6959683793051</v>
      </c>
      <c r="O872">
        <f t="shared" si="631"/>
        <v>497.19985059897306</v>
      </c>
      <c r="P872">
        <f t="shared" si="631"/>
        <v>957.54856499734819</v>
      </c>
      <c r="Q872">
        <f t="shared" si="631"/>
        <v>1229.2203109403829</v>
      </c>
      <c r="R872">
        <f t="shared" si="631"/>
        <v>1048.4619488919873</v>
      </c>
      <c r="S872">
        <f t="shared" si="631"/>
        <v>661.38116339329724</v>
      </c>
      <c r="T872">
        <f t="shared" si="631"/>
        <v>398.28737240754299</v>
      </c>
      <c r="U872">
        <f t="shared" si="631"/>
        <v>562.41613366238346</v>
      </c>
      <c r="V872">
        <f t="shared" si="631"/>
        <v>677.06843537378245</v>
      </c>
      <c r="W872">
        <f t="shared" si="631"/>
        <v>403.03583870674066</v>
      </c>
      <c r="Y872" s="6">
        <f t="shared" si="624"/>
        <v>12501.549541063368</v>
      </c>
      <c r="Z872">
        <f t="shared" si="625"/>
        <v>-239.2708535409455</v>
      </c>
    </row>
    <row r="873" spans="1:26" x14ac:dyDescent="0.25">
      <c r="A873" t="s">
        <v>50</v>
      </c>
      <c r="D873">
        <f t="shared" ref="D873:W873" si="632">D117*D225</f>
        <v>555.70327616919576</v>
      </c>
      <c r="E873">
        <f t="shared" si="632"/>
        <v>546.69562758238703</v>
      </c>
      <c r="F873">
        <f t="shared" si="632"/>
        <v>51.961004229828212</v>
      </c>
      <c r="G873">
        <f t="shared" si="632"/>
        <v>773.83230499851561</v>
      </c>
      <c r="H873">
        <f t="shared" si="632"/>
        <v>843.61124376819521</v>
      </c>
      <c r="I873">
        <f t="shared" si="632"/>
        <v>766.69848484591898</v>
      </c>
      <c r="J873">
        <f t="shared" si="632"/>
        <v>646.54029605620872</v>
      </c>
      <c r="K873">
        <f t="shared" si="632"/>
        <v>591.75470306564114</v>
      </c>
      <c r="L873">
        <f t="shared" si="632"/>
        <v>855.89239537665549</v>
      </c>
      <c r="M873">
        <f t="shared" si="632"/>
        <v>916.61424054005909</v>
      </c>
      <c r="N873">
        <f t="shared" si="632"/>
        <v>2137.5077223499679</v>
      </c>
      <c r="O873">
        <f t="shared" si="632"/>
        <v>2129.6281962213557</v>
      </c>
      <c r="P873">
        <f t="shared" si="632"/>
        <v>2543.9276107204246</v>
      </c>
      <c r="Q873">
        <f t="shared" si="632"/>
        <v>2732.3682946606637</v>
      </c>
      <c r="R873">
        <f t="shared" si="632"/>
        <v>249.85530304494381</v>
      </c>
      <c r="S873">
        <f t="shared" si="632"/>
        <v>210.00522117322924</v>
      </c>
      <c r="T873">
        <f t="shared" si="632"/>
        <v>864.38006249546879</v>
      </c>
      <c r="U873">
        <f t="shared" si="632"/>
        <v>498.74682139080147</v>
      </c>
      <c r="V873">
        <f t="shared" si="632"/>
        <v>755.11095516280318</v>
      </c>
      <c r="W873">
        <f t="shared" si="632"/>
        <v>439.27558841487456</v>
      </c>
      <c r="Y873" s="6">
        <f t="shared" si="624"/>
        <v>19110.10935226714</v>
      </c>
      <c r="Z873">
        <f t="shared" si="625"/>
        <v>-1531.6272380854546</v>
      </c>
    </row>
    <row r="874" spans="1:26" x14ac:dyDescent="0.25">
      <c r="A874" t="s">
        <v>51</v>
      </c>
      <c r="D874">
        <f t="shared" ref="D874:W874" si="633">D118*D226</f>
        <v>659.97619552994865</v>
      </c>
      <c r="E874">
        <f t="shared" si="633"/>
        <v>1648.6485887124209</v>
      </c>
      <c r="F874">
        <f t="shared" si="633"/>
        <v>2599.2460511135919</v>
      </c>
      <c r="G874">
        <f t="shared" si="633"/>
        <v>1078.914685858472</v>
      </c>
      <c r="H874">
        <f t="shared" si="633"/>
        <v>1092.4306346098695</v>
      </c>
      <c r="I874">
        <f t="shared" si="633"/>
        <v>705.12268684302967</v>
      </c>
      <c r="J874">
        <f t="shared" si="633"/>
        <v>1837.0996471051453</v>
      </c>
      <c r="K874">
        <f t="shared" si="633"/>
        <v>1630.4423262937614</v>
      </c>
      <c r="L874">
        <f t="shared" si="633"/>
        <v>2286.2184327126192</v>
      </c>
      <c r="M874">
        <f t="shared" si="633"/>
        <v>2230.0012949022394</v>
      </c>
      <c r="N874">
        <f t="shared" si="633"/>
        <v>1991.9192749631202</v>
      </c>
      <c r="O874">
        <f t="shared" si="633"/>
        <v>1405.5372613147997</v>
      </c>
      <c r="P874">
        <f t="shared" si="633"/>
        <v>2167.7533330906244</v>
      </c>
      <c r="Q874">
        <f t="shared" si="633"/>
        <v>1566.4303338808618</v>
      </c>
      <c r="R874">
        <f t="shared" si="633"/>
        <v>1889.4465188534962</v>
      </c>
      <c r="S874">
        <f t="shared" si="633"/>
        <v>1810.6231244976966</v>
      </c>
      <c r="T874">
        <f t="shared" si="633"/>
        <v>1594.1316182913058</v>
      </c>
      <c r="U874">
        <f t="shared" si="633"/>
        <v>1290.2157542748384</v>
      </c>
      <c r="V874">
        <f t="shared" si="633"/>
        <v>1512.9662015810345</v>
      </c>
      <c r="W874">
        <f t="shared" si="633"/>
        <v>1006.1995849485462</v>
      </c>
      <c r="Y874" s="6">
        <f t="shared" si="624"/>
        <v>32003.323549377423</v>
      </c>
      <c r="Z874">
        <f t="shared" si="625"/>
        <v>-866.77354158399851</v>
      </c>
    </row>
    <row r="875" spans="1:26" x14ac:dyDescent="0.25">
      <c r="A875" t="s">
        <v>52</v>
      </c>
      <c r="D875">
        <f t="shared" ref="D875:W875" si="634">D119*D227</f>
        <v>681.7499457542375</v>
      </c>
      <c r="E875">
        <f t="shared" si="634"/>
        <v>758.94000951827979</v>
      </c>
      <c r="F875">
        <f t="shared" si="634"/>
        <v>688.60249355882729</v>
      </c>
      <c r="G875">
        <f t="shared" si="634"/>
        <v>606.02840805515211</v>
      </c>
      <c r="H875">
        <f t="shared" si="634"/>
        <v>782.19835848064861</v>
      </c>
      <c r="I875">
        <f t="shared" si="634"/>
        <v>1023.4085964723848</v>
      </c>
      <c r="J875">
        <f t="shared" si="634"/>
        <v>344.72977985838509</v>
      </c>
      <c r="K875">
        <f t="shared" si="634"/>
        <v>505.43169865316696</v>
      </c>
      <c r="L875">
        <f t="shared" si="634"/>
        <v>613.33231328534191</v>
      </c>
      <c r="M875">
        <f t="shared" si="634"/>
        <v>518.12905204183448</v>
      </c>
      <c r="N875">
        <f t="shared" si="634"/>
        <v>560.11761891581193</v>
      </c>
      <c r="O875">
        <f t="shared" si="634"/>
        <v>539.44333264439433</v>
      </c>
      <c r="P875">
        <f t="shared" si="634"/>
        <v>606.08097619503224</v>
      </c>
      <c r="Q875">
        <f t="shared" si="634"/>
        <v>528.30937730875519</v>
      </c>
      <c r="R875">
        <f t="shared" si="634"/>
        <v>561.94784155439902</v>
      </c>
      <c r="S875">
        <f t="shared" si="634"/>
        <v>655.52587029926656</v>
      </c>
      <c r="T875">
        <f t="shared" si="634"/>
        <v>322.34021050952254</v>
      </c>
      <c r="U875">
        <f t="shared" si="634"/>
        <v>334.84163470199326</v>
      </c>
      <c r="V875">
        <f t="shared" si="634"/>
        <v>316.70659898223914</v>
      </c>
      <c r="W875">
        <f t="shared" si="634"/>
        <v>396.3416523796032</v>
      </c>
      <c r="Y875" s="6">
        <f t="shared" si="624"/>
        <v>11344.205769169277</v>
      </c>
      <c r="Z875">
        <f t="shared" si="625"/>
        <v>336.22771783241791</v>
      </c>
    </row>
    <row r="876" spans="1:26" x14ac:dyDescent="0.25">
      <c r="A876" t="s">
        <v>53</v>
      </c>
      <c r="D876">
        <f t="shared" ref="D876:W876" si="635">D120*D228</f>
        <v>453.66242567244132</v>
      </c>
      <c r="E876">
        <f t="shared" si="635"/>
        <v>493.80550593143897</v>
      </c>
      <c r="F876">
        <f t="shared" si="635"/>
        <v>496.598976176946</v>
      </c>
      <c r="G876">
        <f t="shared" si="635"/>
        <v>547.54266123444893</v>
      </c>
      <c r="H876">
        <f t="shared" si="635"/>
        <v>381.71173681479041</v>
      </c>
      <c r="I876">
        <f t="shared" si="635"/>
        <v>420.15970607457064</v>
      </c>
      <c r="J876">
        <f t="shared" si="635"/>
        <v>717.67527918826852</v>
      </c>
      <c r="K876">
        <f t="shared" si="635"/>
        <v>793.12138669623869</v>
      </c>
      <c r="L876">
        <f t="shared" si="635"/>
        <v>701.52316451734714</v>
      </c>
      <c r="M876">
        <f t="shared" si="635"/>
        <v>677.64067455276199</v>
      </c>
      <c r="N876">
        <f t="shared" si="635"/>
        <v>523.24971538737384</v>
      </c>
      <c r="O876">
        <f t="shared" si="635"/>
        <v>460.85653514538029</v>
      </c>
      <c r="P876">
        <f t="shared" si="635"/>
        <v>507.22756274942452</v>
      </c>
      <c r="Q876">
        <f t="shared" si="635"/>
        <v>243.19569430874722</v>
      </c>
      <c r="R876">
        <f t="shared" si="635"/>
        <v>432.27428952235834</v>
      </c>
      <c r="S876">
        <f t="shared" si="635"/>
        <v>412.22689783545354</v>
      </c>
      <c r="T876">
        <f t="shared" si="635"/>
        <v>653.10452239083781</v>
      </c>
      <c r="U876">
        <f t="shared" si="635"/>
        <v>463.7743664151148</v>
      </c>
      <c r="V876">
        <f t="shared" si="635"/>
        <v>411.24983820137118</v>
      </c>
      <c r="W876">
        <f t="shared" si="635"/>
        <v>355.02236986311726</v>
      </c>
      <c r="Y876" s="6">
        <f t="shared" si="624"/>
        <v>10145.623308678432</v>
      </c>
      <c r="Z876">
        <f t="shared" si="625"/>
        <v>-103.66909065961474</v>
      </c>
    </row>
    <row r="877" spans="1:26" x14ac:dyDescent="0.25">
      <c r="A877" t="s">
        <v>54</v>
      </c>
      <c r="D877">
        <f t="shared" ref="D877:W877" si="636">D121*D229</f>
        <v>691.00859428836031</v>
      </c>
      <c r="E877">
        <f t="shared" si="636"/>
        <v>708.13361659819714</v>
      </c>
      <c r="F877">
        <f t="shared" si="636"/>
        <v>603.95559968849955</v>
      </c>
      <c r="G877">
        <f t="shared" si="636"/>
        <v>459.96325047278674</v>
      </c>
      <c r="H877">
        <f t="shared" si="636"/>
        <v>367.71174058207151</v>
      </c>
      <c r="I877">
        <f t="shared" si="636"/>
        <v>446.77674739131345</v>
      </c>
      <c r="J877">
        <f t="shared" si="636"/>
        <v>263.7033112568941</v>
      </c>
      <c r="K877">
        <f t="shared" si="636"/>
        <v>374.06674612987746</v>
      </c>
      <c r="L877">
        <f t="shared" si="636"/>
        <v>572.71014829706951</v>
      </c>
      <c r="M877">
        <f t="shared" si="636"/>
        <v>677.94847857901414</v>
      </c>
      <c r="N877">
        <f t="shared" si="636"/>
        <v>722.61654194916423</v>
      </c>
      <c r="O877">
        <f t="shared" si="636"/>
        <v>796.33760093245655</v>
      </c>
      <c r="P877">
        <f t="shared" si="636"/>
        <v>771.2134072439685</v>
      </c>
      <c r="Q877">
        <f t="shared" si="636"/>
        <v>647.16851506038995</v>
      </c>
      <c r="R877">
        <f t="shared" si="636"/>
        <v>223.61280540690464</v>
      </c>
      <c r="S877">
        <f t="shared" si="636"/>
        <v>379.17793299863945</v>
      </c>
      <c r="T877">
        <f t="shared" si="636"/>
        <v>361.18388977617457</v>
      </c>
      <c r="U877">
        <f t="shared" si="636"/>
        <v>446.37406583201664</v>
      </c>
      <c r="V877">
        <f t="shared" si="636"/>
        <v>303.01685998396238</v>
      </c>
      <c r="W877">
        <f t="shared" si="636"/>
        <v>603.17654042261483</v>
      </c>
      <c r="Y877" s="6">
        <f t="shared" si="624"/>
        <v>10419.856392890377</v>
      </c>
      <c r="Z877">
        <f t="shared" si="625"/>
        <v>-49.495275125936637</v>
      </c>
    </row>
    <row r="878" spans="1:26" x14ac:dyDescent="0.25">
      <c r="A878" t="s">
        <v>55</v>
      </c>
      <c r="D878">
        <f t="shared" ref="D878:W878" si="637">D122*D230</f>
        <v>1002.1022527581442</v>
      </c>
      <c r="E878">
        <f t="shared" si="637"/>
        <v>1037.2715843810993</v>
      </c>
      <c r="F878">
        <f t="shared" si="637"/>
        <v>577.25516278134126</v>
      </c>
      <c r="G878">
        <f t="shared" si="637"/>
        <v>883.76182540559523</v>
      </c>
      <c r="H878">
        <f t="shared" si="637"/>
        <v>594.55361205772999</v>
      </c>
      <c r="I878">
        <f t="shared" si="637"/>
        <v>814.4091717878415</v>
      </c>
      <c r="J878">
        <f t="shared" si="637"/>
        <v>543.91428659674318</v>
      </c>
      <c r="K878">
        <f t="shared" si="637"/>
        <v>506.53723437222476</v>
      </c>
      <c r="L878">
        <f t="shared" si="637"/>
        <v>507.57452867049903</v>
      </c>
      <c r="M878">
        <f t="shared" si="637"/>
        <v>626.22013130290111</v>
      </c>
      <c r="N878">
        <f t="shared" si="637"/>
        <v>617.19710408736489</v>
      </c>
      <c r="O878">
        <f t="shared" si="637"/>
        <v>225.18556828435297</v>
      </c>
      <c r="P878">
        <f t="shared" si="637"/>
        <v>335.82767974440418</v>
      </c>
      <c r="Q878">
        <f t="shared" si="637"/>
        <v>705.51643847965897</v>
      </c>
      <c r="R878">
        <f t="shared" si="637"/>
        <v>383.33002961834342</v>
      </c>
      <c r="S878">
        <f t="shared" si="637"/>
        <v>601.94091606836514</v>
      </c>
      <c r="T878">
        <f t="shared" si="637"/>
        <v>285.82809466771948</v>
      </c>
      <c r="U878">
        <f t="shared" si="637"/>
        <v>302.61606670253963</v>
      </c>
      <c r="V878">
        <f t="shared" si="637"/>
        <v>720.57141898998657</v>
      </c>
      <c r="W878">
        <f t="shared" si="637"/>
        <v>641.41131815967628</v>
      </c>
      <c r="Y878" s="6">
        <f t="shared" si="624"/>
        <v>11913.024424916532</v>
      </c>
      <c r="Z878">
        <f t="shared" si="625"/>
        <v>382.48845358797496</v>
      </c>
    </row>
    <row r="879" spans="1:26" x14ac:dyDescent="0.25">
      <c r="A879" t="s">
        <v>56</v>
      </c>
      <c r="D879">
        <f t="shared" ref="D879:W879" si="638">D123*D231</f>
        <v>1212.0740901930906</v>
      </c>
      <c r="E879">
        <f t="shared" si="638"/>
        <v>780.1884592699837</v>
      </c>
      <c r="F879">
        <f t="shared" si="638"/>
        <v>847.19206817828501</v>
      </c>
      <c r="G879">
        <f t="shared" si="638"/>
        <v>767.53060977923508</v>
      </c>
      <c r="H879">
        <f t="shared" si="638"/>
        <v>511.3850017331298</v>
      </c>
      <c r="I879">
        <f t="shared" si="638"/>
        <v>693.39658740812524</v>
      </c>
      <c r="J879">
        <f t="shared" si="638"/>
        <v>596.93646939609687</v>
      </c>
      <c r="K879">
        <f t="shared" si="638"/>
        <v>844.33567832806671</v>
      </c>
      <c r="L879">
        <f t="shared" si="638"/>
        <v>541.964239237838</v>
      </c>
      <c r="M879">
        <f t="shared" si="638"/>
        <v>578.20135328586559</v>
      </c>
      <c r="N879">
        <f t="shared" si="638"/>
        <v>411.74995798920065</v>
      </c>
      <c r="O879">
        <f t="shared" si="638"/>
        <v>692.99285954540596</v>
      </c>
      <c r="P879">
        <f t="shared" si="638"/>
        <v>674.23059922147354</v>
      </c>
      <c r="Q879">
        <f t="shared" si="638"/>
        <v>360.75593668796199</v>
      </c>
      <c r="R879">
        <f t="shared" si="638"/>
        <v>464.75058847827904</v>
      </c>
      <c r="S879">
        <f t="shared" si="638"/>
        <v>354.68949550825567</v>
      </c>
      <c r="T879">
        <f t="shared" si="638"/>
        <v>276.64168939806478</v>
      </c>
      <c r="U879">
        <f t="shared" si="638"/>
        <v>256.96002687388739</v>
      </c>
      <c r="V879">
        <f t="shared" si="638"/>
        <v>663.129066651789</v>
      </c>
      <c r="W879">
        <f t="shared" si="638"/>
        <v>716.77750018325071</v>
      </c>
      <c r="Y879" s="6">
        <f t="shared" si="624"/>
        <v>12245.882277347282</v>
      </c>
      <c r="Z879">
        <f t="shared" si="625"/>
        <v>261.30360277984562</v>
      </c>
    </row>
    <row r="880" spans="1:26" x14ac:dyDescent="0.25">
      <c r="A880" t="s">
        <v>57</v>
      </c>
      <c r="D880">
        <f t="shared" ref="D880:W880" si="639">D124*D232</f>
        <v>827.88438710514606</v>
      </c>
      <c r="E880">
        <f t="shared" si="639"/>
        <v>941.10316499292162</v>
      </c>
      <c r="F880">
        <f t="shared" si="639"/>
        <v>802.93725079427759</v>
      </c>
      <c r="G880">
        <f t="shared" si="639"/>
        <v>722.64888874976089</v>
      </c>
      <c r="H880">
        <f t="shared" si="639"/>
        <v>582.75540606019467</v>
      </c>
      <c r="I880">
        <f t="shared" si="639"/>
        <v>637.19706446119869</v>
      </c>
      <c r="J880">
        <f t="shared" si="639"/>
        <v>532.90815694991602</v>
      </c>
      <c r="K880">
        <f t="shared" si="639"/>
        <v>640.05901554823424</v>
      </c>
      <c r="L880">
        <f t="shared" si="639"/>
        <v>635.67169865521669</v>
      </c>
      <c r="M880">
        <f t="shared" si="639"/>
        <v>762.89142557386856</v>
      </c>
      <c r="N880">
        <f t="shared" si="639"/>
        <v>761.89556719661243</v>
      </c>
      <c r="O880">
        <f t="shared" si="639"/>
        <v>448.67296018877312</v>
      </c>
      <c r="P880">
        <f t="shared" si="639"/>
        <v>784.10810877037409</v>
      </c>
      <c r="Q880">
        <f t="shared" si="639"/>
        <v>775.98498849783846</v>
      </c>
      <c r="R880">
        <f t="shared" si="639"/>
        <v>512.44485494908565</v>
      </c>
      <c r="S880">
        <f t="shared" si="639"/>
        <v>372.60932257508949</v>
      </c>
      <c r="T880">
        <f t="shared" si="639"/>
        <v>470.74884418920561</v>
      </c>
      <c r="U880">
        <f t="shared" si="639"/>
        <v>870.69669672452881</v>
      </c>
      <c r="V880">
        <f t="shared" si="639"/>
        <v>323.50287871548124</v>
      </c>
      <c r="W880">
        <f t="shared" si="639"/>
        <v>576.97818426901472</v>
      </c>
      <c r="Y880" s="6">
        <f t="shared" si="624"/>
        <v>12983.698864966738</v>
      </c>
      <c r="Z880">
        <f t="shared" si="625"/>
        <v>132.21820650826797</v>
      </c>
    </row>
    <row r="881" spans="1:26" x14ac:dyDescent="0.25">
      <c r="A881" t="s">
        <v>58</v>
      </c>
      <c r="D881">
        <f t="shared" ref="D881:W881" si="640">D125*D233</f>
        <v>302.7243080224016</v>
      </c>
      <c r="E881">
        <f t="shared" si="640"/>
        <v>515.13282379214286</v>
      </c>
      <c r="F881">
        <f t="shared" si="640"/>
        <v>760.52604119889054</v>
      </c>
      <c r="G881">
        <f t="shared" si="640"/>
        <v>1364.5247819850254</v>
      </c>
      <c r="H881">
        <f t="shared" si="640"/>
        <v>376.79952205094497</v>
      </c>
      <c r="I881">
        <f t="shared" si="640"/>
        <v>278.52705661540779</v>
      </c>
      <c r="J881">
        <f t="shared" si="640"/>
        <v>417.07926846406252</v>
      </c>
      <c r="K881">
        <f t="shared" si="640"/>
        <v>522.40881936135054</v>
      </c>
      <c r="L881">
        <f t="shared" si="640"/>
        <v>523.22210342331107</v>
      </c>
      <c r="M881">
        <f t="shared" si="640"/>
        <v>455.29123381042837</v>
      </c>
      <c r="N881">
        <f t="shared" si="640"/>
        <v>351.33067914003107</v>
      </c>
      <c r="O881">
        <f t="shared" si="640"/>
        <v>611.98458551700855</v>
      </c>
      <c r="P881">
        <f t="shared" si="640"/>
        <v>290.69011251611494</v>
      </c>
      <c r="Q881">
        <f t="shared" si="640"/>
        <v>233.22220352944353</v>
      </c>
      <c r="R881">
        <f t="shared" si="640"/>
        <v>340.46288942182622</v>
      </c>
      <c r="S881">
        <f t="shared" si="640"/>
        <v>435.93083299663766</v>
      </c>
      <c r="T881">
        <f t="shared" si="640"/>
        <v>618.01292256727652</v>
      </c>
      <c r="U881">
        <f t="shared" si="640"/>
        <v>140.17645709430701</v>
      </c>
      <c r="V881">
        <f t="shared" si="640"/>
        <v>186.20741910992515</v>
      </c>
      <c r="W881">
        <f t="shared" si="640"/>
        <v>531.62309567131001</v>
      </c>
      <c r="Y881" s="6">
        <f t="shared" si="624"/>
        <v>9255.8771562878446</v>
      </c>
      <c r="Z881">
        <f t="shared" si="625"/>
        <v>138.72053228260631</v>
      </c>
    </row>
    <row r="882" spans="1:26" x14ac:dyDescent="0.25">
      <c r="A882" t="s">
        <v>59</v>
      </c>
      <c r="D882">
        <f t="shared" ref="D882:W882" si="641">D126*D234</f>
        <v>696.75739399004749</v>
      </c>
      <c r="E882">
        <f t="shared" si="641"/>
        <v>361.1236737925563</v>
      </c>
      <c r="F882">
        <f t="shared" si="641"/>
        <v>396.46999284460685</v>
      </c>
      <c r="G882">
        <f t="shared" si="641"/>
        <v>559.70872047939645</v>
      </c>
      <c r="H882">
        <f t="shared" si="641"/>
        <v>325.86381858695694</v>
      </c>
      <c r="I882">
        <f t="shared" si="641"/>
        <v>494.96635353747138</v>
      </c>
      <c r="J882">
        <f t="shared" si="641"/>
        <v>567.50953639161435</v>
      </c>
      <c r="K882">
        <f t="shared" si="641"/>
        <v>408.2511332621624</v>
      </c>
      <c r="L882">
        <f t="shared" si="641"/>
        <v>271.20622470118292</v>
      </c>
      <c r="M882">
        <f t="shared" si="641"/>
        <v>471.42783121895479</v>
      </c>
      <c r="N882">
        <f t="shared" si="641"/>
        <v>673.41723799281408</v>
      </c>
      <c r="O882">
        <f t="shared" si="641"/>
        <v>457.9202746311459</v>
      </c>
      <c r="P882">
        <f t="shared" si="641"/>
        <v>405.78523246433042</v>
      </c>
      <c r="Q882">
        <f t="shared" si="641"/>
        <v>253.49056355675813</v>
      </c>
      <c r="R882">
        <f t="shared" si="641"/>
        <v>273.66125012606966</v>
      </c>
      <c r="S882">
        <f t="shared" si="641"/>
        <v>616.13235144450823</v>
      </c>
      <c r="T882">
        <f t="shared" si="641"/>
        <v>423.8328600561108</v>
      </c>
      <c r="U882">
        <f t="shared" si="641"/>
        <v>492.07419597759309</v>
      </c>
      <c r="V882">
        <f t="shared" si="641"/>
        <v>535.15948679057681</v>
      </c>
      <c r="W882">
        <f t="shared" si="641"/>
        <v>583.20643787223025</v>
      </c>
      <c r="Y882" s="6">
        <f t="shared" si="624"/>
        <v>9267.9645697170854</v>
      </c>
      <c r="Z882">
        <f t="shared" si="625"/>
        <v>84.616794593147006</v>
      </c>
    </row>
    <row r="883" spans="1:26" x14ac:dyDescent="0.25">
      <c r="A883" t="s">
        <v>60</v>
      </c>
      <c r="D883">
        <f t="shared" ref="D883:W883" si="642">D127*D235</f>
        <v>459.39376016061038</v>
      </c>
      <c r="E883">
        <f t="shared" si="642"/>
        <v>355.59197044267171</v>
      </c>
      <c r="F883">
        <f t="shared" si="642"/>
        <v>449.9003369583229</v>
      </c>
      <c r="G883">
        <f t="shared" si="642"/>
        <v>541.82072924142949</v>
      </c>
      <c r="H883">
        <f t="shared" si="642"/>
        <v>424.99373841761081</v>
      </c>
      <c r="I883">
        <f t="shared" si="642"/>
        <v>371.09169000997838</v>
      </c>
      <c r="J883">
        <f t="shared" si="642"/>
        <v>402.83276885164327</v>
      </c>
      <c r="K883">
        <f t="shared" si="642"/>
        <v>717.64244512836126</v>
      </c>
      <c r="L883">
        <f t="shared" si="642"/>
        <v>523.63194106453159</v>
      </c>
      <c r="M883">
        <f t="shared" si="642"/>
        <v>450.01355196051293</v>
      </c>
      <c r="N883">
        <f t="shared" si="642"/>
        <v>376.78594883966599</v>
      </c>
      <c r="O883">
        <f t="shared" si="642"/>
        <v>276.67060422785363</v>
      </c>
      <c r="P883">
        <f t="shared" si="642"/>
        <v>481.48803343982416</v>
      </c>
      <c r="Q883">
        <f t="shared" si="642"/>
        <v>579.31201494981576</v>
      </c>
      <c r="R883">
        <f t="shared" si="642"/>
        <v>372.97630458345071</v>
      </c>
      <c r="S883">
        <f t="shared" si="642"/>
        <v>421.90201046599896</v>
      </c>
      <c r="T883">
        <f t="shared" si="642"/>
        <v>609.45413622687659</v>
      </c>
      <c r="U883">
        <f t="shared" si="642"/>
        <v>542.73305533615803</v>
      </c>
      <c r="V883">
        <f t="shared" si="642"/>
        <v>124.84475622665116</v>
      </c>
      <c r="W883">
        <f t="shared" si="642"/>
        <v>290.82636834436323</v>
      </c>
      <c r="Y883" s="6">
        <f t="shared" si="624"/>
        <v>8773.9061648763327</v>
      </c>
      <c r="Z883">
        <f t="shared" si="625"/>
        <v>22.489879812675255</v>
      </c>
    </row>
    <row r="884" spans="1:26" x14ac:dyDescent="0.25">
      <c r="A884" t="s">
        <v>61</v>
      </c>
      <c r="D884">
        <f t="shared" ref="D884:W884" si="643">D128*D236</f>
        <v>777.40940804271327</v>
      </c>
      <c r="E884">
        <f t="shared" si="643"/>
        <v>951.75274065991118</v>
      </c>
      <c r="F884">
        <f t="shared" si="643"/>
        <v>685.50866814788185</v>
      </c>
      <c r="G884">
        <f t="shared" si="643"/>
        <v>486.2007096993035</v>
      </c>
      <c r="H884">
        <f t="shared" si="643"/>
        <v>620.51166950571144</v>
      </c>
      <c r="I884">
        <f t="shared" si="643"/>
        <v>598.02442806141755</v>
      </c>
      <c r="J884">
        <f t="shared" si="643"/>
        <v>598.57961118544483</v>
      </c>
      <c r="K884">
        <f t="shared" si="643"/>
        <v>463.4547273522756</v>
      </c>
      <c r="L884">
        <f t="shared" si="643"/>
        <v>361.07943268162245</v>
      </c>
      <c r="M884">
        <f t="shared" si="643"/>
        <v>565.83879706521884</v>
      </c>
      <c r="N884">
        <f t="shared" si="643"/>
        <v>763.76504379437404</v>
      </c>
      <c r="O884">
        <f t="shared" si="643"/>
        <v>854.37375591172042</v>
      </c>
      <c r="P884">
        <f t="shared" si="643"/>
        <v>566.2448928015674</v>
      </c>
      <c r="Q884">
        <f t="shared" si="643"/>
        <v>302.18661555932255</v>
      </c>
      <c r="R884">
        <f t="shared" si="643"/>
        <v>431.61008405324986</v>
      </c>
      <c r="S884">
        <f t="shared" si="643"/>
        <v>787.64437172994838</v>
      </c>
      <c r="T884">
        <f t="shared" si="643"/>
        <v>555.8851556929236</v>
      </c>
      <c r="U884">
        <f t="shared" si="643"/>
        <v>379.31918642518588</v>
      </c>
      <c r="V884">
        <f t="shared" si="643"/>
        <v>344.9247376565703</v>
      </c>
      <c r="W884">
        <f t="shared" si="643"/>
        <v>575.9015748955851</v>
      </c>
      <c r="Y884" s="6">
        <f t="shared" si="624"/>
        <v>11670.215610921949</v>
      </c>
      <c r="Z884">
        <f t="shared" si="625"/>
        <v>210.17716994005841</v>
      </c>
    </row>
    <row r="885" spans="1:26" x14ac:dyDescent="0.25">
      <c r="A885" t="s">
        <v>62</v>
      </c>
      <c r="D885">
        <f t="shared" ref="D885:W885" si="644">D129*D237</f>
        <v>497.68982292974772</v>
      </c>
      <c r="E885">
        <f t="shared" si="644"/>
        <v>491.96184426717639</v>
      </c>
      <c r="F885">
        <f t="shared" si="644"/>
        <v>523.77038918125697</v>
      </c>
      <c r="G885">
        <f t="shared" si="644"/>
        <v>611.64286839833596</v>
      </c>
      <c r="H885">
        <f t="shared" si="644"/>
        <v>553.58460143001503</v>
      </c>
      <c r="I885">
        <f t="shared" si="644"/>
        <v>598.09978098289571</v>
      </c>
      <c r="J885">
        <f t="shared" si="644"/>
        <v>547.23852635884691</v>
      </c>
      <c r="K885">
        <f t="shared" si="644"/>
        <v>553.40231841679406</v>
      </c>
      <c r="L885">
        <f t="shared" si="644"/>
        <v>595.60712042404543</v>
      </c>
      <c r="M885">
        <f t="shared" si="644"/>
        <v>360.52047409689374</v>
      </c>
      <c r="N885">
        <f t="shared" si="644"/>
        <v>450.24253252806199</v>
      </c>
      <c r="O885">
        <f t="shared" si="644"/>
        <v>393.40802725843753</v>
      </c>
      <c r="P885">
        <f t="shared" si="644"/>
        <v>360.47753153262124</v>
      </c>
      <c r="Q885">
        <f t="shared" si="644"/>
        <v>416.24935074184884</v>
      </c>
      <c r="R885">
        <f t="shared" si="644"/>
        <v>791.01660352821011</v>
      </c>
      <c r="S885">
        <f t="shared" si="644"/>
        <v>646.93944809595189</v>
      </c>
      <c r="T885">
        <f t="shared" si="644"/>
        <v>120.9785893068486</v>
      </c>
      <c r="U885">
        <f t="shared" si="644"/>
        <v>586.80066231253784</v>
      </c>
      <c r="V885">
        <f t="shared" si="644"/>
        <v>521.2776725690926</v>
      </c>
      <c r="W885">
        <f t="shared" si="644"/>
        <v>470.25392971216587</v>
      </c>
      <c r="Y885" s="6">
        <f t="shared" si="624"/>
        <v>10091.162094071786</v>
      </c>
      <c r="Z885">
        <f t="shared" si="625"/>
        <v>113.85298233996041</v>
      </c>
    </row>
    <row r="886" spans="1:26" x14ac:dyDescent="0.25">
      <c r="A886" t="s">
        <v>63</v>
      </c>
      <c r="D886">
        <f t="shared" ref="D886:W886" si="645">D130*D238</f>
        <v>561.78816917990571</v>
      </c>
      <c r="E886">
        <f t="shared" si="645"/>
        <v>587.88455670151575</v>
      </c>
      <c r="F886">
        <f t="shared" si="645"/>
        <v>661.38027355729093</v>
      </c>
      <c r="G886">
        <f t="shared" si="645"/>
        <v>603.19839941195323</v>
      </c>
      <c r="H886">
        <f t="shared" si="645"/>
        <v>491.46818326082348</v>
      </c>
      <c r="I886">
        <f t="shared" si="645"/>
        <v>547.07927868239426</v>
      </c>
      <c r="J886">
        <f t="shared" si="645"/>
        <v>566.0158158801471</v>
      </c>
      <c r="K886">
        <f t="shared" si="645"/>
        <v>480.49627923145806</v>
      </c>
      <c r="L886">
        <f t="shared" si="645"/>
        <v>657.53074512403612</v>
      </c>
      <c r="M886">
        <f t="shared" si="645"/>
        <v>338.87074994515785</v>
      </c>
      <c r="N886">
        <f t="shared" si="645"/>
        <v>246.32271774257754</v>
      </c>
      <c r="O886">
        <f t="shared" si="645"/>
        <v>466.59970690552223</v>
      </c>
      <c r="P886">
        <f t="shared" si="645"/>
        <v>205.79536225478441</v>
      </c>
      <c r="Q886">
        <f t="shared" si="645"/>
        <v>271.27848852497016</v>
      </c>
      <c r="R886">
        <f t="shared" si="645"/>
        <v>516.22222146989907</v>
      </c>
      <c r="S886">
        <f t="shared" si="645"/>
        <v>757.35044821637575</v>
      </c>
      <c r="T886">
        <f t="shared" si="645"/>
        <v>587.07967604791656</v>
      </c>
      <c r="U886">
        <f t="shared" si="645"/>
        <v>350.09517493381315</v>
      </c>
      <c r="V886">
        <f t="shared" si="645"/>
        <v>687.801452520966</v>
      </c>
      <c r="W886">
        <f t="shared" si="645"/>
        <v>688.33893381911003</v>
      </c>
      <c r="Y886" s="6">
        <f t="shared" si="624"/>
        <v>10272.596633410616</v>
      </c>
      <c r="Z886">
        <f t="shared" si="625"/>
        <v>244.51342204415394</v>
      </c>
    </row>
    <row r="887" spans="1:26" x14ac:dyDescent="0.25">
      <c r="A887" t="s">
        <v>64</v>
      </c>
      <c r="D887">
        <f t="shared" ref="D887:W887" si="646">D131*D239</f>
        <v>685.37615196335037</v>
      </c>
      <c r="E887">
        <f t="shared" si="646"/>
        <v>761.26050739492928</v>
      </c>
      <c r="F887">
        <f t="shared" si="646"/>
        <v>730.86062029772302</v>
      </c>
      <c r="G887">
        <f t="shared" si="646"/>
        <v>518.57448461222509</v>
      </c>
      <c r="H887">
        <f t="shared" si="646"/>
        <v>542.01823086637603</v>
      </c>
      <c r="I887">
        <f t="shared" si="646"/>
        <v>617.73176512895986</v>
      </c>
      <c r="J887">
        <f t="shared" si="646"/>
        <v>537.85953565180216</v>
      </c>
      <c r="K887">
        <f t="shared" si="646"/>
        <v>666.91715256678458</v>
      </c>
      <c r="L887">
        <f t="shared" si="646"/>
        <v>779.68696900721761</v>
      </c>
      <c r="M887">
        <f t="shared" si="646"/>
        <v>568.76161272502975</v>
      </c>
      <c r="N887">
        <f t="shared" si="646"/>
        <v>317.34216287306498</v>
      </c>
      <c r="O887">
        <f t="shared" si="646"/>
        <v>520.57702545869847</v>
      </c>
      <c r="P887">
        <f t="shared" si="646"/>
        <v>325.52339166740836</v>
      </c>
      <c r="Q887">
        <f t="shared" si="646"/>
        <v>900.02470587110304</v>
      </c>
      <c r="R887">
        <f t="shared" si="646"/>
        <v>924.40238773588169</v>
      </c>
      <c r="S887">
        <f t="shared" si="646"/>
        <v>606.9502856526592</v>
      </c>
      <c r="T887">
        <f t="shared" si="646"/>
        <v>625.41708275138387</v>
      </c>
      <c r="U887">
        <f t="shared" si="646"/>
        <v>517.91334657465791</v>
      </c>
      <c r="V887">
        <f t="shared" si="646"/>
        <v>422.0291471230808</v>
      </c>
      <c r="W887">
        <f t="shared" si="646"/>
        <v>438.68648042054861</v>
      </c>
      <c r="Y887" s="6">
        <f t="shared" si="624"/>
        <v>12007.913046342888</v>
      </c>
      <c r="Z887">
        <f t="shared" si="625"/>
        <v>152.67537111770494</v>
      </c>
    </row>
    <row r="888" spans="1:26" x14ac:dyDescent="0.25">
      <c r="A888" t="s">
        <v>65</v>
      </c>
      <c r="D888">
        <f t="shared" ref="D888:W888" si="647">D132*D240</f>
        <v>889.84359990487951</v>
      </c>
      <c r="E888">
        <f t="shared" si="647"/>
        <v>742.06497777062373</v>
      </c>
      <c r="F888">
        <f t="shared" si="647"/>
        <v>599.62952366111324</v>
      </c>
      <c r="G888">
        <f t="shared" si="647"/>
        <v>448.07626976617314</v>
      </c>
      <c r="H888">
        <f t="shared" si="647"/>
        <v>798.36957567947252</v>
      </c>
      <c r="I888">
        <f t="shared" si="647"/>
        <v>704.79903989901618</v>
      </c>
      <c r="J888">
        <f t="shared" si="647"/>
        <v>401.7891574498783</v>
      </c>
      <c r="K888">
        <f t="shared" si="647"/>
        <v>553.91962014731791</v>
      </c>
      <c r="L888">
        <f t="shared" si="647"/>
        <v>530.99509788083674</v>
      </c>
      <c r="M888">
        <f t="shared" si="647"/>
        <v>540.69669489792398</v>
      </c>
      <c r="N888">
        <f t="shared" si="647"/>
        <v>433.71424742646519</v>
      </c>
      <c r="O888">
        <f t="shared" si="647"/>
        <v>378.26932852525772</v>
      </c>
      <c r="P888">
        <f t="shared" si="647"/>
        <v>270.20876062980255</v>
      </c>
      <c r="Q888">
        <f t="shared" si="647"/>
        <v>398.31470420075095</v>
      </c>
      <c r="R888">
        <f t="shared" si="647"/>
        <v>99.083846201342908</v>
      </c>
      <c r="S888">
        <f t="shared" si="647"/>
        <v>275.52756567897308</v>
      </c>
      <c r="T888">
        <f t="shared" si="647"/>
        <v>362.72822375937477</v>
      </c>
      <c r="U888">
        <f t="shared" si="647"/>
        <v>320.47793697139701</v>
      </c>
      <c r="V888">
        <f t="shared" si="647"/>
        <v>300.80949010081207</v>
      </c>
      <c r="W888">
        <f t="shared" si="647"/>
        <v>424.34870919033364</v>
      </c>
      <c r="Y888" s="6">
        <f t="shared" si="624"/>
        <v>9473.6663697417462</v>
      </c>
      <c r="Z888">
        <f t="shared" si="625"/>
        <v>346.25959009323208</v>
      </c>
    </row>
    <row r="889" spans="1:26" x14ac:dyDescent="0.25">
      <c r="A889" t="s">
        <v>66</v>
      </c>
      <c r="D889">
        <f t="shared" ref="D889:W889" si="648">D133*D241</f>
        <v>826.55713029013918</v>
      </c>
      <c r="E889">
        <f t="shared" si="648"/>
        <v>696.96297931458696</v>
      </c>
      <c r="F889">
        <f t="shared" si="648"/>
        <v>590.46398612596806</v>
      </c>
      <c r="G889">
        <f t="shared" si="648"/>
        <v>412.58579333172776</v>
      </c>
      <c r="H889">
        <f t="shared" si="648"/>
        <v>823.59681285034446</v>
      </c>
      <c r="I889">
        <f t="shared" si="648"/>
        <v>882.76517811726922</v>
      </c>
      <c r="J889">
        <f t="shared" si="648"/>
        <v>770.2450258777676</v>
      </c>
      <c r="K889">
        <f t="shared" si="648"/>
        <v>823.78876712202793</v>
      </c>
      <c r="L889">
        <f t="shared" si="648"/>
        <v>710.74166397657348</v>
      </c>
      <c r="M889">
        <f t="shared" si="648"/>
        <v>400.76166201592332</v>
      </c>
      <c r="N889">
        <f t="shared" si="648"/>
        <v>557.46539335801765</v>
      </c>
      <c r="O889">
        <f t="shared" si="648"/>
        <v>806.54444553748988</v>
      </c>
      <c r="P889">
        <f t="shared" si="648"/>
        <v>639.48687894848752</v>
      </c>
      <c r="Q889">
        <f t="shared" si="648"/>
        <v>391.94480044773292</v>
      </c>
      <c r="R889">
        <f t="shared" si="648"/>
        <v>492.4281561988272</v>
      </c>
      <c r="S889">
        <f t="shared" si="648"/>
        <v>478.18797800309773</v>
      </c>
      <c r="T889">
        <f t="shared" si="648"/>
        <v>409.94046045529342</v>
      </c>
      <c r="U889">
        <f t="shared" si="648"/>
        <v>518.82983671391605</v>
      </c>
      <c r="V889">
        <f t="shared" si="648"/>
        <v>379.08424796539515</v>
      </c>
      <c r="W889">
        <f t="shared" si="648"/>
        <v>201.67878489471985</v>
      </c>
      <c r="Y889" s="6">
        <f t="shared" si="624"/>
        <v>11814.059981545304</v>
      </c>
      <c r="Z889">
        <f t="shared" si="625"/>
        <v>119.76654311177857</v>
      </c>
    </row>
    <row r="890" spans="1:26" x14ac:dyDescent="0.25">
      <c r="A890" t="s">
        <v>67</v>
      </c>
      <c r="D890">
        <f t="shared" ref="D890:W890" si="649">D134*D242</f>
        <v>571.04187283672366</v>
      </c>
      <c r="E890">
        <f t="shared" si="649"/>
        <v>573.03211665933702</v>
      </c>
      <c r="F890">
        <f t="shared" si="649"/>
        <v>865.5972973265167</v>
      </c>
      <c r="G890">
        <f t="shared" si="649"/>
        <v>633.05809477106084</v>
      </c>
      <c r="H890">
        <f t="shared" si="649"/>
        <v>967.3782586756015</v>
      </c>
      <c r="I890">
        <f t="shared" si="649"/>
        <v>785.7631416734846</v>
      </c>
      <c r="J890">
        <f t="shared" si="649"/>
        <v>932.41168635542601</v>
      </c>
      <c r="K890">
        <f t="shared" si="649"/>
        <v>908.31698003069528</v>
      </c>
      <c r="L890">
        <f t="shared" si="649"/>
        <v>590.15575016629032</v>
      </c>
      <c r="M890">
        <f t="shared" si="649"/>
        <v>530.81043128675333</v>
      </c>
      <c r="N890">
        <f t="shared" si="649"/>
        <v>510.0948238342973</v>
      </c>
      <c r="O890">
        <f t="shared" si="649"/>
        <v>522.02462331500135</v>
      </c>
      <c r="P890">
        <f t="shared" si="649"/>
        <v>467.77046462626299</v>
      </c>
      <c r="Q890">
        <f t="shared" si="649"/>
        <v>449.49954795329842</v>
      </c>
      <c r="R890">
        <f t="shared" si="649"/>
        <v>435.34919921582906</v>
      </c>
      <c r="S890">
        <f t="shared" si="649"/>
        <v>507.30102462180315</v>
      </c>
      <c r="T890">
        <f t="shared" si="649"/>
        <v>448.38154736453112</v>
      </c>
      <c r="U890">
        <f t="shared" si="649"/>
        <v>432.15269970276387</v>
      </c>
      <c r="V890">
        <f t="shared" si="649"/>
        <v>553.2533598969186</v>
      </c>
      <c r="W890">
        <f t="shared" si="649"/>
        <v>381.47316165002565</v>
      </c>
      <c r="Y890" s="6">
        <f t="shared" si="624"/>
        <v>12064.86608196262</v>
      </c>
      <c r="Z890">
        <f t="shared" si="625"/>
        <v>67.774633771886911</v>
      </c>
    </row>
    <row r="891" spans="1:26" x14ac:dyDescent="0.25">
      <c r="A891" t="s">
        <v>68</v>
      </c>
      <c r="D891">
        <f t="shared" ref="D891:W891" si="650">D135*D243</f>
        <v>904.91901510217349</v>
      </c>
      <c r="E891">
        <f t="shared" si="650"/>
        <v>1252.7789584702648</v>
      </c>
      <c r="F891">
        <f t="shared" si="650"/>
        <v>1807.8462755372241</v>
      </c>
      <c r="G891">
        <f t="shared" si="650"/>
        <v>1307.332479922904</v>
      </c>
      <c r="H891">
        <f t="shared" si="650"/>
        <v>1148.0584717463933</v>
      </c>
      <c r="I891">
        <f t="shared" si="650"/>
        <v>922.05349724125335</v>
      </c>
      <c r="J891">
        <f t="shared" si="650"/>
        <v>591.26651460053654</v>
      </c>
      <c r="K891">
        <f t="shared" si="650"/>
        <v>708.51280890097439</v>
      </c>
      <c r="L891">
        <f t="shared" si="650"/>
        <v>934.70846857934828</v>
      </c>
      <c r="M891">
        <f t="shared" si="650"/>
        <v>416.42753525269046</v>
      </c>
      <c r="N891">
        <f t="shared" si="650"/>
        <v>614.50180913627037</v>
      </c>
      <c r="O891">
        <f t="shared" si="650"/>
        <v>539.78919621753062</v>
      </c>
      <c r="P891">
        <f t="shared" si="650"/>
        <v>521.1066596179927</v>
      </c>
      <c r="Q891">
        <f t="shared" si="650"/>
        <v>710.174750401501</v>
      </c>
      <c r="R891">
        <f t="shared" si="650"/>
        <v>978.00499810897452</v>
      </c>
      <c r="S891">
        <f t="shared" si="650"/>
        <v>924.1602273922822</v>
      </c>
      <c r="T891">
        <f t="shared" si="650"/>
        <v>733.4615154240563</v>
      </c>
      <c r="U891">
        <f t="shared" si="650"/>
        <v>638.91589099775024</v>
      </c>
      <c r="V891">
        <f t="shared" si="650"/>
        <v>530.4959348952417</v>
      </c>
      <c r="W891">
        <f t="shared" si="650"/>
        <v>430.47418605597494</v>
      </c>
      <c r="Y891" s="6">
        <f t="shared" si="624"/>
        <v>16614.989193601337</v>
      </c>
      <c r="Z891">
        <f t="shared" si="625"/>
        <v>651.10583187632301</v>
      </c>
    </row>
    <row r="892" spans="1:26" x14ac:dyDescent="0.25">
      <c r="A892" t="s">
        <v>69</v>
      </c>
      <c r="D892">
        <f t="shared" ref="D892:W892" si="651">D136*D244</f>
        <v>652.1390746899699</v>
      </c>
      <c r="E892">
        <f t="shared" si="651"/>
        <v>920.53367887233901</v>
      </c>
      <c r="F892">
        <f t="shared" si="651"/>
        <v>839.97201625661216</v>
      </c>
      <c r="G892">
        <f t="shared" si="651"/>
        <v>805.88885145635038</v>
      </c>
      <c r="H892">
        <f t="shared" si="651"/>
        <v>754.73277459541248</v>
      </c>
      <c r="I892">
        <f t="shared" si="651"/>
        <v>913.38519869302434</v>
      </c>
      <c r="J892">
        <f t="shared" si="651"/>
        <v>427.33180786888238</v>
      </c>
      <c r="K892">
        <f t="shared" si="651"/>
        <v>614.44667857345485</v>
      </c>
      <c r="L892">
        <f t="shared" si="651"/>
        <v>345.77278194306365</v>
      </c>
      <c r="M892">
        <f t="shared" si="651"/>
        <v>528.17211816790416</v>
      </c>
      <c r="N892">
        <f t="shared" si="651"/>
        <v>574.26161132617005</v>
      </c>
      <c r="O892">
        <f t="shared" si="651"/>
        <v>498.25566675511124</v>
      </c>
      <c r="P892">
        <f t="shared" si="651"/>
        <v>499.2862553666518</v>
      </c>
      <c r="Q892">
        <f t="shared" si="651"/>
        <v>419.47840196179379</v>
      </c>
      <c r="R892">
        <f t="shared" si="651"/>
        <v>305.88276462609372</v>
      </c>
      <c r="S892">
        <f t="shared" si="651"/>
        <v>292.16584733211585</v>
      </c>
      <c r="T892">
        <f t="shared" si="651"/>
        <v>360.3407719281135</v>
      </c>
      <c r="U892">
        <f t="shared" si="651"/>
        <v>568.75863348422638</v>
      </c>
      <c r="V892">
        <f t="shared" si="651"/>
        <v>359.10048778787467</v>
      </c>
      <c r="W892">
        <f t="shared" si="651"/>
        <v>403.56252321754397</v>
      </c>
      <c r="Y892" s="6">
        <f t="shared" si="624"/>
        <v>11083.467944902712</v>
      </c>
      <c r="Z892">
        <f t="shared" si="625"/>
        <v>376.29516565687493</v>
      </c>
    </row>
    <row r="893" spans="1:26" x14ac:dyDescent="0.25">
      <c r="Y893" s="6"/>
    </row>
    <row r="894" spans="1:26" x14ac:dyDescent="0.25">
      <c r="A894" t="s">
        <v>70</v>
      </c>
      <c r="D894">
        <f t="shared" ref="D894:W894" si="652">D138*D246</f>
        <v>726.47183912138007</v>
      </c>
      <c r="E894">
        <f t="shared" si="652"/>
        <v>678.40215907220932</v>
      </c>
      <c r="F894">
        <f t="shared" si="652"/>
        <v>618.61895018012092</v>
      </c>
      <c r="G894">
        <f t="shared" si="652"/>
        <v>569.20908067202538</v>
      </c>
      <c r="H894">
        <f t="shared" si="652"/>
        <v>632.2654482897417</v>
      </c>
      <c r="I894">
        <f t="shared" si="652"/>
        <v>852.87698507062601</v>
      </c>
      <c r="J894">
        <f t="shared" si="652"/>
        <v>735.78423502939199</v>
      </c>
      <c r="K894">
        <f t="shared" si="652"/>
        <v>662.94771350044437</v>
      </c>
      <c r="L894">
        <f t="shared" si="652"/>
        <v>564.77867844978107</v>
      </c>
      <c r="M894">
        <f t="shared" si="652"/>
        <v>478.39169745574645</v>
      </c>
      <c r="N894">
        <f t="shared" si="652"/>
        <v>466.71516981313982</v>
      </c>
      <c r="O894">
        <f t="shared" si="652"/>
        <v>527.11077045152422</v>
      </c>
      <c r="P894">
        <f t="shared" si="652"/>
        <v>409.70469649188186</v>
      </c>
      <c r="Q894">
        <f t="shared" si="652"/>
        <v>493.06743678394895</v>
      </c>
      <c r="R894">
        <f t="shared" si="652"/>
        <v>544.0145181323137</v>
      </c>
      <c r="S894">
        <f t="shared" si="652"/>
        <v>551.93895714315511</v>
      </c>
      <c r="T894">
        <f t="shared" si="652"/>
        <v>448.665525781143</v>
      </c>
      <c r="U894">
        <f t="shared" si="652"/>
        <v>491.6474512316712</v>
      </c>
      <c r="V894">
        <f t="shared" si="652"/>
        <v>467.18504085873349</v>
      </c>
      <c r="W894">
        <f t="shared" si="652"/>
        <v>427.3587704525674</v>
      </c>
      <c r="Y894" s="6">
        <f t="shared" si="624"/>
        <v>11347.155123981547</v>
      </c>
      <c r="Z894">
        <f>SUMPRODUCT($D$898:$W$898,D894:W894)</f>
        <v>211.4167114837237</v>
      </c>
    </row>
    <row r="895" spans="1:26" x14ac:dyDescent="0.25">
      <c r="A895" t="s">
        <v>313</v>
      </c>
      <c r="D895">
        <f t="shared" ref="D895:W895" si="653">D139*D247</f>
        <v>924.55168106987992</v>
      </c>
      <c r="E895">
        <f t="shared" si="653"/>
        <v>966.08590635059738</v>
      </c>
      <c r="F895">
        <f t="shared" si="653"/>
        <v>690.64423971832207</v>
      </c>
      <c r="G895">
        <f t="shared" si="653"/>
        <v>836.16250839839472</v>
      </c>
      <c r="H895">
        <f t="shared" si="653"/>
        <v>1009.4653737212341</v>
      </c>
      <c r="I895">
        <f t="shared" si="653"/>
        <v>921.25936250013353</v>
      </c>
      <c r="J895">
        <f t="shared" si="653"/>
        <v>829.49335605574413</v>
      </c>
      <c r="K895">
        <f t="shared" si="653"/>
        <v>661.05338455546723</v>
      </c>
      <c r="L895">
        <f t="shared" si="653"/>
        <v>473.87509936200723</v>
      </c>
      <c r="M895">
        <f t="shared" si="653"/>
        <v>493.89977930250058</v>
      </c>
      <c r="N895">
        <f t="shared" si="653"/>
        <v>394.14579594118078</v>
      </c>
      <c r="O895">
        <f t="shared" si="653"/>
        <v>697.97454346081111</v>
      </c>
      <c r="P895">
        <f t="shared" si="653"/>
        <v>1205.5999999999999</v>
      </c>
      <c r="Q895">
        <f t="shared" si="653"/>
        <v>1443.3000000000002</v>
      </c>
      <c r="R895">
        <f t="shared" si="653"/>
        <v>1123.5899999999999</v>
      </c>
      <c r="S895">
        <f t="shared" si="653"/>
        <v>340.91</v>
      </c>
      <c r="T895">
        <f t="shared" si="653"/>
        <v>532.80000000000007</v>
      </c>
      <c r="U895">
        <f t="shared" si="653"/>
        <v>631.79999999999995</v>
      </c>
      <c r="V895">
        <f t="shared" si="653"/>
        <v>526.5</v>
      </c>
      <c r="W895">
        <f t="shared" si="653"/>
        <v>542.69999999999993</v>
      </c>
      <c r="Y895" s="6">
        <f t="shared" si="624"/>
        <v>15245.811030436271</v>
      </c>
      <c r="Z895">
        <f>SUMPRODUCT($D$898:$W$898,D895:W895)</f>
        <v>37.927508871694791</v>
      </c>
    </row>
    <row r="896" spans="1:26" x14ac:dyDescent="0.25">
      <c r="A896" t="s">
        <v>314</v>
      </c>
      <c r="D896">
        <f t="shared" ref="D896:W896" si="654">D140*D248</f>
        <v>846.05380295908117</v>
      </c>
      <c r="E896">
        <f t="shared" si="654"/>
        <v>850.52499040219777</v>
      </c>
      <c r="F896">
        <f t="shared" si="654"/>
        <v>703.01805822814492</v>
      </c>
      <c r="G896">
        <f t="shared" si="654"/>
        <v>593.76280582121615</v>
      </c>
      <c r="H896">
        <f t="shared" si="654"/>
        <v>946.77118708191074</v>
      </c>
      <c r="I896">
        <f t="shared" si="654"/>
        <v>591.14226674967381</v>
      </c>
      <c r="J896">
        <f t="shared" si="654"/>
        <v>536.76749346574638</v>
      </c>
      <c r="K896">
        <f t="shared" si="654"/>
        <v>623.42000000000007</v>
      </c>
      <c r="L896">
        <f t="shared" si="654"/>
        <v>536.23144693837048</v>
      </c>
      <c r="M896">
        <f t="shared" si="654"/>
        <v>543.81359146198508</v>
      </c>
      <c r="N896">
        <f t="shared" si="654"/>
        <v>548.05289508337535</v>
      </c>
      <c r="O896">
        <f t="shared" si="654"/>
        <v>571.74721551045741</v>
      </c>
      <c r="P896">
        <f t="shared" si="654"/>
        <v>387.40110445180727</v>
      </c>
      <c r="Q896">
        <f t="shared" si="654"/>
        <v>416.76094011944753</v>
      </c>
      <c r="R896">
        <f t="shared" si="654"/>
        <v>488.36300416072947</v>
      </c>
      <c r="S896">
        <f t="shared" si="654"/>
        <v>563.31597665869276</v>
      </c>
      <c r="T896">
        <f t="shared" si="654"/>
        <v>438.60586920986464</v>
      </c>
      <c r="U896">
        <f t="shared" si="654"/>
        <v>421.46229182940488</v>
      </c>
      <c r="V896">
        <f t="shared" si="654"/>
        <v>424.45531222301804</v>
      </c>
      <c r="W896">
        <f t="shared" si="654"/>
        <v>437.00870219997557</v>
      </c>
      <c r="Y896" s="6">
        <f t="shared" si="624"/>
        <v>11468.678954555098</v>
      </c>
      <c r="Z896">
        <f>SUMPRODUCT($D$898:$W$898,D896:W896)</f>
        <v>277.72836825193451</v>
      </c>
    </row>
    <row r="897" spans="1:26" x14ac:dyDescent="0.25">
      <c r="A897" t="s">
        <v>658</v>
      </c>
      <c r="D897">
        <f t="shared" ref="D897:W897" si="655">D141*D249</f>
        <v>1142.3037963800448</v>
      </c>
      <c r="E897">
        <f t="shared" si="655"/>
        <v>1032.9259074656613</v>
      </c>
      <c r="F897">
        <f t="shared" si="655"/>
        <v>1355.4645079087809</v>
      </c>
      <c r="G897">
        <f t="shared" si="655"/>
        <v>1373.2923094561509</v>
      </c>
      <c r="H897">
        <f t="shared" si="655"/>
        <v>1009.0973643183009</v>
      </c>
      <c r="I897">
        <f t="shared" si="655"/>
        <v>792.49</v>
      </c>
      <c r="J897">
        <f t="shared" si="655"/>
        <v>589.6</v>
      </c>
      <c r="K897">
        <f t="shared" si="655"/>
        <v>663.93999999999994</v>
      </c>
      <c r="L897">
        <f t="shared" si="655"/>
        <v>558</v>
      </c>
      <c r="M897">
        <f t="shared" si="655"/>
        <v>478.5</v>
      </c>
      <c r="N897">
        <f t="shared" si="655"/>
        <v>495.59999999999997</v>
      </c>
      <c r="O897">
        <f t="shared" si="655"/>
        <v>513.36</v>
      </c>
      <c r="P897">
        <f t="shared" si="655"/>
        <v>949.33488370604903</v>
      </c>
      <c r="Q897">
        <f t="shared" si="655"/>
        <v>1007.4232758206876</v>
      </c>
      <c r="R897">
        <f t="shared" si="655"/>
        <v>703.33231720381195</v>
      </c>
      <c r="S897">
        <f t="shared" si="655"/>
        <v>1062.76</v>
      </c>
      <c r="T897">
        <f t="shared" si="655"/>
        <v>458.15726216617827</v>
      </c>
      <c r="U897">
        <f t="shared" si="655"/>
        <v>415.32350052327644</v>
      </c>
      <c r="V897">
        <f t="shared" si="655"/>
        <v>389.01946136166634</v>
      </c>
      <c r="W897">
        <f t="shared" si="655"/>
        <v>470.42837882045245</v>
      </c>
      <c r="Y897" s="6">
        <f t="shared" ref="Y897" si="656">SUM(D897:W897)</f>
        <v>15460.352965131062</v>
      </c>
      <c r="Z897">
        <f>SUMPRODUCT($D$898:$W$898,D897:W897)</f>
        <v>524.76603200394982</v>
      </c>
    </row>
    <row r="898" spans="1:26" x14ac:dyDescent="0.25">
      <c r="A898" s="2" t="s">
        <v>71</v>
      </c>
      <c r="D898" s="3">
        <f>CORREL($B$2:$B$28,D866:D892)</f>
        <v>0.30729526041379712</v>
      </c>
      <c r="E898" s="3">
        <f t="shared" ref="E898:W898" si="657">CORREL($B$2:$B$28,E866:E892)</f>
        <v>0.21907020531822252</v>
      </c>
      <c r="F898" s="3">
        <f t="shared" si="657"/>
        <v>0.12417668240139848</v>
      </c>
      <c r="G898" s="3">
        <f t="shared" si="657"/>
        <v>0.11667288217121477</v>
      </c>
      <c r="H898" s="3">
        <f t="shared" si="657"/>
        <v>6.3853479308552549E-2</v>
      </c>
      <c r="I898" s="3">
        <f t="shared" si="657"/>
        <v>0.31798046777583427</v>
      </c>
      <c r="J898" s="3">
        <f t="shared" si="657"/>
        <v>-0.23335424261878679</v>
      </c>
      <c r="K898" s="3">
        <f t="shared" si="657"/>
        <v>-8.4661679018390348E-2</v>
      </c>
      <c r="L898" s="3">
        <f t="shared" si="657"/>
        <v>-0.12557207214707802</v>
      </c>
      <c r="M898" s="3">
        <f t="shared" si="657"/>
        <v>-9.7662288586051443E-2</v>
      </c>
      <c r="N898" s="3">
        <f t="shared" si="657"/>
        <v>-0.22531834508517387</v>
      </c>
      <c r="O898" s="3">
        <f t="shared" si="657"/>
        <v>-0.17022227216710067</v>
      </c>
      <c r="P898" s="3">
        <f t="shared" si="657"/>
        <v>-0.18625642110686452</v>
      </c>
      <c r="Q898" s="3">
        <f t="shared" si="657"/>
        <v>-0.19388892133184665</v>
      </c>
      <c r="R898" s="3">
        <f t="shared" si="657"/>
        <v>-5.248289800661921E-3</v>
      </c>
      <c r="S898" s="3">
        <f t="shared" si="657"/>
        <v>0.16117682490497304</v>
      </c>
      <c r="T898" s="3">
        <f t="shared" si="657"/>
        <v>6.1839514039583862E-2</v>
      </c>
      <c r="U898" s="3">
        <f t="shared" si="657"/>
        <v>8.6475147339056702E-2</v>
      </c>
      <c r="V898" s="3">
        <f t="shared" si="657"/>
        <v>-0.14179831224815495</v>
      </c>
      <c r="W898" s="3">
        <f t="shared" si="657"/>
        <v>1.614680940223321E-2</v>
      </c>
    </row>
    <row r="901" spans="1:26" x14ac:dyDescent="0.25">
      <c r="D901" t="s">
        <v>280</v>
      </c>
      <c r="E901" t="s">
        <v>281</v>
      </c>
      <c r="F901" t="s">
        <v>282</v>
      </c>
      <c r="G901" t="s">
        <v>283</v>
      </c>
      <c r="H901" t="s">
        <v>284</v>
      </c>
      <c r="I901" t="s">
        <v>285</v>
      </c>
      <c r="J901" t="s">
        <v>286</v>
      </c>
      <c r="K901" t="s">
        <v>287</v>
      </c>
      <c r="L901" t="s">
        <v>340</v>
      </c>
      <c r="M901" t="s">
        <v>418</v>
      </c>
      <c r="N901" t="s">
        <v>419</v>
      </c>
      <c r="O901" t="s">
        <v>420</v>
      </c>
      <c r="P901" t="s">
        <v>534</v>
      </c>
      <c r="Q901" t="s">
        <v>535</v>
      </c>
      <c r="R901" t="s">
        <v>536</v>
      </c>
      <c r="S901" t="s">
        <v>537</v>
      </c>
      <c r="T901" t="s">
        <v>646</v>
      </c>
      <c r="U901" t="s">
        <v>647</v>
      </c>
      <c r="V901" t="s">
        <v>648</v>
      </c>
      <c r="W901" t="s">
        <v>649</v>
      </c>
      <c r="Y901" t="s">
        <v>288</v>
      </c>
      <c r="Z901" t="s">
        <v>289</v>
      </c>
    </row>
    <row r="902" spans="1:26" x14ac:dyDescent="0.25">
      <c r="A902" t="s">
        <v>43</v>
      </c>
      <c r="D902">
        <f t="shared" ref="D902:W902" si="658">D146*D182</f>
        <v>192.25672604763216</v>
      </c>
      <c r="E902">
        <f t="shared" si="658"/>
        <v>176.23853857747991</v>
      </c>
      <c r="F902">
        <f t="shared" si="658"/>
        <v>132.46765555511513</v>
      </c>
      <c r="G902">
        <f t="shared" si="658"/>
        <v>237.05526215539038</v>
      </c>
      <c r="H902">
        <f t="shared" si="658"/>
        <v>188.66949968138331</v>
      </c>
      <c r="I902">
        <f t="shared" si="658"/>
        <v>163.41057901873626</v>
      </c>
      <c r="J902">
        <f t="shared" si="658"/>
        <v>360.3801009637088</v>
      </c>
      <c r="K902">
        <f t="shared" si="658"/>
        <v>191.11049990847775</v>
      </c>
      <c r="L902">
        <f t="shared" si="658"/>
        <v>236.72629339222857</v>
      </c>
      <c r="M902">
        <f t="shared" si="658"/>
        <v>68.010661664262514</v>
      </c>
      <c r="N902">
        <f t="shared" si="658"/>
        <v>98.678079845768792</v>
      </c>
      <c r="O902">
        <f t="shared" si="658"/>
        <v>189.06236372740941</v>
      </c>
      <c r="P902">
        <f t="shared" si="658"/>
        <v>156.79171733601322</v>
      </c>
      <c r="Q902">
        <f t="shared" si="658"/>
        <v>182.01850386251573</v>
      </c>
      <c r="R902">
        <f t="shared" si="658"/>
        <v>191.24467232240164</v>
      </c>
      <c r="S902">
        <f t="shared" si="658"/>
        <v>162.89612808960686</v>
      </c>
      <c r="T902">
        <f t="shared" si="658"/>
        <v>100.74991546243612</v>
      </c>
      <c r="U902">
        <f t="shared" si="658"/>
        <v>67.440619002618234</v>
      </c>
      <c r="V902">
        <f t="shared" si="658"/>
        <v>344.58485384787355</v>
      </c>
      <c r="W902">
        <f t="shared" si="658"/>
        <v>122.89607179228403</v>
      </c>
      <c r="Y902" s="6">
        <f t="shared" ref="Y902:Y932" si="659">SUM(D902:W902)</f>
        <v>3562.6887422533432</v>
      </c>
      <c r="Z902">
        <f t="shared" ref="Z902:Z928" si="660">SUMPRODUCT($D$934:$W$934,D902:W902)</f>
        <v>-165.73267952420761</v>
      </c>
    </row>
    <row r="903" spans="1:26" x14ac:dyDescent="0.25">
      <c r="A903" t="s">
        <v>44</v>
      </c>
      <c r="D903">
        <f t="shared" ref="D903:W903" si="661">D147*D183</f>
        <v>126.5458938552071</v>
      </c>
      <c r="E903">
        <f t="shared" si="661"/>
        <v>118.53057453378106</v>
      </c>
      <c r="F903">
        <f t="shared" si="661"/>
        <v>357.75724819095137</v>
      </c>
      <c r="G903">
        <f t="shared" si="661"/>
        <v>124.11042443717918</v>
      </c>
      <c r="H903">
        <f t="shared" si="661"/>
        <v>161.93460999576925</v>
      </c>
      <c r="I903">
        <f t="shared" si="661"/>
        <v>104.78287907093375</v>
      </c>
      <c r="J903">
        <f t="shared" si="661"/>
        <v>113.61599073139764</v>
      </c>
      <c r="K903">
        <f t="shared" si="661"/>
        <v>74.267301099990462</v>
      </c>
      <c r="L903">
        <f t="shared" si="661"/>
        <v>93.694147659371026</v>
      </c>
      <c r="M903">
        <f t="shared" si="661"/>
        <v>141.79012683070312</v>
      </c>
      <c r="N903">
        <f t="shared" si="661"/>
        <v>385.34171822072693</v>
      </c>
      <c r="O903">
        <f t="shared" si="661"/>
        <v>196.8187115849386</v>
      </c>
      <c r="P903">
        <f t="shared" si="661"/>
        <v>69.703937965730091</v>
      </c>
      <c r="Q903">
        <f t="shared" si="661"/>
        <v>87.61424448018289</v>
      </c>
      <c r="R903">
        <f t="shared" si="661"/>
        <v>121.84008104913524</v>
      </c>
      <c r="S903">
        <f t="shared" si="661"/>
        <v>127.88654759816774</v>
      </c>
      <c r="T903">
        <f t="shared" si="661"/>
        <v>181.21952309137504</v>
      </c>
      <c r="U903">
        <f t="shared" si="661"/>
        <v>110.47890871525162</v>
      </c>
      <c r="V903">
        <f t="shared" si="661"/>
        <v>230.85372289005704</v>
      </c>
      <c r="W903">
        <f t="shared" si="661"/>
        <v>310.53158085736311</v>
      </c>
      <c r="Y903" s="6">
        <f t="shared" si="659"/>
        <v>3239.3181728582131</v>
      </c>
      <c r="Z903">
        <f t="shared" si="660"/>
        <v>-182.44879793866087</v>
      </c>
    </row>
    <row r="904" spans="1:26" x14ac:dyDescent="0.25">
      <c r="A904" t="s">
        <v>45</v>
      </c>
      <c r="D904">
        <f t="shared" ref="D904:W904" si="662">D148*D184</f>
        <v>205.13161077787137</v>
      </c>
      <c r="E904">
        <f t="shared" si="662"/>
        <v>51.463495886980255</v>
      </c>
      <c r="F904">
        <f t="shared" si="662"/>
        <v>64.524663812885365</v>
      </c>
      <c r="G904">
        <f t="shared" si="662"/>
        <v>201.04996059560645</v>
      </c>
      <c r="H904">
        <f t="shared" si="662"/>
        <v>293.18687600266384</v>
      </c>
      <c r="I904">
        <f t="shared" si="662"/>
        <v>159.94305465011891</v>
      </c>
      <c r="J904">
        <f t="shared" si="662"/>
        <v>379.6116224960075</v>
      </c>
      <c r="K904">
        <f t="shared" si="662"/>
        <v>150.05779971879699</v>
      </c>
      <c r="L904">
        <f t="shared" si="662"/>
        <v>173.55609382015948</v>
      </c>
      <c r="M904">
        <f t="shared" si="662"/>
        <v>170.07143911372873</v>
      </c>
      <c r="N904">
        <f t="shared" si="662"/>
        <v>236.04089931290636</v>
      </c>
      <c r="O904">
        <f t="shared" si="662"/>
        <v>164.46598948726026</v>
      </c>
      <c r="P904">
        <f t="shared" si="662"/>
        <v>69.318353000853151</v>
      </c>
      <c r="Q904">
        <f t="shared" si="662"/>
        <v>71.875026814044034</v>
      </c>
      <c r="R904">
        <f t="shared" si="662"/>
        <v>189.60142675371321</v>
      </c>
      <c r="S904">
        <f t="shared" si="662"/>
        <v>205.66216216581</v>
      </c>
      <c r="T904">
        <f t="shared" si="662"/>
        <v>276.84576770165393</v>
      </c>
      <c r="U904">
        <f t="shared" si="662"/>
        <v>282.74679924082693</v>
      </c>
      <c r="V904">
        <f t="shared" si="662"/>
        <v>296.01675779946413</v>
      </c>
      <c r="W904">
        <f t="shared" si="662"/>
        <v>367.84458307301827</v>
      </c>
      <c r="Y904" s="6">
        <f t="shared" si="659"/>
        <v>4009.0143822243695</v>
      </c>
      <c r="Z904">
        <f t="shared" si="660"/>
        <v>-274.59662907911678</v>
      </c>
    </row>
    <row r="905" spans="1:26" x14ac:dyDescent="0.25">
      <c r="A905" t="s">
        <v>46</v>
      </c>
      <c r="D905">
        <f t="shared" ref="D905:W905" si="663">D149*D185</f>
        <v>165.94303782921543</v>
      </c>
      <c r="E905">
        <f t="shared" si="663"/>
        <v>116.67321611315897</v>
      </c>
      <c r="F905">
        <f t="shared" si="663"/>
        <v>140.05696505075156</v>
      </c>
      <c r="G905">
        <f t="shared" si="663"/>
        <v>151.26131814759364</v>
      </c>
      <c r="H905">
        <f t="shared" si="663"/>
        <v>145.03794568573747</v>
      </c>
      <c r="I905">
        <f t="shared" si="663"/>
        <v>132.8416800109714</v>
      </c>
      <c r="J905">
        <f t="shared" si="663"/>
        <v>163.98102467530231</v>
      </c>
      <c r="K905">
        <f t="shared" si="663"/>
        <v>281.55382583494873</v>
      </c>
      <c r="L905">
        <f t="shared" si="663"/>
        <v>321.82448463569921</v>
      </c>
      <c r="M905">
        <f t="shared" si="663"/>
        <v>267.61105839137753</v>
      </c>
      <c r="N905">
        <f t="shared" si="663"/>
        <v>123.57996673000744</v>
      </c>
      <c r="O905">
        <f t="shared" si="663"/>
        <v>190.86379345733255</v>
      </c>
      <c r="P905">
        <f t="shared" si="663"/>
        <v>102.12224187057107</v>
      </c>
      <c r="Q905">
        <f t="shared" si="663"/>
        <v>144.59554584983411</v>
      </c>
      <c r="R905">
        <f t="shared" si="663"/>
        <v>97.143386203048067</v>
      </c>
      <c r="S905">
        <f t="shared" si="663"/>
        <v>302.12515087169419</v>
      </c>
      <c r="T905">
        <f t="shared" si="663"/>
        <v>104.19895411097477</v>
      </c>
      <c r="U905">
        <f t="shared" si="663"/>
        <v>96.703127932298599</v>
      </c>
      <c r="V905">
        <f t="shared" si="663"/>
        <v>96.281894641593098</v>
      </c>
      <c r="W905">
        <f t="shared" si="663"/>
        <v>160.51049482882823</v>
      </c>
      <c r="Y905" s="6">
        <f t="shared" si="659"/>
        <v>3304.9091128709383</v>
      </c>
      <c r="Z905">
        <f t="shared" si="660"/>
        <v>-96.997848129745464</v>
      </c>
    </row>
    <row r="906" spans="1:26" x14ac:dyDescent="0.25">
      <c r="A906" t="s">
        <v>47</v>
      </c>
      <c r="D906">
        <f t="shared" ref="D906:W906" si="664">D150*D186</f>
        <v>281.90102190946754</v>
      </c>
      <c r="E906">
        <f t="shared" si="664"/>
        <v>285.97360376877953</v>
      </c>
      <c r="F906">
        <f t="shared" si="664"/>
        <v>213.09289279402589</v>
      </c>
      <c r="G906">
        <f t="shared" si="664"/>
        <v>399.05314279482121</v>
      </c>
      <c r="H906">
        <f t="shared" si="664"/>
        <v>237.2160615925458</v>
      </c>
      <c r="I906">
        <f t="shared" si="664"/>
        <v>187.39072371414986</v>
      </c>
      <c r="J906">
        <f t="shared" si="664"/>
        <v>231.18924943677641</v>
      </c>
      <c r="K906">
        <f t="shared" si="664"/>
        <v>275.31783607453087</v>
      </c>
      <c r="L906">
        <f t="shared" si="664"/>
        <v>175.24481822599611</v>
      </c>
      <c r="M906">
        <f t="shared" si="664"/>
        <v>209.24497157192661</v>
      </c>
      <c r="N906">
        <f t="shared" si="664"/>
        <v>197.87143097229335</v>
      </c>
      <c r="O906">
        <f t="shared" si="664"/>
        <v>197.81631593373865</v>
      </c>
      <c r="P906">
        <f t="shared" si="664"/>
        <v>255.4955550526409</v>
      </c>
      <c r="Q906">
        <f t="shared" si="664"/>
        <v>143.42492042856085</v>
      </c>
      <c r="R906">
        <f t="shared" si="664"/>
        <v>309.52236231933364</v>
      </c>
      <c r="S906">
        <f t="shared" si="664"/>
        <v>374.17803769934932</v>
      </c>
      <c r="T906">
        <f t="shared" si="664"/>
        <v>237.86912461083423</v>
      </c>
      <c r="U906">
        <f t="shared" si="664"/>
        <v>274.75220282360306</v>
      </c>
      <c r="V906">
        <f t="shared" si="664"/>
        <v>276.80749672766569</v>
      </c>
      <c r="W906">
        <f t="shared" si="664"/>
        <v>322.9288957061097</v>
      </c>
      <c r="Y906" s="6">
        <f t="shared" si="659"/>
        <v>5086.2906641571508</v>
      </c>
      <c r="Z906">
        <f t="shared" si="660"/>
        <v>-113.53507719866244</v>
      </c>
    </row>
    <row r="907" spans="1:26" x14ac:dyDescent="0.25">
      <c r="A907" t="s">
        <v>48</v>
      </c>
      <c r="D907">
        <f t="shared" ref="D907:W907" si="665">D151*D187</f>
        <v>459.90666815858793</v>
      </c>
      <c r="E907">
        <f t="shared" si="665"/>
        <v>483.48199328319913</v>
      </c>
      <c r="F907">
        <f t="shared" si="665"/>
        <v>534.6125981022542</v>
      </c>
      <c r="G907">
        <f t="shared" si="665"/>
        <v>811.63191706676889</v>
      </c>
      <c r="H907">
        <f t="shared" si="665"/>
        <v>621.83370400594447</v>
      </c>
      <c r="I907">
        <f t="shared" si="665"/>
        <v>560.97284971342435</v>
      </c>
      <c r="J907">
        <f t="shared" si="665"/>
        <v>670.27462835420795</v>
      </c>
      <c r="K907">
        <f t="shared" si="665"/>
        <v>659.13635496707252</v>
      </c>
      <c r="L907">
        <f t="shared" si="665"/>
        <v>359.1967058402102</v>
      </c>
      <c r="M907">
        <f t="shared" si="665"/>
        <v>191.97677472874614</v>
      </c>
      <c r="N907">
        <f t="shared" si="665"/>
        <v>219.05120609388862</v>
      </c>
      <c r="O907">
        <f t="shared" si="665"/>
        <v>141.12091527316471</v>
      </c>
      <c r="P907">
        <f t="shared" si="665"/>
        <v>277.40725077926561</v>
      </c>
      <c r="Q907">
        <f t="shared" si="665"/>
        <v>317.2278380506969</v>
      </c>
      <c r="R907">
        <f t="shared" si="665"/>
        <v>256.42875427463451</v>
      </c>
      <c r="S907">
        <f t="shared" si="665"/>
        <v>75.254122829801148</v>
      </c>
      <c r="T907">
        <f t="shared" si="665"/>
        <v>123.02944281680585</v>
      </c>
      <c r="U907">
        <f t="shared" si="665"/>
        <v>150.62797164835109</v>
      </c>
      <c r="V907">
        <f t="shared" si="665"/>
        <v>151.34761749952671</v>
      </c>
      <c r="W907">
        <f t="shared" si="665"/>
        <v>183.24904901538929</v>
      </c>
      <c r="Y907" s="6">
        <f t="shared" si="659"/>
        <v>7247.7683625019408</v>
      </c>
      <c r="Z907">
        <f t="shared" si="660"/>
        <v>-8.3555816138382362</v>
      </c>
    </row>
    <row r="908" spans="1:26" x14ac:dyDescent="0.25">
      <c r="A908" t="s">
        <v>49</v>
      </c>
      <c r="D908">
        <f t="shared" ref="D908:W908" si="666">D152*D188</f>
        <v>137.27821699490536</v>
      </c>
      <c r="E908">
        <f t="shared" si="666"/>
        <v>256.81775282967334</v>
      </c>
      <c r="F908">
        <f t="shared" si="666"/>
        <v>313.0510615996667</v>
      </c>
      <c r="G908">
        <f t="shared" si="666"/>
        <v>259.48018917904949</v>
      </c>
      <c r="H908">
        <f t="shared" si="666"/>
        <v>178.98373355018418</v>
      </c>
      <c r="I908">
        <f t="shared" si="666"/>
        <v>178.26625027128003</v>
      </c>
      <c r="J908">
        <f t="shared" si="666"/>
        <v>209.91427328294245</v>
      </c>
      <c r="K908">
        <f t="shared" si="666"/>
        <v>269.99000285888508</v>
      </c>
      <c r="L908">
        <f t="shared" si="666"/>
        <v>180.43284070953828</v>
      </c>
      <c r="M908">
        <f t="shared" si="666"/>
        <v>154.26753298730523</v>
      </c>
      <c r="N908">
        <f t="shared" si="666"/>
        <v>197.84689064329169</v>
      </c>
      <c r="O908">
        <f t="shared" si="666"/>
        <v>163.6942314958545</v>
      </c>
      <c r="P908">
        <f t="shared" si="666"/>
        <v>347.06666342786934</v>
      </c>
      <c r="Q908">
        <f t="shared" si="666"/>
        <v>712.81978673209915</v>
      </c>
      <c r="R908">
        <f t="shared" si="666"/>
        <v>444.87571653736677</v>
      </c>
      <c r="S908">
        <f t="shared" si="666"/>
        <v>251.90849025812503</v>
      </c>
      <c r="T908">
        <f t="shared" si="666"/>
        <v>144.26795085457698</v>
      </c>
      <c r="U908">
        <f t="shared" si="666"/>
        <v>227.46227760536527</v>
      </c>
      <c r="V908">
        <f t="shared" si="666"/>
        <v>256.91352098997629</v>
      </c>
      <c r="W908">
        <f t="shared" si="666"/>
        <v>171.72486152891889</v>
      </c>
      <c r="Y908" s="6">
        <f t="shared" si="659"/>
        <v>5057.0622443368748</v>
      </c>
      <c r="Z908">
        <f t="shared" si="660"/>
        <v>-240.56309173328057</v>
      </c>
    </row>
    <row r="909" spans="1:26" x14ac:dyDescent="0.25">
      <c r="A909" t="s">
        <v>50</v>
      </c>
      <c r="D909">
        <f t="shared" ref="D909:W909" si="667">D153*D189</f>
        <v>235.38092531082128</v>
      </c>
      <c r="E909">
        <f t="shared" si="667"/>
        <v>204.57311388281394</v>
      </c>
      <c r="F909">
        <f t="shared" si="667"/>
        <v>-3.1472505148988166</v>
      </c>
      <c r="G909">
        <f t="shared" si="667"/>
        <v>381.53043259309135</v>
      </c>
      <c r="H909">
        <f t="shared" si="667"/>
        <v>325.53060890621572</v>
      </c>
      <c r="I909">
        <f t="shared" si="667"/>
        <v>301.8952222607175</v>
      </c>
      <c r="J909">
        <f t="shared" si="667"/>
        <v>248.24890421296752</v>
      </c>
      <c r="K909">
        <f t="shared" si="667"/>
        <v>219.79104312604107</v>
      </c>
      <c r="L909">
        <f t="shared" si="667"/>
        <v>352.83381580980551</v>
      </c>
      <c r="M909">
        <f t="shared" si="667"/>
        <v>523.93881370511315</v>
      </c>
      <c r="N909">
        <f t="shared" si="667"/>
        <v>906.80420053857483</v>
      </c>
      <c r="O909">
        <f t="shared" si="667"/>
        <v>1035.680928060287</v>
      </c>
      <c r="P909">
        <f t="shared" si="667"/>
        <v>935.84355655718343</v>
      </c>
      <c r="Q909">
        <f t="shared" si="667"/>
        <v>995.4434755913785</v>
      </c>
      <c r="R909">
        <f t="shared" si="667"/>
        <v>68.013241108059219</v>
      </c>
      <c r="S909">
        <f t="shared" si="667"/>
        <v>83.938923475820189</v>
      </c>
      <c r="T909">
        <f t="shared" si="667"/>
        <v>370.44073716272686</v>
      </c>
      <c r="U909">
        <f t="shared" si="667"/>
        <v>326.42577882521289</v>
      </c>
      <c r="V909">
        <f t="shared" si="667"/>
        <v>341.08230079800347</v>
      </c>
      <c r="W909">
        <f t="shared" si="667"/>
        <v>178.65213271032331</v>
      </c>
      <c r="Y909" s="6">
        <f t="shared" si="659"/>
        <v>8032.900904120258</v>
      </c>
      <c r="Z909">
        <f t="shared" si="660"/>
        <v>-925.06415485531147</v>
      </c>
    </row>
    <row r="910" spans="1:26" x14ac:dyDescent="0.25">
      <c r="A910" t="s">
        <v>51</v>
      </c>
      <c r="D910">
        <f t="shared" ref="D910:W910" si="668">D154*D190</f>
        <v>324.95609311933214</v>
      </c>
      <c r="E910">
        <f t="shared" si="668"/>
        <v>702.82167283941237</v>
      </c>
      <c r="F910">
        <f t="shared" si="668"/>
        <v>1440.8135135018169</v>
      </c>
      <c r="G910">
        <f t="shared" si="668"/>
        <v>636.72568770651424</v>
      </c>
      <c r="H910">
        <f t="shared" si="668"/>
        <v>353.99356529277003</v>
      </c>
      <c r="I910">
        <f t="shared" si="668"/>
        <v>225.40963324824628</v>
      </c>
      <c r="J910">
        <f t="shared" si="668"/>
        <v>644.65289633645864</v>
      </c>
      <c r="K910">
        <f t="shared" si="668"/>
        <v>540.18929659297544</v>
      </c>
      <c r="L910">
        <f t="shared" si="668"/>
        <v>763.81698373904351</v>
      </c>
      <c r="M910">
        <f t="shared" si="668"/>
        <v>751.13009163975266</v>
      </c>
      <c r="N910">
        <f t="shared" si="668"/>
        <v>986.28335152935153</v>
      </c>
      <c r="O910">
        <f t="shared" si="668"/>
        <v>624.21357502282558</v>
      </c>
      <c r="P910">
        <f t="shared" si="668"/>
        <v>896.74374771838779</v>
      </c>
      <c r="Q910">
        <f t="shared" si="668"/>
        <v>500.14240324039616</v>
      </c>
      <c r="R910">
        <f t="shared" si="668"/>
        <v>717.80787886018072</v>
      </c>
      <c r="S910">
        <f t="shared" si="668"/>
        <v>766.25929713186588</v>
      </c>
      <c r="T910">
        <f t="shared" si="668"/>
        <v>625.27501993297471</v>
      </c>
      <c r="U910">
        <f t="shared" si="668"/>
        <v>479.53772021981507</v>
      </c>
      <c r="V910">
        <f t="shared" si="668"/>
        <v>543.07450891413896</v>
      </c>
      <c r="W910">
        <f t="shared" si="668"/>
        <v>409.92705081612758</v>
      </c>
      <c r="Y910" s="6">
        <f t="shared" si="659"/>
        <v>12933.773987402386</v>
      </c>
      <c r="Z910">
        <f t="shared" si="660"/>
        <v>-697.9893460495216</v>
      </c>
    </row>
    <row r="911" spans="1:26" x14ac:dyDescent="0.25">
      <c r="A911" t="s">
        <v>52</v>
      </c>
      <c r="D911">
        <f t="shared" ref="D911:W911" si="669">D155*D191</f>
        <v>358.49826509992243</v>
      </c>
      <c r="E911">
        <f t="shared" si="669"/>
        <v>369.57913593536813</v>
      </c>
      <c r="F911">
        <f t="shared" si="669"/>
        <v>331.39306923022662</v>
      </c>
      <c r="G911">
        <f t="shared" si="669"/>
        <v>237.05666121368299</v>
      </c>
      <c r="H911">
        <f t="shared" si="669"/>
        <v>324.3079931528963</v>
      </c>
      <c r="I911">
        <f t="shared" si="669"/>
        <v>452.49048642454011</v>
      </c>
      <c r="J911">
        <f t="shared" si="669"/>
        <v>126.14490690170678</v>
      </c>
      <c r="K911">
        <f t="shared" si="669"/>
        <v>170.22998667727998</v>
      </c>
      <c r="L911">
        <f t="shared" si="669"/>
        <v>242.97129309805763</v>
      </c>
      <c r="M911">
        <f t="shared" si="669"/>
        <v>218.23199012698601</v>
      </c>
      <c r="N911">
        <f t="shared" si="669"/>
        <v>228.87673108203592</v>
      </c>
      <c r="O911">
        <f t="shared" si="669"/>
        <v>215.29556830550567</v>
      </c>
      <c r="P911">
        <f t="shared" si="669"/>
        <v>221.26192863050227</v>
      </c>
      <c r="Q911">
        <f t="shared" si="669"/>
        <v>183.83784339518832</v>
      </c>
      <c r="R911">
        <f t="shared" si="669"/>
        <v>215.80081912715443</v>
      </c>
      <c r="S911">
        <f t="shared" si="669"/>
        <v>271.82884730139114</v>
      </c>
      <c r="T911">
        <f t="shared" si="669"/>
        <v>140.15037783015205</v>
      </c>
      <c r="U911">
        <f t="shared" si="669"/>
        <v>181.43915238348202</v>
      </c>
      <c r="V911">
        <f t="shared" si="669"/>
        <v>158.18496291273732</v>
      </c>
      <c r="W911">
        <f t="shared" si="669"/>
        <v>193.43786881068584</v>
      </c>
      <c r="Y911" s="6">
        <f t="shared" si="659"/>
        <v>4841.0178876395021</v>
      </c>
      <c r="Z911">
        <f t="shared" si="660"/>
        <v>67.555775783451224</v>
      </c>
    </row>
    <row r="912" spans="1:26" x14ac:dyDescent="0.25">
      <c r="A912" t="s">
        <v>53</v>
      </c>
      <c r="D912">
        <f t="shared" ref="D912:W912" si="670">D156*D192</f>
        <v>189.82127175501492</v>
      </c>
      <c r="E912">
        <f t="shared" si="670"/>
        <v>183.29585736903206</v>
      </c>
      <c r="F912">
        <f t="shared" si="670"/>
        <v>163.99597769243368</v>
      </c>
      <c r="G912">
        <f t="shared" si="670"/>
        <v>209.77043699631372</v>
      </c>
      <c r="H912">
        <f t="shared" si="670"/>
        <v>180.62545898941676</v>
      </c>
      <c r="I912">
        <f t="shared" si="670"/>
        <v>143.94289613221423</v>
      </c>
      <c r="J912">
        <f t="shared" si="670"/>
        <v>293.72006364336772</v>
      </c>
      <c r="K912">
        <f t="shared" si="670"/>
        <v>319.26927791948037</v>
      </c>
      <c r="L912">
        <f t="shared" si="670"/>
        <v>352.06772750332203</v>
      </c>
      <c r="M912">
        <f t="shared" si="670"/>
        <v>297.74631669903636</v>
      </c>
      <c r="N912">
        <f t="shared" si="670"/>
        <v>184.4725542137642</v>
      </c>
      <c r="O912">
        <f t="shared" si="670"/>
        <v>220.07717529003725</v>
      </c>
      <c r="P912">
        <f t="shared" si="670"/>
        <v>213.54023841983803</v>
      </c>
      <c r="Q912">
        <f t="shared" si="670"/>
        <v>77.077278065627041</v>
      </c>
      <c r="R912">
        <f t="shared" si="670"/>
        <v>140.02976413098105</v>
      </c>
      <c r="S912">
        <f t="shared" si="670"/>
        <v>147.79457861401076</v>
      </c>
      <c r="T912">
        <f t="shared" si="670"/>
        <v>275.23334646687277</v>
      </c>
      <c r="U912">
        <f t="shared" si="670"/>
        <v>170.64994485675152</v>
      </c>
      <c r="V912">
        <f t="shared" si="670"/>
        <v>152.72428453760762</v>
      </c>
      <c r="W912">
        <f t="shared" si="670"/>
        <v>154.13046778002251</v>
      </c>
      <c r="Y912" s="6">
        <f t="shared" si="659"/>
        <v>4069.9849170751449</v>
      </c>
      <c r="Z912">
        <f t="shared" si="660"/>
        <v>-237.53140105773241</v>
      </c>
    </row>
    <row r="913" spans="1:26" x14ac:dyDescent="0.25">
      <c r="A913" t="s">
        <v>54</v>
      </c>
      <c r="D913">
        <f t="shared" ref="D913:W913" si="671">D157*D193</f>
        <v>261.9752836201003</v>
      </c>
      <c r="E913">
        <f t="shared" si="671"/>
        <v>334.49822616400076</v>
      </c>
      <c r="F913">
        <f t="shared" si="671"/>
        <v>314.90626468058883</v>
      </c>
      <c r="G913">
        <f t="shared" si="671"/>
        <v>158.47706161524499</v>
      </c>
      <c r="H913">
        <f t="shared" si="671"/>
        <v>121.63084144419493</v>
      </c>
      <c r="I913">
        <f t="shared" si="671"/>
        <v>171.25360018755023</v>
      </c>
      <c r="J913">
        <f t="shared" si="671"/>
        <v>72.150538370906744</v>
      </c>
      <c r="K913">
        <f t="shared" si="671"/>
        <v>112.59358947082393</v>
      </c>
      <c r="L913">
        <f t="shared" si="671"/>
        <v>203.40781053723617</v>
      </c>
      <c r="M913">
        <f t="shared" si="671"/>
        <v>230.15474784069687</v>
      </c>
      <c r="N913">
        <f t="shared" si="671"/>
        <v>259.85557627135358</v>
      </c>
      <c r="O913">
        <f t="shared" si="671"/>
        <v>290.37881864458279</v>
      </c>
      <c r="P913">
        <f t="shared" si="671"/>
        <v>284.01835226708482</v>
      </c>
      <c r="Q913">
        <f t="shared" si="671"/>
        <v>276.21887157661661</v>
      </c>
      <c r="R913">
        <f t="shared" si="671"/>
        <v>70.314268379619122</v>
      </c>
      <c r="S913">
        <f t="shared" si="671"/>
        <v>132.82255583731967</v>
      </c>
      <c r="T913">
        <f t="shared" si="671"/>
        <v>108.46323270466102</v>
      </c>
      <c r="U913">
        <f t="shared" si="671"/>
        <v>160.12130561632173</v>
      </c>
      <c r="V913">
        <f t="shared" si="671"/>
        <v>106.07822085577108</v>
      </c>
      <c r="W913">
        <f t="shared" si="671"/>
        <v>287.00016186763258</v>
      </c>
      <c r="Y913" s="6">
        <f t="shared" si="659"/>
        <v>3956.319327952307</v>
      </c>
      <c r="Z913">
        <f t="shared" si="660"/>
        <v>-94.990514275329602</v>
      </c>
    </row>
    <row r="914" spans="1:26" x14ac:dyDescent="0.25">
      <c r="A914" t="s">
        <v>55</v>
      </c>
      <c r="D914">
        <f t="shared" ref="D914:W914" si="672">D158*D194</f>
        <v>522.68785599098089</v>
      </c>
      <c r="E914">
        <f t="shared" si="672"/>
        <v>477.9062734700338</v>
      </c>
      <c r="F914">
        <f t="shared" si="672"/>
        <v>269.94066722730116</v>
      </c>
      <c r="G914">
        <f t="shared" si="672"/>
        <v>455.1444179233423</v>
      </c>
      <c r="H914">
        <f t="shared" si="672"/>
        <v>297.79031528464151</v>
      </c>
      <c r="I914">
        <f t="shared" si="672"/>
        <v>409.37748930009093</v>
      </c>
      <c r="J914">
        <f t="shared" si="672"/>
        <v>214.08221815606615</v>
      </c>
      <c r="K914">
        <f t="shared" si="672"/>
        <v>189.98368023695221</v>
      </c>
      <c r="L914">
        <f t="shared" si="672"/>
        <v>215.49029926941242</v>
      </c>
      <c r="M914">
        <f t="shared" si="672"/>
        <v>220.91166120888553</v>
      </c>
      <c r="N914">
        <f t="shared" si="672"/>
        <v>227.87884179817408</v>
      </c>
      <c r="O914">
        <f t="shared" si="672"/>
        <v>83.26569339247726</v>
      </c>
      <c r="P914">
        <f t="shared" si="672"/>
        <v>123.47821479515484</v>
      </c>
      <c r="Q914">
        <f t="shared" si="672"/>
        <v>300.53312711618526</v>
      </c>
      <c r="R914">
        <f t="shared" si="672"/>
        <v>122.43721250361969</v>
      </c>
      <c r="S914">
        <f t="shared" si="672"/>
        <v>265.06643259419121</v>
      </c>
      <c r="T914">
        <f t="shared" si="672"/>
        <v>118.35432719835018</v>
      </c>
      <c r="U914">
        <f t="shared" si="672"/>
        <v>105.56100446445041</v>
      </c>
      <c r="V914">
        <f t="shared" si="672"/>
        <v>306.16653302509422</v>
      </c>
      <c r="W914">
        <f t="shared" si="672"/>
        <v>269.67680840199512</v>
      </c>
      <c r="Y914" s="6">
        <f t="shared" si="659"/>
        <v>5195.733073357399</v>
      </c>
      <c r="Z914">
        <f t="shared" si="660"/>
        <v>138.38398423812632</v>
      </c>
    </row>
    <row r="915" spans="1:26" x14ac:dyDescent="0.25">
      <c r="A915" t="s">
        <v>56</v>
      </c>
      <c r="D915">
        <f t="shared" ref="D915:W915" si="673">D159*D195</f>
        <v>617.21943528993688</v>
      </c>
      <c r="E915">
        <f t="shared" si="673"/>
        <v>326.13782724345788</v>
      </c>
      <c r="F915">
        <f t="shared" si="673"/>
        <v>354.14797169565776</v>
      </c>
      <c r="G915">
        <f t="shared" si="673"/>
        <v>264.31157973007458</v>
      </c>
      <c r="H915">
        <f t="shared" si="673"/>
        <v>159.48090651422953</v>
      </c>
      <c r="I915">
        <f t="shared" si="673"/>
        <v>204.21458099779557</v>
      </c>
      <c r="J915">
        <f t="shared" si="673"/>
        <v>196.09885487544778</v>
      </c>
      <c r="K915">
        <f t="shared" si="673"/>
        <v>309.94055496518519</v>
      </c>
      <c r="L915">
        <f t="shared" si="673"/>
        <v>168.32833830079409</v>
      </c>
      <c r="M915">
        <f t="shared" si="673"/>
        <v>212.52002230494611</v>
      </c>
      <c r="N915">
        <f t="shared" si="673"/>
        <v>144.8348176432165</v>
      </c>
      <c r="O915">
        <f t="shared" si="673"/>
        <v>244.41975096243181</v>
      </c>
      <c r="P915">
        <f t="shared" si="673"/>
        <v>304.77126323772865</v>
      </c>
      <c r="Q915">
        <f t="shared" si="673"/>
        <v>129.48294093783855</v>
      </c>
      <c r="R915">
        <f t="shared" si="673"/>
        <v>179.1781788271432</v>
      </c>
      <c r="S915">
        <f t="shared" si="673"/>
        <v>137.78458027566455</v>
      </c>
      <c r="T915">
        <f t="shared" si="673"/>
        <v>96.162731641873322</v>
      </c>
      <c r="U915">
        <f t="shared" si="673"/>
        <v>92.538934898607323</v>
      </c>
      <c r="V915">
        <f t="shared" si="673"/>
        <v>336.32173614750525</v>
      </c>
      <c r="W915">
        <f t="shared" si="673"/>
        <v>300.00583020216209</v>
      </c>
      <c r="Y915" s="6">
        <f t="shared" si="659"/>
        <v>4777.9008366916969</v>
      </c>
      <c r="Z915">
        <f t="shared" si="660"/>
        <v>29.216075098868146</v>
      </c>
    </row>
    <row r="916" spans="1:26" x14ac:dyDescent="0.25">
      <c r="A916" t="s">
        <v>57</v>
      </c>
      <c r="D916">
        <f t="shared" ref="D916:W916" si="674">D160*D196</f>
        <v>296.66174060139394</v>
      </c>
      <c r="E916">
        <f t="shared" si="674"/>
        <v>355.84989040132371</v>
      </c>
      <c r="F916">
        <f t="shared" si="674"/>
        <v>282.04010932159383</v>
      </c>
      <c r="G916">
        <f t="shared" si="674"/>
        <v>275.33655270545353</v>
      </c>
      <c r="H916">
        <f t="shared" si="674"/>
        <v>180.07898358332108</v>
      </c>
      <c r="I916">
        <f t="shared" si="674"/>
        <v>222.79025723585519</v>
      </c>
      <c r="J916">
        <f t="shared" si="674"/>
        <v>164.78593053410967</v>
      </c>
      <c r="K916">
        <f t="shared" si="674"/>
        <v>210.38568700223715</v>
      </c>
      <c r="L916">
        <f t="shared" si="674"/>
        <v>207.37602077119519</v>
      </c>
      <c r="M916">
        <f t="shared" si="674"/>
        <v>255.95110423038253</v>
      </c>
      <c r="N916">
        <f t="shared" si="674"/>
        <v>294.73710619679701</v>
      </c>
      <c r="O916">
        <f t="shared" si="674"/>
        <v>187.29335327581444</v>
      </c>
      <c r="P916">
        <f t="shared" si="674"/>
        <v>335.92076164008563</v>
      </c>
      <c r="Q916">
        <f t="shared" si="674"/>
        <v>314.59668018483779</v>
      </c>
      <c r="R916">
        <f t="shared" si="674"/>
        <v>209.04482483623718</v>
      </c>
      <c r="S916">
        <f t="shared" si="674"/>
        <v>122.85561331244642</v>
      </c>
      <c r="T916">
        <f t="shared" si="674"/>
        <v>206.43928880390567</v>
      </c>
      <c r="U916">
        <f t="shared" si="674"/>
        <v>298.27996575762813</v>
      </c>
      <c r="V916">
        <f t="shared" si="674"/>
        <v>126.78251919740528</v>
      </c>
      <c r="W916">
        <f t="shared" si="674"/>
        <v>242.7203133922736</v>
      </c>
      <c r="Y916" s="6">
        <f t="shared" si="659"/>
        <v>4789.9267029842977</v>
      </c>
      <c r="Z916">
        <f t="shared" si="660"/>
        <v>-146.27245904851981</v>
      </c>
    </row>
    <row r="917" spans="1:26" x14ac:dyDescent="0.25">
      <c r="A917" t="s">
        <v>58</v>
      </c>
      <c r="D917">
        <f t="shared" ref="D917:W917" si="675">D161*D197</f>
        <v>123.74579222229065</v>
      </c>
      <c r="E917">
        <f t="shared" si="675"/>
        <v>202.91553588028336</v>
      </c>
      <c r="F917">
        <f t="shared" si="675"/>
        <v>306.95926270234793</v>
      </c>
      <c r="G917">
        <f t="shared" si="675"/>
        <v>485.33052216413512</v>
      </c>
      <c r="H917">
        <f t="shared" si="675"/>
        <v>164.56386998124933</v>
      </c>
      <c r="I917">
        <f t="shared" si="675"/>
        <v>78.019462880506424</v>
      </c>
      <c r="J917">
        <f t="shared" si="675"/>
        <v>127.98323786683683</v>
      </c>
      <c r="K917">
        <f t="shared" si="675"/>
        <v>197.78157711539225</v>
      </c>
      <c r="L917">
        <f t="shared" si="675"/>
        <v>166.38427146919307</v>
      </c>
      <c r="M917">
        <f t="shared" si="675"/>
        <v>167.10024843276582</v>
      </c>
      <c r="N917">
        <f t="shared" si="675"/>
        <v>113.32678717524661</v>
      </c>
      <c r="O917">
        <f t="shared" si="675"/>
        <v>198.02747247309659</v>
      </c>
      <c r="P917">
        <f t="shared" si="675"/>
        <v>94.056545014413643</v>
      </c>
      <c r="Q917">
        <f t="shared" si="675"/>
        <v>83.513860082429758</v>
      </c>
      <c r="R917">
        <f t="shared" si="675"/>
        <v>92.759413749649582</v>
      </c>
      <c r="S917">
        <f t="shared" si="675"/>
        <v>145.66945979705602</v>
      </c>
      <c r="T917">
        <f t="shared" si="675"/>
        <v>231.27875619313943</v>
      </c>
      <c r="U917">
        <f t="shared" si="675"/>
        <v>54.211947082603416</v>
      </c>
      <c r="V917">
        <f t="shared" si="675"/>
        <v>53.240069079172557</v>
      </c>
      <c r="W917">
        <f t="shared" si="675"/>
        <v>203.96510366037575</v>
      </c>
      <c r="Y917" s="6">
        <f t="shared" si="659"/>
        <v>3290.8331950221836</v>
      </c>
      <c r="Z917">
        <f t="shared" si="660"/>
        <v>-60.783188050675669</v>
      </c>
    </row>
    <row r="918" spans="1:26" x14ac:dyDescent="0.25">
      <c r="A918" t="s">
        <v>59</v>
      </c>
      <c r="D918">
        <f t="shared" ref="D918:W918" si="676">D162*D198</f>
        <v>266.14556784654445</v>
      </c>
      <c r="E918">
        <f t="shared" si="676"/>
        <v>130.56297706527693</v>
      </c>
      <c r="F918">
        <f t="shared" si="676"/>
        <v>128.47342800941075</v>
      </c>
      <c r="G918">
        <f t="shared" si="676"/>
        <v>204.32537890720982</v>
      </c>
      <c r="H918">
        <f t="shared" si="676"/>
        <v>103.42796973861324</v>
      </c>
      <c r="I918">
        <f t="shared" si="676"/>
        <v>152.34034805552551</v>
      </c>
      <c r="J918">
        <f t="shared" si="676"/>
        <v>218.05533060867955</v>
      </c>
      <c r="K918">
        <f t="shared" si="676"/>
        <v>147.46320449375662</v>
      </c>
      <c r="L918">
        <f t="shared" si="676"/>
        <v>84.696955818994823</v>
      </c>
      <c r="M918">
        <f t="shared" si="676"/>
        <v>154.11337963485596</v>
      </c>
      <c r="N918">
        <f t="shared" si="676"/>
        <v>243.10495057941972</v>
      </c>
      <c r="O918">
        <f t="shared" si="676"/>
        <v>206.59725728413474</v>
      </c>
      <c r="P918">
        <f t="shared" si="676"/>
        <v>160.67440140327901</v>
      </c>
      <c r="Q918">
        <f t="shared" si="676"/>
        <v>80.013821639522817</v>
      </c>
      <c r="R918">
        <f t="shared" si="676"/>
        <v>112.66746570978495</v>
      </c>
      <c r="S918">
        <f t="shared" si="676"/>
        <v>191.25329964994521</v>
      </c>
      <c r="T918">
        <f t="shared" si="676"/>
        <v>170.68535027335062</v>
      </c>
      <c r="U918">
        <f t="shared" si="676"/>
        <v>171.38615771610728</v>
      </c>
      <c r="V918">
        <f t="shared" si="676"/>
        <v>225.61958998123492</v>
      </c>
      <c r="W918">
        <f t="shared" si="676"/>
        <v>237.39445517739867</v>
      </c>
      <c r="Y918" s="6">
        <f t="shared" si="659"/>
        <v>3389.0012895930467</v>
      </c>
      <c r="Z918">
        <f t="shared" si="660"/>
        <v>-146.50779269478613</v>
      </c>
    </row>
    <row r="919" spans="1:26" x14ac:dyDescent="0.25">
      <c r="A919" t="s">
        <v>60</v>
      </c>
      <c r="D919">
        <f t="shared" ref="D919:W919" si="677">D163*D199</f>
        <v>153.15838302476226</v>
      </c>
      <c r="E919">
        <f t="shared" si="677"/>
        <v>158.5325750160377</v>
      </c>
      <c r="F919">
        <f t="shared" si="677"/>
        <v>186.44138297001294</v>
      </c>
      <c r="G919">
        <f t="shared" si="677"/>
        <v>201.39871769611565</v>
      </c>
      <c r="H919">
        <f t="shared" si="677"/>
        <v>125.35183848703433</v>
      </c>
      <c r="I919">
        <f t="shared" si="677"/>
        <v>146.20176049513969</v>
      </c>
      <c r="J919">
        <f t="shared" si="677"/>
        <v>123.43905862453457</v>
      </c>
      <c r="K919">
        <f t="shared" si="677"/>
        <v>265.73622029864248</v>
      </c>
      <c r="L919">
        <f t="shared" si="677"/>
        <v>260.92197758717515</v>
      </c>
      <c r="M919">
        <f t="shared" si="677"/>
        <v>190.61258296039929</v>
      </c>
      <c r="N919">
        <f t="shared" si="677"/>
        <v>140.23364747147156</v>
      </c>
      <c r="O919">
        <f t="shared" si="677"/>
        <v>84.785354744246192</v>
      </c>
      <c r="P919">
        <f t="shared" si="677"/>
        <v>206.23953849855286</v>
      </c>
      <c r="Q919">
        <f t="shared" si="677"/>
        <v>293.66254587265917</v>
      </c>
      <c r="R919">
        <f t="shared" si="677"/>
        <v>131.82217907243887</v>
      </c>
      <c r="S919">
        <f t="shared" si="677"/>
        <v>200.59338354086654</v>
      </c>
      <c r="T919">
        <f t="shared" si="677"/>
        <v>277.74080105992618</v>
      </c>
      <c r="U919">
        <f t="shared" si="677"/>
        <v>266.20152980439963</v>
      </c>
      <c r="V919">
        <f t="shared" si="677"/>
        <v>44.669573281418785</v>
      </c>
      <c r="W919">
        <f t="shared" si="677"/>
        <v>116.43941095708774</v>
      </c>
      <c r="Y919" s="6">
        <f t="shared" si="659"/>
        <v>3574.1824614629209</v>
      </c>
      <c r="Z919">
        <f t="shared" si="660"/>
        <v>-153.94237979034335</v>
      </c>
    </row>
    <row r="920" spans="1:26" x14ac:dyDescent="0.25">
      <c r="A920" t="s">
        <v>61</v>
      </c>
      <c r="D920">
        <f t="shared" ref="D920:W920" si="678">D164*D200</f>
        <v>311.42184800134351</v>
      </c>
      <c r="E920">
        <f t="shared" si="678"/>
        <v>365.53980577867009</v>
      </c>
      <c r="F920">
        <f t="shared" si="678"/>
        <v>300.59642665322451</v>
      </c>
      <c r="G920">
        <f t="shared" si="678"/>
        <v>191.75082601732495</v>
      </c>
      <c r="H920">
        <f t="shared" si="678"/>
        <v>200.86626034789103</v>
      </c>
      <c r="I920">
        <f t="shared" si="678"/>
        <v>197.65012644271965</v>
      </c>
      <c r="J920">
        <f t="shared" si="678"/>
        <v>267.95305705315906</v>
      </c>
      <c r="K920">
        <f t="shared" si="678"/>
        <v>174.34610613383984</v>
      </c>
      <c r="L920">
        <f t="shared" si="678"/>
        <v>127.65208968582492</v>
      </c>
      <c r="M920">
        <f t="shared" si="678"/>
        <v>212.18568777574285</v>
      </c>
      <c r="N920">
        <f t="shared" si="678"/>
        <v>246.63725236549004</v>
      </c>
      <c r="O920">
        <f t="shared" si="678"/>
        <v>360.40707122211836</v>
      </c>
      <c r="P920">
        <f t="shared" si="678"/>
        <v>209.66306902664061</v>
      </c>
      <c r="Q920">
        <f t="shared" si="678"/>
        <v>116.91559954437876</v>
      </c>
      <c r="R920">
        <f t="shared" si="678"/>
        <v>142.58866153030635</v>
      </c>
      <c r="S920">
        <f t="shared" si="678"/>
        <v>267.76202003508104</v>
      </c>
      <c r="T920">
        <f t="shared" si="678"/>
        <v>176.96184896745757</v>
      </c>
      <c r="U920">
        <f t="shared" si="678"/>
        <v>118.15192681197986</v>
      </c>
      <c r="V920">
        <f t="shared" si="678"/>
        <v>110.07289708955574</v>
      </c>
      <c r="W920">
        <f t="shared" si="678"/>
        <v>188.36110159752766</v>
      </c>
      <c r="Y920" s="6">
        <f t="shared" si="659"/>
        <v>4287.4836820802775</v>
      </c>
      <c r="Z920">
        <f t="shared" si="660"/>
        <v>-67.197027544977274</v>
      </c>
    </row>
    <row r="921" spans="1:26" x14ac:dyDescent="0.25">
      <c r="A921" t="s">
        <v>62</v>
      </c>
      <c r="D921">
        <f t="shared" ref="D921:W921" si="679">D165*D201</f>
        <v>210.21655502947135</v>
      </c>
      <c r="E921">
        <f t="shared" si="679"/>
        <v>188.36681667142713</v>
      </c>
      <c r="F921">
        <f t="shared" si="679"/>
        <v>201.09051238402509</v>
      </c>
      <c r="G921">
        <f t="shared" si="679"/>
        <v>211.8283657999589</v>
      </c>
      <c r="H921">
        <f t="shared" si="679"/>
        <v>207.10895138378072</v>
      </c>
      <c r="I921">
        <f t="shared" si="679"/>
        <v>242.21772961638032</v>
      </c>
      <c r="J921">
        <f t="shared" si="679"/>
        <v>178.83101551717493</v>
      </c>
      <c r="K921">
        <f t="shared" si="679"/>
        <v>184.74575991095855</v>
      </c>
      <c r="L921">
        <f t="shared" si="679"/>
        <v>237.2786831255641</v>
      </c>
      <c r="M921">
        <f t="shared" si="679"/>
        <v>139.52210753694214</v>
      </c>
      <c r="N921">
        <f t="shared" si="679"/>
        <v>149.27885386377739</v>
      </c>
      <c r="O921">
        <f t="shared" si="679"/>
        <v>158.34784561032743</v>
      </c>
      <c r="P921">
        <f t="shared" si="679"/>
        <v>145.59260542535961</v>
      </c>
      <c r="Q921">
        <f t="shared" si="679"/>
        <v>183.99694715971043</v>
      </c>
      <c r="R921">
        <f t="shared" si="679"/>
        <v>356.33329841595315</v>
      </c>
      <c r="S921">
        <f t="shared" si="679"/>
        <v>263.78221940254377</v>
      </c>
      <c r="T921">
        <f t="shared" si="679"/>
        <v>43.781876191615623</v>
      </c>
      <c r="U921">
        <f t="shared" si="679"/>
        <v>226.29211777886826</v>
      </c>
      <c r="V921">
        <f t="shared" si="679"/>
        <v>215.72384018703232</v>
      </c>
      <c r="W921">
        <f t="shared" si="679"/>
        <v>160.60038457893643</v>
      </c>
      <c r="Y921" s="6">
        <f t="shared" si="659"/>
        <v>3904.9364855898079</v>
      </c>
      <c r="Z921">
        <f t="shared" si="660"/>
        <v>-55.194556633384011</v>
      </c>
    </row>
    <row r="922" spans="1:26" x14ac:dyDescent="0.25">
      <c r="A922" t="s">
        <v>63</v>
      </c>
      <c r="D922">
        <f t="shared" ref="D922:W922" si="680">D166*D202</f>
        <v>217.7652305972646</v>
      </c>
      <c r="E922">
        <f t="shared" si="680"/>
        <v>207.07454188114653</v>
      </c>
      <c r="F922">
        <f t="shared" si="680"/>
        <v>218.26001752802787</v>
      </c>
      <c r="G922">
        <f t="shared" si="680"/>
        <v>198.14423747326379</v>
      </c>
      <c r="H922">
        <f t="shared" si="680"/>
        <v>213.92185280180826</v>
      </c>
      <c r="I922">
        <f t="shared" si="680"/>
        <v>170.48680064778787</v>
      </c>
      <c r="J922">
        <f t="shared" si="680"/>
        <v>168.65454887297929</v>
      </c>
      <c r="K922">
        <f t="shared" si="680"/>
        <v>175.38263677063651</v>
      </c>
      <c r="L922">
        <f t="shared" si="680"/>
        <v>226.12919780229115</v>
      </c>
      <c r="M922">
        <f t="shared" si="680"/>
        <v>274.36331622938712</v>
      </c>
      <c r="N922">
        <f t="shared" si="680"/>
        <v>155.38286339233719</v>
      </c>
      <c r="O922">
        <f t="shared" si="680"/>
        <v>356.12591201408196</v>
      </c>
      <c r="P922">
        <f t="shared" si="680"/>
        <v>140.19427654501519</v>
      </c>
      <c r="Q922">
        <f t="shared" si="680"/>
        <v>189.82707550461296</v>
      </c>
      <c r="R922">
        <f t="shared" si="680"/>
        <v>165.15328789767412</v>
      </c>
      <c r="S922">
        <f t="shared" si="680"/>
        <v>286.93930027173786</v>
      </c>
      <c r="T922">
        <f t="shared" si="680"/>
        <v>190.21993053798371</v>
      </c>
      <c r="U922">
        <f t="shared" si="680"/>
        <v>127.71007184772033</v>
      </c>
      <c r="V922">
        <f t="shared" si="680"/>
        <v>326.26010901254369</v>
      </c>
      <c r="W922">
        <f t="shared" si="680"/>
        <v>288.27546792649179</v>
      </c>
      <c r="Y922" s="6">
        <f t="shared" si="659"/>
        <v>4296.2706755547924</v>
      </c>
      <c r="Z922">
        <f t="shared" si="660"/>
        <v>-160.10789362250389</v>
      </c>
    </row>
    <row r="923" spans="1:26" x14ac:dyDescent="0.25">
      <c r="A923" t="s">
        <v>64</v>
      </c>
      <c r="D923">
        <f t="shared" ref="D923:W923" si="681">D167*D203</f>
        <v>293.27626731114049</v>
      </c>
      <c r="E923">
        <f t="shared" si="681"/>
        <v>325.42658747085522</v>
      </c>
      <c r="F923">
        <f t="shared" si="681"/>
        <v>314.46871372345271</v>
      </c>
      <c r="G923">
        <f t="shared" si="681"/>
        <v>231.42206129739648</v>
      </c>
      <c r="H923">
        <f t="shared" si="681"/>
        <v>201.96775656886021</v>
      </c>
      <c r="I923">
        <f t="shared" si="681"/>
        <v>317.8624818121375</v>
      </c>
      <c r="J923">
        <f t="shared" si="681"/>
        <v>203.06222671595478</v>
      </c>
      <c r="K923">
        <f t="shared" si="681"/>
        <v>248.20479562315052</v>
      </c>
      <c r="L923">
        <f t="shared" si="681"/>
        <v>338.29135038911863</v>
      </c>
      <c r="M923">
        <f t="shared" si="681"/>
        <v>252.89218285486814</v>
      </c>
      <c r="N923">
        <f t="shared" si="681"/>
        <v>116.45978072945286</v>
      </c>
      <c r="O923">
        <f t="shared" si="681"/>
        <v>208.5515358306676</v>
      </c>
      <c r="P923">
        <f t="shared" si="681"/>
        <v>129.43169997198936</v>
      </c>
      <c r="Q923">
        <f t="shared" si="681"/>
        <v>285.24875432004154</v>
      </c>
      <c r="R923">
        <f t="shared" si="681"/>
        <v>449.59047526458147</v>
      </c>
      <c r="S923">
        <f t="shared" si="681"/>
        <v>272.28892122541777</v>
      </c>
      <c r="T923">
        <f t="shared" si="681"/>
        <v>268.45076209788459</v>
      </c>
      <c r="U923">
        <f t="shared" si="681"/>
        <v>219.72867496510051</v>
      </c>
      <c r="V923">
        <f t="shared" si="681"/>
        <v>178.8153137961587</v>
      </c>
      <c r="W923">
        <f t="shared" si="681"/>
        <v>201.41433059213406</v>
      </c>
      <c r="Y923" s="6">
        <f t="shared" si="659"/>
        <v>5056.8546725603637</v>
      </c>
      <c r="Z923">
        <f t="shared" si="660"/>
        <v>-52.483412695228907</v>
      </c>
    </row>
    <row r="924" spans="1:26" x14ac:dyDescent="0.25">
      <c r="A924" t="s">
        <v>65</v>
      </c>
      <c r="D924">
        <f t="shared" ref="D924:W924" si="682">D168*D204</f>
        <v>340.58750545067835</v>
      </c>
      <c r="E924">
        <f t="shared" si="682"/>
        <v>285.67779508380886</v>
      </c>
      <c r="F924">
        <f t="shared" si="682"/>
        <v>205.08034381632439</v>
      </c>
      <c r="G924">
        <f t="shared" si="682"/>
        <v>147.07671834703868</v>
      </c>
      <c r="H924">
        <f t="shared" si="682"/>
        <v>308.95608047840261</v>
      </c>
      <c r="I924">
        <f t="shared" si="682"/>
        <v>283.49467670649381</v>
      </c>
      <c r="J924">
        <f t="shared" si="682"/>
        <v>182.8934465556797</v>
      </c>
      <c r="K924">
        <f t="shared" si="682"/>
        <v>196.83287581357226</v>
      </c>
      <c r="L924">
        <f t="shared" si="682"/>
        <v>229.80371577682325</v>
      </c>
      <c r="M924">
        <f t="shared" si="682"/>
        <v>208.79970508603029</v>
      </c>
      <c r="N924">
        <f t="shared" si="682"/>
        <v>185.93106485136954</v>
      </c>
      <c r="O924">
        <f t="shared" si="682"/>
        <v>138.82463271338563</v>
      </c>
      <c r="P924">
        <f t="shared" si="682"/>
        <v>108.70039477623348</v>
      </c>
      <c r="Q924">
        <f t="shared" si="682"/>
        <v>167.5167617302485</v>
      </c>
      <c r="R924">
        <f t="shared" si="682"/>
        <v>47.501539178890454</v>
      </c>
      <c r="S924">
        <f t="shared" si="682"/>
        <v>68.668226597495504</v>
      </c>
      <c r="T924">
        <f t="shared" si="682"/>
        <v>115.74648633992452</v>
      </c>
      <c r="U924">
        <f t="shared" si="682"/>
        <v>87.475989039247551</v>
      </c>
      <c r="V924">
        <f t="shared" si="682"/>
        <v>111.04998293866068</v>
      </c>
      <c r="W924">
        <f t="shared" si="682"/>
        <v>168.69791263123474</v>
      </c>
      <c r="Y924" s="6">
        <f t="shared" si="659"/>
        <v>3589.3158539115439</v>
      </c>
      <c r="Z924">
        <f t="shared" si="660"/>
        <v>10.798826834824133</v>
      </c>
    </row>
    <row r="925" spans="1:26" x14ac:dyDescent="0.25">
      <c r="A925" t="s">
        <v>66</v>
      </c>
      <c r="D925">
        <f t="shared" ref="D925:W925" si="683">D169*D205</f>
        <v>320.00461268739593</v>
      </c>
      <c r="E925">
        <f t="shared" si="683"/>
        <v>264.59176730730735</v>
      </c>
      <c r="F925">
        <f t="shared" si="683"/>
        <v>242.49873265645243</v>
      </c>
      <c r="G925">
        <f t="shared" si="683"/>
        <v>152.25617679233994</v>
      </c>
      <c r="H925">
        <f t="shared" si="683"/>
        <v>421.52811430143015</v>
      </c>
      <c r="I925">
        <f t="shared" si="683"/>
        <v>444.73814227271515</v>
      </c>
      <c r="J925">
        <f t="shared" si="683"/>
        <v>413.43056543027495</v>
      </c>
      <c r="K925">
        <f t="shared" si="683"/>
        <v>468.37829401462017</v>
      </c>
      <c r="L925">
        <f t="shared" si="683"/>
        <v>249.38959305083023</v>
      </c>
      <c r="M925">
        <f t="shared" si="683"/>
        <v>144.02636086461521</v>
      </c>
      <c r="N925">
        <f t="shared" si="683"/>
        <v>231.01980868125611</v>
      </c>
      <c r="O925">
        <f t="shared" si="683"/>
        <v>406.15389984334507</v>
      </c>
      <c r="P925">
        <f t="shared" si="683"/>
        <v>233.86922149962049</v>
      </c>
      <c r="Q925">
        <f t="shared" si="683"/>
        <v>121.38343967030215</v>
      </c>
      <c r="R925">
        <f t="shared" si="683"/>
        <v>185.96118844524719</v>
      </c>
      <c r="S925">
        <f t="shared" si="683"/>
        <v>183.05852378558092</v>
      </c>
      <c r="T925">
        <f t="shared" si="683"/>
        <v>136.75404375420018</v>
      </c>
      <c r="U925">
        <f t="shared" si="683"/>
        <v>173.44258855107961</v>
      </c>
      <c r="V925">
        <f t="shared" si="683"/>
        <v>136.21955909734689</v>
      </c>
      <c r="W925">
        <f t="shared" si="683"/>
        <v>68.051780245799165</v>
      </c>
      <c r="Y925" s="6">
        <f t="shared" si="659"/>
        <v>4996.7564129517596</v>
      </c>
      <c r="Z925">
        <f t="shared" si="660"/>
        <v>-115.53630091750223</v>
      </c>
    </row>
    <row r="926" spans="1:26" x14ac:dyDescent="0.25">
      <c r="A926" t="s">
        <v>67</v>
      </c>
      <c r="D926">
        <f t="shared" ref="D926:W926" si="684">D170*D206</f>
        <v>179.92298780314192</v>
      </c>
      <c r="E926">
        <f t="shared" si="684"/>
        <v>240.15230971181199</v>
      </c>
      <c r="F926">
        <f t="shared" si="684"/>
        <v>483.28316501898161</v>
      </c>
      <c r="G926">
        <f t="shared" si="684"/>
        <v>212.29336041704855</v>
      </c>
      <c r="H926">
        <f t="shared" si="684"/>
        <v>296.82668440371435</v>
      </c>
      <c r="I926">
        <f t="shared" si="684"/>
        <v>328.0600936664809</v>
      </c>
      <c r="J926">
        <f t="shared" si="684"/>
        <v>349.16116479528858</v>
      </c>
      <c r="K926">
        <f t="shared" si="684"/>
        <v>428.53762514548544</v>
      </c>
      <c r="L926">
        <f t="shared" si="684"/>
        <v>199.93718965495739</v>
      </c>
      <c r="M926">
        <f t="shared" si="684"/>
        <v>197.4063820472482</v>
      </c>
      <c r="N926">
        <f t="shared" si="684"/>
        <v>177.37897120254797</v>
      </c>
      <c r="O926">
        <f t="shared" si="684"/>
        <v>223.7988721385691</v>
      </c>
      <c r="P926">
        <f t="shared" si="684"/>
        <v>160.96591999115665</v>
      </c>
      <c r="Q926">
        <f t="shared" si="684"/>
        <v>167.74841555063608</v>
      </c>
      <c r="R926">
        <f t="shared" si="684"/>
        <v>178.05708433512362</v>
      </c>
      <c r="S926">
        <f t="shared" si="684"/>
        <v>208.46747338670116</v>
      </c>
      <c r="T926">
        <f t="shared" si="684"/>
        <v>165.22844946133264</v>
      </c>
      <c r="U926">
        <f t="shared" si="684"/>
        <v>161.70481347798895</v>
      </c>
      <c r="V926">
        <f t="shared" si="684"/>
        <v>252.01439852783986</v>
      </c>
      <c r="W926">
        <f t="shared" si="684"/>
        <v>124.63883990281452</v>
      </c>
      <c r="Y926" s="6">
        <f t="shared" si="659"/>
        <v>4735.5842006388693</v>
      </c>
      <c r="Z926">
        <f t="shared" si="660"/>
        <v>-124.3850586495832</v>
      </c>
    </row>
    <row r="927" spans="1:26" x14ac:dyDescent="0.25">
      <c r="A927" t="s">
        <v>68</v>
      </c>
      <c r="D927">
        <f t="shared" ref="D927:W927" si="685">D171*D207</f>
        <v>562.18372383845053</v>
      </c>
      <c r="E927">
        <f t="shared" si="685"/>
        <v>518.19904154788412</v>
      </c>
      <c r="F927">
        <f t="shared" si="685"/>
        <v>711.42452897458872</v>
      </c>
      <c r="G927">
        <f t="shared" si="685"/>
        <v>602.2107019534626</v>
      </c>
      <c r="H927">
        <f t="shared" si="685"/>
        <v>381.51857146471821</v>
      </c>
      <c r="I927">
        <f t="shared" si="685"/>
        <v>308.47645108290681</v>
      </c>
      <c r="J927">
        <f t="shared" si="685"/>
        <v>272.39899232020645</v>
      </c>
      <c r="K927">
        <f t="shared" si="685"/>
        <v>454.99653262309056</v>
      </c>
      <c r="L927">
        <f t="shared" si="685"/>
        <v>473.6937259079084</v>
      </c>
      <c r="M927">
        <f t="shared" si="685"/>
        <v>158.33932782030547</v>
      </c>
      <c r="N927">
        <f t="shared" si="685"/>
        <v>243.87579379753458</v>
      </c>
      <c r="O927">
        <f t="shared" si="685"/>
        <v>214.64503810899362</v>
      </c>
      <c r="P927">
        <f t="shared" si="685"/>
        <v>196.34841895054083</v>
      </c>
      <c r="Q927">
        <f t="shared" si="685"/>
        <v>271.94454098368857</v>
      </c>
      <c r="R927">
        <f t="shared" si="685"/>
        <v>383.90819653427161</v>
      </c>
      <c r="S927">
        <f t="shared" si="685"/>
        <v>431.79705379969681</v>
      </c>
      <c r="T927">
        <f t="shared" si="685"/>
        <v>277.26134388868178</v>
      </c>
      <c r="U927">
        <f t="shared" si="685"/>
        <v>281.47896028559643</v>
      </c>
      <c r="V927">
        <f t="shared" si="685"/>
        <v>194.4020681629369</v>
      </c>
      <c r="W927">
        <f t="shared" si="685"/>
        <v>134.50878189787628</v>
      </c>
      <c r="Y927" s="6">
        <f t="shared" si="659"/>
        <v>7073.6117939433398</v>
      </c>
      <c r="Z927">
        <f t="shared" si="660"/>
        <v>93.901484318892628</v>
      </c>
    </row>
    <row r="928" spans="1:26" x14ac:dyDescent="0.25">
      <c r="A928" t="s">
        <v>69</v>
      </c>
      <c r="D928">
        <f t="shared" ref="D928:W928" si="686">D172*D208</f>
        <v>312.50307623208869</v>
      </c>
      <c r="E928">
        <f t="shared" si="686"/>
        <v>414.78971852481357</v>
      </c>
      <c r="F928">
        <f t="shared" si="686"/>
        <v>339.37834370955204</v>
      </c>
      <c r="G928">
        <f t="shared" si="686"/>
        <v>327.6772504060765</v>
      </c>
      <c r="H928">
        <f t="shared" si="686"/>
        <v>344.99095004459679</v>
      </c>
      <c r="I928">
        <f t="shared" si="686"/>
        <v>414.91858344671374</v>
      </c>
      <c r="J928">
        <f t="shared" si="686"/>
        <v>138.21327838260987</v>
      </c>
      <c r="K928">
        <f t="shared" si="686"/>
        <v>220.91076230520031</v>
      </c>
      <c r="L928">
        <f t="shared" si="686"/>
        <v>174.76123657352809</v>
      </c>
      <c r="M928">
        <f t="shared" si="686"/>
        <v>211.84441683201473</v>
      </c>
      <c r="N928">
        <f t="shared" si="686"/>
        <v>191.48905624145914</v>
      </c>
      <c r="O928">
        <f t="shared" si="686"/>
        <v>214.33965065818845</v>
      </c>
      <c r="P928">
        <f t="shared" si="686"/>
        <v>174.37283939520324</v>
      </c>
      <c r="Q928">
        <f t="shared" si="686"/>
        <v>437.85005870121756</v>
      </c>
      <c r="R928">
        <f t="shared" si="686"/>
        <v>110.9893931491941</v>
      </c>
      <c r="S928">
        <f t="shared" si="686"/>
        <v>130.98945665002176</v>
      </c>
      <c r="T928">
        <f t="shared" si="686"/>
        <v>140.33536575607698</v>
      </c>
      <c r="U928">
        <f t="shared" si="686"/>
        <v>205.00422062934948</v>
      </c>
      <c r="V928">
        <f t="shared" si="686"/>
        <v>134.26681504459933</v>
      </c>
      <c r="W928">
        <f t="shared" si="686"/>
        <v>160.09222086029334</v>
      </c>
      <c r="Y928" s="6">
        <f t="shared" si="659"/>
        <v>4799.7166935427986</v>
      </c>
      <c r="Z928">
        <f t="shared" si="660"/>
        <v>22.647449900900167</v>
      </c>
    </row>
    <row r="929" spans="1:26" x14ac:dyDescent="0.25">
      <c r="Y929" s="6"/>
    </row>
    <row r="930" spans="1:26" x14ac:dyDescent="0.25">
      <c r="A930" t="s">
        <v>70</v>
      </c>
      <c r="D930">
        <f t="shared" ref="D930:W930" si="687">D174*D210</f>
        <v>260.08744076287167</v>
      </c>
      <c r="E930">
        <f t="shared" si="687"/>
        <v>255.13241479060048</v>
      </c>
      <c r="F930">
        <f t="shared" si="687"/>
        <v>243.57207899225881</v>
      </c>
      <c r="G930">
        <f t="shared" si="687"/>
        <v>222.04052965791917</v>
      </c>
      <c r="H930">
        <f t="shared" si="687"/>
        <v>247.81047875542347</v>
      </c>
      <c r="I930">
        <f t="shared" si="687"/>
        <v>325.98047505081809</v>
      </c>
      <c r="J930">
        <f t="shared" si="687"/>
        <v>319.42298510663329</v>
      </c>
      <c r="K930">
        <f t="shared" si="687"/>
        <v>245.72845270880688</v>
      </c>
      <c r="L930">
        <f t="shared" si="687"/>
        <v>557.49660120008377</v>
      </c>
      <c r="M930">
        <f t="shared" si="687"/>
        <v>199.36279004444052</v>
      </c>
      <c r="N930">
        <f t="shared" si="687"/>
        <v>179.4948408850737</v>
      </c>
      <c r="O930">
        <f t="shared" si="687"/>
        <v>233.94085044065957</v>
      </c>
      <c r="P930">
        <f t="shared" si="687"/>
        <v>159.49292490753334</v>
      </c>
      <c r="Q930">
        <f t="shared" si="687"/>
        <v>241.15976335484473</v>
      </c>
      <c r="R930">
        <f t="shared" si="687"/>
        <v>215.08563088721422</v>
      </c>
      <c r="S930">
        <f t="shared" si="687"/>
        <v>220.26514042471467</v>
      </c>
      <c r="T930">
        <f t="shared" si="687"/>
        <v>160.01760606254069</v>
      </c>
      <c r="U930">
        <f t="shared" si="687"/>
        <v>182.30597137587037</v>
      </c>
      <c r="V930">
        <f t="shared" si="687"/>
        <v>189.81411559051492</v>
      </c>
      <c r="W930">
        <f t="shared" si="687"/>
        <v>161.77572436870994</v>
      </c>
      <c r="Y930" s="6">
        <f t="shared" si="659"/>
        <v>4819.9868153675334</v>
      </c>
      <c r="Z930">
        <f>SUMPRODUCT($D$934:$W$934,D930:W930)</f>
        <v>-138.81376864941009</v>
      </c>
    </row>
    <row r="931" spans="1:26" x14ac:dyDescent="0.25">
      <c r="A931" t="s">
        <v>313</v>
      </c>
      <c r="D931">
        <f t="shared" ref="D931:W931" si="688">D175*D211</f>
        <v>450.5951367862383</v>
      </c>
      <c r="E931">
        <f t="shared" si="688"/>
        <v>495.72830488611277</v>
      </c>
      <c r="F931">
        <f t="shared" si="688"/>
        <v>321.44554472715436</v>
      </c>
      <c r="G931">
        <f t="shared" si="688"/>
        <v>325.92645703951331</v>
      </c>
      <c r="H931">
        <f t="shared" si="688"/>
        <v>401.36975482112683</v>
      </c>
      <c r="I931">
        <f t="shared" si="688"/>
        <v>335.82765116126916</v>
      </c>
      <c r="J931">
        <f t="shared" si="688"/>
        <v>304.96781615435845</v>
      </c>
      <c r="K931">
        <f t="shared" si="688"/>
        <v>441.86608174213643</v>
      </c>
      <c r="L931">
        <f t="shared" si="688"/>
        <v>290.17776159965638</v>
      </c>
      <c r="M931">
        <f t="shared" si="688"/>
        <v>276.90586534831357</v>
      </c>
      <c r="N931">
        <f t="shared" si="688"/>
        <v>237.78965393163074</v>
      </c>
      <c r="O931">
        <f t="shared" si="688"/>
        <v>225.81811774073668</v>
      </c>
      <c r="P931">
        <f t="shared" si="688"/>
        <v>468.92999999999995</v>
      </c>
      <c r="Q931">
        <f t="shared" si="688"/>
        <v>509.59999999999997</v>
      </c>
      <c r="R931">
        <f t="shared" si="688"/>
        <v>641.52</v>
      </c>
      <c r="S931">
        <f t="shared" si="688"/>
        <v>165.87</v>
      </c>
      <c r="T931">
        <f t="shared" si="688"/>
        <v>138.84</v>
      </c>
      <c r="U931">
        <f t="shared" si="688"/>
        <v>181.22</v>
      </c>
      <c r="V931">
        <f t="shared" si="688"/>
        <v>191.191</v>
      </c>
      <c r="W931">
        <f t="shared" si="688"/>
        <v>129.78800000000001</v>
      </c>
      <c r="Y931" s="6">
        <f t="shared" si="659"/>
        <v>6535.3771459382478</v>
      </c>
      <c r="Z931">
        <f>SUMPRODUCT($D$934:$W$934,D931:W931)</f>
        <v>-85.482743023701801</v>
      </c>
    </row>
    <row r="932" spans="1:26" x14ac:dyDescent="0.25">
      <c r="A932" t="s">
        <v>314</v>
      </c>
      <c r="D932">
        <f t="shared" ref="D932:W932" si="689">D176*D212</f>
        <v>440.49013007380921</v>
      </c>
      <c r="E932">
        <f t="shared" si="689"/>
        <v>422.1704487545046</v>
      </c>
      <c r="F932">
        <f t="shared" si="689"/>
        <v>341.27782320666137</v>
      </c>
      <c r="G932">
        <f t="shared" si="689"/>
        <v>253.09046012540009</v>
      </c>
      <c r="H932">
        <f t="shared" si="689"/>
        <v>382.57157665316049</v>
      </c>
      <c r="I932">
        <f t="shared" si="689"/>
        <v>237.19117366796465</v>
      </c>
      <c r="J932">
        <f t="shared" si="689"/>
        <v>195.44648279555872</v>
      </c>
      <c r="K932">
        <f t="shared" si="689"/>
        <v>160.46</v>
      </c>
      <c r="L932">
        <f t="shared" si="689"/>
        <v>285.64000000000004</v>
      </c>
      <c r="M932">
        <f t="shared" si="689"/>
        <v>363.44000000000005</v>
      </c>
      <c r="N932">
        <f t="shared" si="689"/>
        <v>242.72</v>
      </c>
      <c r="O932">
        <f t="shared" si="689"/>
        <v>201.69000000000003</v>
      </c>
      <c r="P932">
        <f t="shared" si="689"/>
        <v>160.6378970494703</v>
      </c>
      <c r="Q932">
        <f t="shared" si="689"/>
        <v>185.82153181168863</v>
      </c>
      <c r="R932">
        <f t="shared" si="689"/>
        <v>192.70036715325634</v>
      </c>
      <c r="S932">
        <f t="shared" si="689"/>
        <v>215.53915206791777</v>
      </c>
      <c r="T932">
        <f t="shared" si="689"/>
        <v>169.67455151624779</v>
      </c>
      <c r="U932">
        <f t="shared" si="689"/>
        <v>164.79132296469399</v>
      </c>
      <c r="V932">
        <f t="shared" si="689"/>
        <v>175.91731165529464</v>
      </c>
      <c r="W932">
        <f t="shared" si="689"/>
        <v>165.44253278842973</v>
      </c>
      <c r="Y932" s="6">
        <f t="shared" si="659"/>
        <v>4956.712762284058</v>
      </c>
      <c r="Z932">
        <f>SUMPRODUCT($D$934:$W$934,D932:W932)</f>
        <v>15.354642055830073</v>
      </c>
    </row>
    <row r="933" spans="1:26" x14ac:dyDescent="0.25">
      <c r="A933" t="s">
        <v>658</v>
      </c>
      <c r="D933">
        <f t="shared" ref="D933:W933" si="690">D177*D213</f>
        <v>598.9074405352552</v>
      </c>
      <c r="E933">
        <f t="shared" si="690"/>
        <v>449.51946575337939</v>
      </c>
      <c r="F933">
        <f t="shared" si="690"/>
        <v>581.23303571242184</v>
      </c>
      <c r="G933">
        <f t="shared" si="690"/>
        <v>580.03805338491213</v>
      </c>
      <c r="H933">
        <f t="shared" si="690"/>
        <v>496.07768909275222</v>
      </c>
      <c r="I933">
        <f t="shared" si="690"/>
        <v>317.39999999999998</v>
      </c>
      <c r="J933">
        <f t="shared" si="690"/>
        <v>252.32000000000002</v>
      </c>
      <c r="K933">
        <f t="shared" si="690"/>
        <v>319.06</v>
      </c>
      <c r="L933">
        <f t="shared" si="690"/>
        <v>243</v>
      </c>
      <c r="M933">
        <f t="shared" si="690"/>
        <v>190.44000000000003</v>
      </c>
      <c r="N933">
        <f t="shared" si="690"/>
        <v>182.16</v>
      </c>
      <c r="O933">
        <f t="shared" si="690"/>
        <v>232.54</v>
      </c>
      <c r="P933">
        <f t="shared" si="690"/>
        <v>151.15113247516112</v>
      </c>
      <c r="Q933">
        <f t="shared" si="690"/>
        <v>236.05893601510815</v>
      </c>
      <c r="R933">
        <f t="shared" si="690"/>
        <v>149.55232255452106</v>
      </c>
      <c r="S933">
        <f t="shared" si="690"/>
        <v>215.05</v>
      </c>
      <c r="T933">
        <f t="shared" si="690"/>
        <v>168.26246640168773</v>
      </c>
      <c r="U933">
        <f t="shared" si="690"/>
        <v>160.78722660941003</v>
      </c>
      <c r="V933">
        <f t="shared" si="690"/>
        <v>169.71156791044061</v>
      </c>
      <c r="W933">
        <f t="shared" si="690"/>
        <v>188.04304920499672</v>
      </c>
      <c r="Y933" s="6">
        <f t="shared" ref="Y933" si="691">SUM(D933:W933)</f>
        <v>5881.3123856500461</v>
      </c>
      <c r="Z933">
        <f>SUMPRODUCT($D$934:$W$934,D933:W933)</f>
        <v>146.42509086372576</v>
      </c>
    </row>
    <row r="934" spans="1:26" x14ac:dyDescent="0.25">
      <c r="A934" s="2" t="s">
        <v>71</v>
      </c>
      <c r="D934" s="3">
        <f>CORREL($B$2:$B$28,D902:D928)</f>
        <v>0.33997137582689535</v>
      </c>
      <c r="E934" s="3">
        <f t="shared" ref="E934:W934" si="692">CORREL($B$2:$B$28,E902:E928)</f>
        <v>0.27592538721581461</v>
      </c>
      <c r="F934" s="3">
        <f t="shared" si="692"/>
        <v>8.1875566716105755E-2</v>
      </c>
      <c r="G934" s="3">
        <f t="shared" si="692"/>
        <v>5.9310419453993041E-2</v>
      </c>
      <c r="H934" s="3">
        <f t="shared" si="692"/>
        <v>4.9045334589012959E-2</v>
      </c>
      <c r="I934" s="3">
        <f t="shared" si="692"/>
        <v>0.23587970041867837</v>
      </c>
      <c r="J934" s="3">
        <f t="shared" si="692"/>
        <v>-0.31723892316283775</v>
      </c>
      <c r="K934" s="3">
        <f t="shared" si="692"/>
        <v>-2.5726769136859479E-2</v>
      </c>
      <c r="L934" s="3">
        <f t="shared" si="692"/>
        <v>-0.1006828639151917</v>
      </c>
      <c r="M934" s="3">
        <f t="shared" si="692"/>
        <v>-0.10991759871793351</v>
      </c>
      <c r="N934" s="3">
        <f t="shared" si="692"/>
        <v>-0.26087628876408026</v>
      </c>
      <c r="O934" s="3">
        <f t="shared" si="692"/>
        <v>-0.2134155490371967</v>
      </c>
      <c r="P934" s="3">
        <f t="shared" si="692"/>
        <v>-0.20250635498167846</v>
      </c>
      <c r="Q934" s="3">
        <f t="shared" si="692"/>
        <v>-0.14596563220758818</v>
      </c>
      <c r="R934" s="3">
        <f t="shared" si="692"/>
        <v>2.8672491982984069E-3</v>
      </c>
      <c r="S934" s="3">
        <f t="shared" si="692"/>
        <v>0.1893341495463701</v>
      </c>
      <c r="T934" s="3">
        <f t="shared" si="692"/>
        <v>-0.24274541771409885</v>
      </c>
      <c r="U934" s="3">
        <f t="shared" si="692"/>
        <v>-0.16026339290884914</v>
      </c>
      <c r="V934" s="3">
        <f t="shared" si="692"/>
        <v>-0.20004325568789316</v>
      </c>
      <c r="W934" s="3">
        <f t="shared" si="692"/>
        <v>-3.7888930859215172E-2</v>
      </c>
    </row>
    <row r="937" spans="1:26" x14ac:dyDescent="0.25">
      <c r="D937" t="s">
        <v>290</v>
      </c>
      <c r="E937" t="s">
        <v>291</v>
      </c>
      <c r="F937" t="s">
        <v>292</v>
      </c>
      <c r="G937" t="s">
        <v>293</v>
      </c>
      <c r="H937" t="s">
        <v>294</v>
      </c>
      <c r="I937" t="s">
        <v>295</v>
      </c>
      <c r="J937" t="s">
        <v>296</v>
      </c>
      <c r="K937" t="s">
        <v>297</v>
      </c>
      <c r="L937" t="s">
        <v>341</v>
      </c>
      <c r="M937" t="s">
        <v>421</v>
      </c>
      <c r="N937" t="s">
        <v>422</v>
      </c>
      <c r="O937" t="s">
        <v>423</v>
      </c>
      <c r="P937" t="s">
        <v>538</v>
      </c>
      <c r="Q937" t="s">
        <v>539</v>
      </c>
      <c r="R937" t="s">
        <v>540</v>
      </c>
      <c r="S937" t="s">
        <v>541</v>
      </c>
      <c r="T937" t="s">
        <v>650</v>
      </c>
      <c r="U937" t="s">
        <v>651</v>
      </c>
      <c r="V937" t="s">
        <v>652</v>
      </c>
      <c r="W937" t="s">
        <v>653</v>
      </c>
      <c r="Y937" t="s">
        <v>298</v>
      </c>
      <c r="Z937" t="s">
        <v>299</v>
      </c>
    </row>
    <row r="938" spans="1:26" x14ac:dyDescent="0.25">
      <c r="A938" t="s">
        <v>43</v>
      </c>
      <c r="D938">
        <f t="shared" ref="D938:W938" si="693">D146*D218</f>
        <v>145.61495150139092</v>
      </c>
      <c r="E938">
        <f t="shared" si="693"/>
        <v>128.83748049816151</v>
      </c>
      <c r="F938">
        <f t="shared" si="693"/>
        <v>106.58650106897221</v>
      </c>
      <c r="G938">
        <f t="shared" si="693"/>
        <v>231.93248907642558</v>
      </c>
      <c r="H938">
        <f t="shared" si="693"/>
        <v>164.75731762660521</v>
      </c>
      <c r="I938">
        <f t="shared" si="693"/>
        <v>139.58700825783055</v>
      </c>
      <c r="J938">
        <f t="shared" si="693"/>
        <v>400.19727104107017</v>
      </c>
      <c r="K938">
        <f t="shared" si="693"/>
        <v>161.03614742579796</v>
      </c>
      <c r="L938">
        <f t="shared" si="693"/>
        <v>217.06527819915081</v>
      </c>
      <c r="M938">
        <f t="shared" si="693"/>
        <v>60.713173010995298</v>
      </c>
      <c r="N938">
        <f t="shared" si="693"/>
        <v>97.235301553931492</v>
      </c>
      <c r="O938">
        <f t="shared" si="693"/>
        <v>173.09063242696209</v>
      </c>
      <c r="P938">
        <f t="shared" si="693"/>
        <v>170.03555628764221</v>
      </c>
      <c r="Q938">
        <f t="shared" si="693"/>
        <v>186.59286235392827</v>
      </c>
      <c r="R938">
        <f t="shared" si="693"/>
        <v>196.59601327554401</v>
      </c>
      <c r="S938">
        <f t="shared" si="693"/>
        <v>155.18272552869968</v>
      </c>
      <c r="T938">
        <f t="shared" si="693"/>
        <v>75.712357298283919</v>
      </c>
      <c r="U938">
        <f t="shared" si="693"/>
        <v>68.405617971145006</v>
      </c>
      <c r="V938">
        <f t="shared" si="693"/>
        <v>379.01014475309006</v>
      </c>
      <c r="W938">
        <f t="shared" si="693"/>
        <v>82.32383650997015</v>
      </c>
      <c r="Y938" s="6">
        <f t="shared" ref="Y938:Y968" si="694">SUM(D938:W938)</f>
        <v>3340.5126656655975</v>
      </c>
      <c r="Z938">
        <f t="shared" ref="Z938:Z964" si="695">SUMPRODUCT($D$970:$W$970,D938:W938)</f>
        <v>-362.66916658351573</v>
      </c>
    </row>
    <row r="939" spans="1:26" x14ac:dyDescent="0.25">
      <c r="A939" t="s">
        <v>44</v>
      </c>
      <c r="D939">
        <f t="shared" ref="D939:W939" si="696">D147*D219</f>
        <v>113.97948607345559</v>
      </c>
      <c r="E939">
        <f t="shared" si="696"/>
        <v>109.15166748642586</v>
      </c>
      <c r="F939">
        <f t="shared" si="696"/>
        <v>356.82506198422902</v>
      </c>
      <c r="G939">
        <f t="shared" si="696"/>
        <v>148.84972081086002</v>
      </c>
      <c r="H939">
        <f t="shared" si="696"/>
        <v>164.569517599938</v>
      </c>
      <c r="I939">
        <f t="shared" si="696"/>
        <v>114.66932566918884</v>
      </c>
      <c r="J939">
        <f t="shared" si="696"/>
        <v>105.50831342345664</v>
      </c>
      <c r="K939">
        <f t="shared" si="696"/>
        <v>90.547673470453091</v>
      </c>
      <c r="L939">
        <f t="shared" si="696"/>
        <v>86.461748418082479</v>
      </c>
      <c r="M939">
        <f t="shared" si="696"/>
        <v>170.3964413300117</v>
      </c>
      <c r="N939">
        <f t="shared" si="696"/>
        <v>394.36909903128083</v>
      </c>
      <c r="O939">
        <f t="shared" si="696"/>
        <v>158.69703096743842</v>
      </c>
      <c r="P939">
        <f t="shared" si="696"/>
        <v>61.932362032588109</v>
      </c>
      <c r="Q939">
        <f t="shared" si="696"/>
        <v>64.602893441630854</v>
      </c>
      <c r="R939">
        <f t="shared" si="696"/>
        <v>128.58129256627376</v>
      </c>
      <c r="S939">
        <f t="shared" si="696"/>
        <v>126.03648272011799</v>
      </c>
      <c r="T939">
        <f t="shared" si="696"/>
        <v>179.34565138053517</v>
      </c>
      <c r="U939">
        <f t="shared" si="696"/>
        <v>105.97289672788531</v>
      </c>
      <c r="V939">
        <f t="shared" si="696"/>
        <v>228.46923360542777</v>
      </c>
      <c r="W939">
        <f t="shared" si="696"/>
        <v>247.77585949327266</v>
      </c>
      <c r="Y939" s="6">
        <f t="shared" si="694"/>
        <v>3156.741758232552</v>
      </c>
      <c r="Z939">
        <f t="shared" si="695"/>
        <v>-311.99454629776068</v>
      </c>
    </row>
    <row r="940" spans="1:26" x14ac:dyDescent="0.25">
      <c r="A940" t="s">
        <v>45</v>
      </c>
      <c r="D940">
        <f t="shared" ref="D940:W940" si="697">D148*D220</f>
        <v>196.88018594585395</v>
      </c>
      <c r="E940">
        <f t="shared" si="697"/>
        <v>36.579451921234352</v>
      </c>
      <c r="F940">
        <f t="shared" si="697"/>
        <v>53.729133945513261</v>
      </c>
      <c r="G940">
        <f t="shared" si="697"/>
        <v>319.28629104377615</v>
      </c>
      <c r="H940">
        <f t="shared" si="697"/>
        <v>326.62943612982076</v>
      </c>
      <c r="I940">
        <f t="shared" si="697"/>
        <v>207.73038297562127</v>
      </c>
      <c r="J940">
        <f t="shared" si="697"/>
        <v>334.96307109747818</v>
      </c>
      <c r="K940">
        <f t="shared" si="697"/>
        <v>115.08448011581906</v>
      </c>
      <c r="L940">
        <f t="shared" si="697"/>
        <v>163.47982916949204</v>
      </c>
      <c r="M940">
        <f t="shared" si="697"/>
        <v>145.4548862205678</v>
      </c>
      <c r="N940">
        <f t="shared" si="697"/>
        <v>246.88165528425412</v>
      </c>
      <c r="O940">
        <f t="shared" si="697"/>
        <v>180.80630119317135</v>
      </c>
      <c r="P940">
        <f t="shared" si="697"/>
        <v>43.909011950487326</v>
      </c>
      <c r="Q940">
        <f t="shared" si="697"/>
        <v>75.572227339982291</v>
      </c>
      <c r="R940">
        <f t="shared" si="697"/>
        <v>200.05960213278783</v>
      </c>
      <c r="S940">
        <f t="shared" si="697"/>
        <v>249.87071188824601</v>
      </c>
      <c r="T940">
        <f t="shared" si="697"/>
        <v>510.84081853918582</v>
      </c>
      <c r="U940">
        <f t="shared" si="697"/>
        <v>343.6423972804904</v>
      </c>
      <c r="V940">
        <f t="shared" si="697"/>
        <v>240.42009547179367</v>
      </c>
      <c r="W940">
        <f t="shared" si="697"/>
        <v>347.38955867862677</v>
      </c>
      <c r="Y940" s="6">
        <f t="shared" si="694"/>
        <v>4339.2095283242024</v>
      </c>
      <c r="Z940">
        <f t="shared" si="695"/>
        <v>-427.86811717284036</v>
      </c>
    </row>
    <row r="941" spans="1:26" x14ac:dyDescent="0.25">
      <c r="A941" t="s">
        <v>46</v>
      </c>
      <c r="D941">
        <f t="shared" ref="D941:W941" si="698">D149*D221</f>
        <v>127.5938003650016</v>
      </c>
      <c r="E941">
        <f t="shared" si="698"/>
        <v>90.036694773173878</v>
      </c>
      <c r="F941">
        <f t="shared" si="698"/>
        <v>127.97236783784766</v>
      </c>
      <c r="G941">
        <f t="shared" si="698"/>
        <v>148.88151794758119</v>
      </c>
      <c r="H941">
        <f t="shared" si="698"/>
        <v>148.52274878745672</v>
      </c>
      <c r="I941">
        <f t="shared" si="698"/>
        <v>113.69167609504751</v>
      </c>
      <c r="J941">
        <f t="shared" si="698"/>
        <v>156.65005020021442</v>
      </c>
      <c r="K941">
        <f t="shared" si="698"/>
        <v>294.40070550671038</v>
      </c>
      <c r="L941">
        <f t="shared" si="698"/>
        <v>452.45803020600857</v>
      </c>
      <c r="M941">
        <f t="shared" si="698"/>
        <v>305.46024339632021</v>
      </c>
      <c r="N941">
        <f t="shared" si="698"/>
        <v>93.741920958342519</v>
      </c>
      <c r="O941">
        <f t="shared" si="698"/>
        <v>226.82280583894789</v>
      </c>
      <c r="P941">
        <f t="shared" si="698"/>
        <v>100.61014412124668</v>
      </c>
      <c r="Q941">
        <f t="shared" si="698"/>
        <v>144.90078573271043</v>
      </c>
      <c r="R941">
        <f t="shared" si="698"/>
        <v>72.340592789592449</v>
      </c>
      <c r="S941">
        <f t="shared" si="698"/>
        <v>304.74176466732735</v>
      </c>
      <c r="T941">
        <f t="shared" si="698"/>
        <v>90.333248240024318</v>
      </c>
      <c r="U941">
        <f t="shared" si="698"/>
        <v>69.776198836830389</v>
      </c>
      <c r="V941">
        <f t="shared" si="698"/>
        <v>89.384134656156363</v>
      </c>
      <c r="W941">
        <f t="shared" si="698"/>
        <v>145.63191861547526</v>
      </c>
      <c r="Y941" s="6">
        <f t="shared" si="694"/>
        <v>3303.9513495720153</v>
      </c>
      <c r="Z941">
        <f t="shared" si="695"/>
        <v>-303.94123485515007</v>
      </c>
    </row>
    <row r="942" spans="1:26" x14ac:dyDescent="0.25">
      <c r="A942" t="s">
        <v>47</v>
      </c>
      <c r="D942">
        <f t="shared" ref="D942:W942" si="699">D150*D222</f>
        <v>286.74356738143592</v>
      </c>
      <c r="E942">
        <f t="shared" si="699"/>
        <v>303.36604057413143</v>
      </c>
      <c r="F942">
        <f t="shared" si="699"/>
        <v>184.5232640547415</v>
      </c>
      <c r="G942">
        <f t="shared" si="699"/>
        <v>402.22597430846923</v>
      </c>
      <c r="H942">
        <f t="shared" si="699"/>
        <v>259.29153952167235</v>
      </c>
      <c r="I942">
        <f t="shared" si="699"/>
        <v>167.80728271546306</v>
      </c>
      <c r="J942">
        <f t="shared" si="699"/>
        <v>231.49552868390194</v>
      </c>
      <c r="K942">
        <f t="shared" si="699"/>
        <v>273.53253792810602</v>
      </c>
      <c r="L942">
        <f t="shared" si="699"/>
        <v>176.69822634403198</v>
      </c>
      <c r="M942">
        <f t="shared" si="699"/>
        <v>241.91928864648398</v>
      </c>
      <c r="N942">
        <f t="shared" si="699"/>
        <v>238.63857143801894</v>
      </c>
      <c r="O942">
        <f t="shared" si="699"/>
        <v>231.88154252603954</v>
      </c>
      <c r="P942">
        <f t="shared" si="699"/>
        <v>291.17593353830938</v>
      </c>
      <c r="Q942">
        <f t="shared" si="699"/>
        <v>171.75690915384646</v>
      </c>
      <c r="R942">
        <f t="shared" si="699"/>
        <v>363.8146575710814</v>
      </c>
      <c r="S942">
        <f t="shared" si="699"/>
        <v>424.13838762489382</v>
      </c>
      <c r="T942">
        <f t="shared" si="699"/>
        <v>440.44391484261541</v>
      </c>
      <c r="U942">
        <f t="shared" si="699"/>
        <v>500.37544971985102</v>
      </c>
      <c r="V942">
        <f t="shared" si="699"/>
        <v>189.0570919240831</v>
      </c>
      <c r="W942">
        <f t="shared" si="699"/>
        <v>283.47041073317894</v>
      </c>
      <c r="Y942" s="6">
        <f t="shared" si="694"/>
        <v>5662.356119230355</v>
      </c>
      <c r="Z942">
        <f t="shared" si="695"/>
        <v>-475.56312261578177</v>
      </c>
    </row>
    <row r="943" spans="1:26" x14ac:dyDescent="0.25">
      <c r="A943" t="s">
        <v>48</v>
      </c>
      <c r="D943">
        <f t="shared" ref="D943:W943" si="700">D151*D223</f>
        <v>519.94143235117667</v>
      </c>
      <c r="E943">
        <f t="shared" si="700"/>
        <v>619.3004872242384</v>
      </c>
      <c r="F943">
        <f t="shared" si="700"/>
        <v>733.44454956655068</v>
      </c>
      <c r="G943">
        <f t="shared" si="700"/>
        <v>993.85634965629004</v>
      </c>
      <c r="H943">
        <f t="shared" si="700"/>
        <v>913.72808571853977</v>
      </c>
      <c r="I943">
        <f t="shared" si="700"/>
        <v>917.84781220566549</v>
      </c>
      <c r="J943">
        <f t="shared" si="700"/>
        <v>1412.5221643656707</v>
      </c>
      <c r="K943">
        <f t="shared" si="700"/>
        <v>1105.4036716235767</v>
      </c>
      <c r="L943">
        <f t="shared" si="700"/>
        <v>450.0717636554823</v>
      </c>
      <c r="M943">
        <f t="shared" si="700"/>
        <v>203.54142230500369</v>
      </c>
      <c r="N943">
        <f t="shared" si="700"/>
        <v>303.812814449835</v>
      </c>
      <c r="O943">
        <f t="shared" si="700"/>
        <v>156.82038075629802</v>
      </c>
      <c r="P943">
        <f t="shared" si="700"/>
        <v>299.17927561973812</v>
      </c>
      <c r="Q943">
        <f t="shared" si="700"/>
        <v>259.77039736940253</v>
      </c>
      <c r="R943">
        <f t="shared" si="700"/>
        <v>211.57946649472942</v>
      </c>
      <c r="S943">
        <f t="shared" si="700"/>
        <v>55.911939532749088</v>
      </c>
      <c r="T943">
        <f t="shared" si="700"/>
        <v>124.50008565113171</v>
      </c>
      <c r="U943">
        <f t="shared" si="700"/>
        <v>114.34039637549127</v>
      </c>
      <c r="V943">
        <f t="shared" si="700"/>
        <v>136.97383932046418</v>
      </c>
      <c r="W943">
        <f t="shared" si="700"/>
        <v>139.8510981633203</v>
      </c>
      <c r="Y943" s="6">
        <f t="shared" si="694"/>
        <v>9672.3974324053543</v>
      </c>
      <c r="Z943">
        <f t="shared" si="695"/>
        <v>-508.48087084062109</v>
      </c>
    </row>
    <row r="944" spans="1:26" x14ac:dyDescent="0.25">
      <c r="A944" t="s">
        <v>49</v>
      </c>
      <c r="D944">
        <f t="shared" ref="D944:W944" si="701">D152*D224</f>
        <v>109.57539584596768</v>
      </c>
      <c r="E944">
        <f t="shared" si="701"/>
        <v>223.38094787551918</v>
      </c>
      <c r="F944">
        <f t="shared" si="701"/>
        <v>310.77443556091674</v>
      </c>
      <c r="G944">
        <f t="shared" si="701"/>
        <v>226.35951367533227</v>
      </c>
      <c r="H944">
        <f t="shared" si="701"/>
        <v>148.72259778820492</v>
      </c>
      <c r="I944">
        <f t="shared" si="701"/>
        <v>173.46787009263991</v>
      </c>
      <c r="J944">
        <f t="shared" si="701"/>
        <v>195.45137034105491</v>
      </c>
      <c r="K944">
        <f t="shared" si="701"/>
        <v>289.30239472886348</v>
      </c>
      <c r="L944">
        <f t="shared" si="701"/>
        <v>161.15544136763992</v>
      </c>
      <c r="M944">
        <f t="shared" si="701"/>
        <v>183.06217156492932</v>
      </c>
      <c r="N944">
        <f t="shared" si="701"/>
        <v>236.65343732097151</v>
      </c>
      <c r="O944">
        <f t="shared" si="701"/>
        <v>198.84779196534893</v>
      </c>
      <c r="P944">
        <f t="shared" si="701"/>
        <v>470.6416535254092</v>
      </c>
      <c r="Q944">
        <f t="shared" si="701"/>
        <v>825.17180283913331</v>
      </c>
      <c r="R944">
        <f t="shared" si="701"/>
        <v>532.68475603286788</v>
      </c>
      <c r="S944">
        <f t="shared" si="701"/>
        <v>294.92041178743636</v>
      </c>
      <c r="T944">
        <f t="shared" si="701"/>
        <v>129.87911210013135</v>
      </c>
      <c r="U944">
        <f t="shared" si="701"/>
        <v>231.74673322938281</v>
      </c>
      <c r="V944">
        <f t="shared" si="701"/>
        <v>268.76809122065555</v>
      </c>
      <c r="W944">
        <f t="shared" si="701"/>
        <v>113.25495617799423</v>
      </c>
      <c r="Y944" s="6">
        <f t="shared" si="694"/>
        <v>5323.820885040398</v>
      </c>
      <c r="Z944">
        <f t="shared" si="695"/>
        <v>-627.55047680095095</v>
      </c>
    </row>
    <row r="945" spans="1:26" x14ac:dyDescent="0.25">
      <c r="A945" t="s">
        <v>50</v>
      </c>
      <c r="D945">
        <f t="shared" ref="D945:W945" si="702">D153*D225</f>
        <v>200.04391061103868</v>
      </c>
      <c r="E945">
        <f t="shared" si="702"/>
        <v>204.01435873271046</v>
      </c>
      <c r="F945">
        <f t="shared" si="702"/>
        <v>-0.19092180045610696</v>
      </c>
      <c r="G945">
        <f t="shared" si="702"/>
        <v>367.43062324411687</v>
      </c>
      <c r="H945">
        <f t="shared" si="702"/>
        <v>376.34029629224199</v>
      </c>
      <c r="I945">
        <f t="shared" si="702"/>
        <v>292.28088228961451</v>
      </c>
      <c r="J945">
        <f t="shared" si="702"/>
        <v>241.04934403920535</v>
      </c>
      <c r="K945">
        <f t="shared" si="702"/>
        <v>220.23039532296113</v>
      </c>
      <c r="L945">
        <f t="shared" si="702"/>
        <v>338.74193975678048</v>
      </c>
      <c r="M945">
        <f t="shared" si="702"/>
        <v>622.09239676428092</v>
      </c>
      <c r="N945">
        <f t="shared" si="702"/>
        <v>1967.1944798634411</v>
      </c>
      <c r="O945">
        <f t="shared" si="702"/>
        <v>2154.7450712785731</v>
      </c>
      <c r="P945">
        <f t="shared" si="702"/>
        <v>2610.9502491290095</v>
      </c>
      <c r="Q945">
        <f t="shared" si="702"/>
        <v>2893.1892387960579</v>
      </c>
      <c r="R945">
        <f t="shared" si="702"/>
        <v>25.2709062119857</v>
      </c>
      <c r="S945">
        <f t="shared" si="702"/>
        <v>35.784192149660392</v>
      </c>
      <c r="T945">
        <f t="shared" si="702"/>
        <v>558.33478928071725</v>
      </c>
      <c r="U945">
        <f t="shared" si="702"/>
        <v>277.55705679230834</v>
      </c>
      <c r="V945">
        <f t="shared" si="702"/>
        <v>357.73970573198739</v>
      </c>
      <c r="W945">
        <f t="shared" si="702"/>
        <v>138.56322136027595</v>
      </c>
      <c r="Y945" s="6">
        <f t="shared" si="694"/>
        <v>13881.362135846512</v>
      </c>
      <c r="Z945">
        <f t="shared" si="695"/>
        <v>-2687.3313124745691</v>
      </c>
    </row>
    <row r="946" spans="1:26" x14ac:dyDescent="0.25">
      <c r="A946" t="s">
        <v>51</v>
      </c>
      <c r="D946">
        <f t="shared" ref="D946:W946" si="703">D154*D226</f>
        <v>438.83141839183583</v>
      </c>
      <c r="E946">
        <f t="shared" si="703"/>
        <v>1355.7771638563806</v>
      </c>
      <c r="F946">
        <f t="shared" si="703"/>
        <v>2425.9717909936498</v>
      </c>
      <c r="G946">
        <f t="shared" si="703"/>
        <v>645.56759901638054</v>
      </c>
      <c r="H946">
        <f t="shared" si="703"/>
        <v>498.93220597215998</v>
      </c>
      <c r="I946">
        <f t="shared" si="703"/>
        <v>221.99614105689753</v>
      </c>
      <c r="J946">
        <f t="shared" si="703"/>
        <v>1366.9039319643232</v>
      </c>
      <c r="K946">
        <f t="shared" si="703"/>
        <v>1824.0286230727086</v>
      </c>
      <c r="L946">
        <f t="shared" si="703"/>
        <v>1692.9920522211871</v>
      </c>
      <c r="M946">
        <f t="shared" si="703"/>
        <v>2003.6225489984188</v>
      </c>
      <c r="N946">
        <f t="shared" si="703"/>
        <v>1727.1846821813531</v>
      </c>
      <c r="O946">
        <f t="shared" si="703"/>
        <v>1166.9311231361874</v>
      </c>
      <c r="P946">
        <f t="shared" si="703"/>
        <v>1771.5981346755821</v>
      </c>
      <c r="Q946">
        <f t="shared" si="703"/>
        <v>1258.1737277295358</v>
      </c>
      <c r="R946">
        <f t="shared" si="703"/>
        <v>1747.1522687707372</v>
      </c>
      <c r="S946">
        <f t="shared" si="703"/>
        <v>1606.1389502285972</v>
      </c>
      <c r="T946">
        <f t="shared" si="703"/>
        <v>1756.2376053673718</v>
      </c>
      <c r="U946">
        <f t="shared" si="703"/>
        <v>870.30880354135286</v>
      </c>
      <c r="V946">
        <f t="shared" si="703"/>
        <v>1021.6883283654797</v>
      </c>
      <c r="W946">
        <f t="shared" si="703"/>
        <v>584.26423258743012</v>
      </c>
      <c r="Y946" s="6">
        <f t="shared" si="694"/>
        <v>25984.301332127568</v>
      </c>
      <c r="Z946">
        <f t="shared" si="695"/>
        <v>-3053.0180555357765</v>
      </c>
    </row>
    <row r="947" spans="1:26" x14ac:dyDescent="0.25">
      <c r="A947" t="s">
        <v>52</v>
      </c>
      <c r="D947">
        <f t="shared" ref="D947:W947" si="704">D155*D227</f>
        <v>310.77352250110852</v>
      </c>
      <c r="E947">
        <f t="shared" si="704"/>
        <v>310.39428700100137</v>
      </c>
      <c r="F947">
        <f t="shared" si="704"/>
        <v>270.4075476408899</v>
      </c>
      <c r="G947">
        <f t="shared" si="704"/>
        <v>217.28107528686436</v>
      </c>
      <c r="H947">
        <f t="shared" si="704"/>
        <v>319.27651684774924</v>
      </c>
      <c r="I947">
        <f t="shared" si="704"/>
        <v>476.67388013825712</v>
      </c>
      <c r="J947">
        <f t="shared" si="704"/>
        <v>104.07746069309012</v>
      </c>
      <c r="K947">
        <f t="shared" si="704"/>
        <v>152.87454643495929</v>
      </c>
      <c r="L947">
        <f t="shared" si="704"/>
        <v>272.24564060592331</v>
      </c>
      <c r="M947">
        <f t="shared" si="704"/>
        <v>226.15981505456071</v>
      </c>
      <c r="N947">
        <f t="shared" si="704"/>
        <v>205.24398438918305</v>
      </c>
      <c r="O947">
        <f t="shared" si="704"/>
        <v>190.65959119263286</v>
      </c>
      <c r="P947">
        <f t="shared" si="704"/>
        <v>228.81566513329827</v>
      </c>
      <c r="Q947">
        <f t="shared" si="704"/>
        <v>156.50505085851293</v>
      </c>
      <c r="R947">
        <f t="shared" si="704"/>
        <v>204.86342909142937</v>
      </c>
      <c r="S947">
        <f t="shared" si="704"/>
        <v>217.29095690124905</v>
      </c>
      <c r="T947">
        <f t="shared" si="704"/>
        <v>102.43236614684875</v>
      </c>
      <c r="U947">
        <f t="shared" si="704"/>
        <v>160.97250224582947</v>
      </c>
      <c r="V947">
        <f t="shared" si="704"/>
        <v>104.14642603169807</v>
      </c>
      <c r="W947">
        <f t="shared" si="704"/>
        <v>188.67069882116317</v>
      </c>
      <c r="Y947" s="6">
        <f t="shared" si="694"/>
        <v>4419.7649630162487</v>
      </c>
      <c r="Z947">
        <f t="shared" si="695"/>
        <v>-204.96670874295117</v>
      </c>
    </row>
    <row r="948" spans="1:26" x14ac:dyDescent="0.25">
      <c r="A948" t="s">
        <v>53</v>
      </c>
      <c r="D948">
        <f t="shared" ref="D948:W948" si="705">D156*D228</f>
        <v>143.34193730219022</v>
      </c>
      <c r="E948">
        <f t="shared" si="705"/>
        <v>132.20349078678757</v>
      </c>
      <c r="F948">
        <f t="shared" si="705"/>
        <v>110.91917176693845</v>
      </c>
      <c r="G948">
        <f t="shared" si="705"/>
        <v>189.36702095417343</v>
      </c>
      <c r="H948">
        <f t="shared" si="705"/>
        <v>174.91271124952786</v>
      </c>
      <c r="I948">
        <f t="shared" si="705"/>
        <v>126.2885100700731</v>
      </c>
      <c r="J948">
        <f t="shared" si="705"/>
        <v>293.80949372410493</v>
      </c>
      <c r="K948">
        <f t="shared" si="705"/>
        <v>321.12841618419344</v>
      </c>
      <c r="L948">
        <f t="shared" si="705"/>
        <v>390.5853602648499</v>
      </c>
      <c r="M948">
        <f t="shared" si="705"/>
        <v>276.21415428796746</v>
      </c>
      <c r="N948">
        <f t="shared" si="705"/>
        <v>158.10531670156686</v>
      </c>
      <c r="O948">
        <f t="shared" si="705"/>
        <v>162.84837303236117</v>
      </c>
      <c r="P948">
        <f t="shared" si="705"/>
        <v>213.2938549493436</v>
      </c>
      <c r="Q948">
        <f t="shared" si="705"/>
        <v>59.120167971323262</v>
      </c>
      <c r="R948">
        <f t="shared" si="705"/>
        <v>114.52784977835367</v>
      </c>
      <c r="S948">
        <f t="shared" si="705"/>
        <v>142.57474691933336</v>
      </c>
      <c r="T948">
        <f t="shared" si="705"/>
        <v>239.72337192156633</v>
      </c>
      <c r="U948">
        <f t="shared" si="705"/>
        <v>160.16608854899917</v>
      </c>
      <c r="V948">
        <f t="shared" si="705"/>
        <v>109.9092596086175</v>
      </c>
      <c r="W948">
        <f t="shared" si="705"/>
        <v>97.21321622380502</v>
      </c>
      <c r="Y948" s="6">
        <f t="shared" si="694"/>
        <v>3616.2525122460765</v>
      </c>
      <c r="Z948">
        <f t="shared" si="695"/>
        <v>-375.4669999816993</v>
      </c>
    </row>
    <row r="949" spans="1:26" x14ac:dyDescent="0.25">
      <c r="A949" t="s">
        <v>54</v>
      </c>
      <c r="D949">
        <f t="shared" ref="D949:W949" si="706">D157*D229</f>
        <v>219.03584941577458</v>
      </c>
      <c r="E949">
        <f t="shared" si="706"/>
        <v>357.16722113531063</v>
      </c>
      <c r="F949">
        <f t="shared" si="706"/>
        <v>304.54706196963173</v>
      </c>
      <c r="G949">
        <f t="shared" si="706"/>
        <v>123.85326868769769</v>
      </c>
      <c r="H949">
        <f t="shared" si="706"/>
        <v>94.415870850354082</v>
      </c>
      <c r="I949">
        <f t="shared" si="706"/>
        <v>153.05827975307702</v>
      </c>
      <c r="J949">
        <f t="shared" si="706"/>
        <v>66.449629262749852</v>
      </c>
      <c r="K949">
        <f t="shared" si="706"/>
        <v>105.67779148594546</v>
      </c>
      <c r="L949">
        <f t="shared" si="706"/>
        <v>230.80776063260475</v>
      </c>
      <c r="M949">
        <f t="shared" si="706"/>
        <v>339.74563914481371</v>
      </c>
      <c r="N949">
        <f t="shared" si="706"/>
        <v>417.1779050923123</v>
      </c>
      <c r="O949">
        <f t="shared" si="706"/>
        <v>441.04758567472578</v>
      </c>
      <c r="P949">
        <f t="shared" si="706"/>
        <v>512.05009141205028</v>
      </c>
      <c r="Q949">
        <f t="shared" si="706"/>
        <v>320.44406912863707</v>
      </c>
      <c r="R949">
        <f t="shared" si="706"/>
        <v>53.942730351507443</v>
      </c>
      <c r="S949">
        <f t="shared" si="706"/>
        <v>106.39235591129051</v>
      </c>
      <c r="T949">
        <f t="shared" si="706"/>
        <v>102.53327402393205</v>
      </c>
      <c r="U949">
        <f t="shared" si="706"/>
        <v>143.76870501648662</v>
      </c>
      <c r="V949">
        <f t="shared" si="706"/>
        <v>71.312097748823604</v>
      </c>
      <c r="W949">
        <f t="shared" si="706"/>
        <v>261.54139144441211</v>
      </c>
      <c r="Y949" s="6">
        <f t="shared" si="694"/>
        <v>4424.9685781421376</v>
      </c>
      <c r="Z949">
        <f t="shared" si="695"/>
        <v>-470.12824220673963</v>
      </c>
    </row>
    <row r="950" spans="1:26" x14ac:dyDescent="0.25">
      <c r="A950" t="s">
        <v>55</v>
      </c>
      <c r="D950">
        <f t="shared" ref="D950:W950" si="707">D158*D230</f>
        <v>566.34426616530482</v>
      </c>
      <c r="E950">
        <f t="shared" si="707"/>
        <v>493.62397624677357</v>
      </c>
      <c r="F950">
        <f t="shared" si="707"/>
        <v>207.36878809550507</v>
      </c>
      <c r="G950">
        <f t="shared" si="707"/>
        <v>392.5066634927436</v>
      </c>
      <c r="H950">
        <f t="shared" si="707"/>
        <v>323.07826538156672</v>
      </c>
      <c r="I950">
        <f t="shared" si="707"/>
        <v>407.26293631710888</v>
      </c>
      <c r="J950">
        <f t="shared" si="707"/>
        <v>201.28073222971008</v>
      </c>
      <c r="K950">
        <f t="shared" si="707"/>
        <v>158.63957822646876</v>
      </c>
      <c r="L950">
        <f t="shared" si="707"/>
        <v>188.43728949750275</v>
      </c>
      <c r="M950">
        <f t="shared" si="707"/>
        <v>228.09147295526273</v>
      </c>
      <c r="N950">
        <f t="shared" si="707"/>
        <v>207.18608928629149</v>
      </c>
      <c r="O950">
        <f t="shared" si="707"/>
        <v>47.16691440772609</v>
      </c>
      <c r="P950">
        <f t="shared" si="707"/>
        <v>110.15696921025918</v>
      </c>
      <c r="Q950">
        <f t="shared" si="707"/>
        <v>324.60519165617796</v>
      </c>
      <c r="R950">
        <f t="shared" si="707"/>
        <v>95.811656805525445</v>
      </c>
      <c r="S950">
        <f t="shared" si="707"/>
        <v>225.86241466432259</v>
      </c>
      <c r="T950">
        <f t="shared" si="707"/>
        <v>77.557016975125421</v>
      </c>
      <c r="U950">
        <f t="shared" si="707"/>
        <v>81.485287182574481</v>
      </c>
      <c r="V950">
        <f t="shared" si="707"/>
        <v>398.22665217949486</v>
      </c>
      <c r="W950">
        <f t="shared" si="707"/>
        <v>288.53163950583399</v>
      </c>
      <c r="Y950" s="6">
        <f t="shared" si="694"/>
        <v>5023.223800481278</v>
      </c>
      <c r="Z950">
        <f t="shared" si="695"/>
        <v>-174.66613536503272</v>
      </c>
    </row>
    <row r="951" spans="1:26" x14ac:dyDescent="0.25">
      <c r="A951" t="s">
        <v>56</v>
      </c>
      <c r="D951">
        <f t="shared" ref="D951:W951" si="708">D159*D231</f>
        <v>607.16208069871971</v>
      </c>
      <c r="E951">
        <f t="shared" si="708"/>
        <v>308.93112044375198</v>
      </c>
      <c r="F951">
        <f t="shared" si="708"/>
        <v>326.81211765730814</v>
      </c>
      <c r="G951">
        <f t="shared" si="708"/>
        <v>279.75869640568141</v>
      </c>
      <c r="H951">
        <f t="shared" si="708"/>
        <v>127.94373821784036</v>
      </c>
      <c r="I951">
        <f t="shared" si="708"/>
        <v>220.89331822158766</v>
      </c>
      <c r="J951">
        <f t="shared" si="708"/>
        <v>211.07433189700157</v>
      </c>
      <c r="K951">
        <f t="shared" si="708"/>
        <v>345.09914672431847</v>
      </c>
      <c r="L951">
        <f t="shared" si="708"/>
        <v>149.32170732012096</v>
      </c>
      <c r="M951">
        <f t="shared" si="708"/>
        <v>191.6534261856188</v>
      </c>
      <c r="N951">
        <f t="shared" si="708"/>
        <v>131.42221957876001</v>
      </c>
      <c r="O951">
        <f t="shared" si="708"/>
        <v>278.74503200992086</v>
      </c>
      <c r="P951">
        <f t="shared" si="708"/>
        <v>327.44939523029097</v>
      </c>
      <c r="Q951">
        <f t="shared" si="708"/>
        <v>108.76485576671357</v>
      </c>
      <c r="R951">
        <f t="shared" si="708"/>
        <v>134.29015780662945</v>
      </c>
      <c r="S951">
        <f t="shared" si="708"/>
        <v>116.09941956411677</v>
      </c>
      <c r="T951">
        <f t="shared" si="708"/>
        <v>57.587275762660077</v>
      </c>
      <c r="U951">
        <f t="shared" si="708"/>
        <v>52.608424710828778</v>
      </c>
      <c r="V951">
        <f t="shared" si="708"/>
        <v>412.36524891273035</v>
      </c>
      <c r="W951">
        <f t="shared" si="708"/>
        <v>282.33974388214767</v>
      </c>
      <c r="Y951" s="6">
        <f t="shared" si="694"/>
        <v>4670.3214569967477</v>
      </c>
      <c r="Z951">
        <f t="shared" si="695"/>
        <v>-261.81040957328702</v>
      </c>
    </row>
    <row r="952" spans="1:26" x14ac:dyDescent="0.25">
      <c r="A952" t="s">
        <v>57</v>
      </c>
      <c r="D952">
        <f t="shared" ref="D952:W952" si="709">D160*D232</f>
        <v>286.8935622435522</v>
      </c>
      <c r="E952">
        <f t="shared" si="709"/>
        <v>341.54088633274421</v>
      </c>
      <c r="F952">
        <f t="shared" si="709"/>
        <v>296.73421752820644</v>
      </c>
      <c r="G952">
        <f t="shared" si="709"/>
        <v>306.48800733438287</v>
      </c>
      <c r="H952">
        <f t="shared" si="709"/>
        <v>209.91418512524456</v>
      </c>
      <c r="I952">
        <f t="shared" si="709"/>
        <v>267.97423142520455</v>
      </c>
      <c r="J952">
        <f t="shared" si="709"/>
        <v>170.80801884878591</v>
      </c>
      <c r="K952">
        <f t="shared" si="709"/>
        <v>251.08750124639894</v>
      </c>
      <c r="L952">
        <f t="shared" si="709"/>
        <v>276.22696650441839</v>
      </c>
      <c r="M952">
        <f t="shared" si="709"/>
        <v>330.04396422710528</v>
      </c>
      <c r="N952">
        <f t="shared" si="709"/>
        <v>340.50484371133672</v>
      </c>
      <c r="O952">
        <f t="shared" si="709"/>
        <v>252.54387247949236</v>
      </c>
      <c r="P952">
        <f t="shared" si="709"/>
        <v>367.56844509151949</v>
      </c>
      <c r="Q952">
        <f t="shared" si="709"/>
        <v>359.33082759908871</v>
      </c>
      <c r="R952">
        <f t="shared" si="709"/>
        <v>218.15759183540709</v>
      </c>
      <c r="S952">
        <f t="shared" si="709"/>
        <v>169.63685564902883</v>
      </c>
      <c r="T952">
        <f t="shared" si="709"/>
        <v>177.57699150462983</v>
      </c>
      <c r="U952">
        <f t="shared" si="709"/>
        <v>393.94023620934752</v>
      </c>
      <c r="V952">
        <f t="shared" si="709"/>
        <v>207.75392735544062</v>
      </c>
      <c r="W952">
        <f t="shared" si="709"/>
        <v>197.51338070083557</v>
      </c>
      <c r="Y952" s="6">
        <f t="shared" si="694"/>
        <v>5422.2385129521699</v>
      </c>
      <c r="Z952">
        <f t="shared" si="695"/>
        <v>-479.71780172709055</v>
      </c>
    </row>
    <row r="953" spans="1:26" x14ac:dyDescent="0.25">
      <c r="A953" t="s">
        <v>58</v>
      </c>
      <c r="D953">
        <f t="shared" ref="D953:W953" si="710">D161*D233</f>
        <v>80.224577546770405</v>
      </c>
      <c r="E953">
        <f t="shared" si="710"/>
        <v>148.12776391694607</v>
      </c>
      <c r="F953">
        <f t="shared" si="710"/>
        <v>403.70646947531111</v>
      </c>
      <c r="G953">
        <f t="shared" si="710"/>
        <v>1001.9333581869943</v>
      </c>
      <c r="H953">
        <f t="shared" si="710"/>
        <v>144.8994028336179</v>
      </c>
      <c r="I953">
        <f t="shared" si="710"/>
        <v>67.163367018806042</v>
      </c>
      <c r="J953">
        <f t="shared" si="710"/>
        <v>111.78752181833332</v>
      </c>
      <c r="K953">
        <f t="shared" si="710"/>
        <v>202.30678945609858</v>
      </c>
      <c r="L953">
        <f t="shared" si="710"/>
        <v>185.68122674052583</v>
      </c>
      <c r="M953">
        <f t="shared" si="710"/>
        <v>158.46844218231936</v>
      </c>
      <c r="N953">
        <f t="shared" si="710"/>
        <v>102.34007886863336</v>
      </c>
      <c r="O953">
        <f t="shared" si="710"/>
        <v>260.03824102245892</v>
      </c>
      <c r="P953">
        <f t="shared" si="710"/>
        <v>92.342545659794993</v>
      </c>
      <c r="Q953">
        <f t="shared" si="710"/>
        <v>90.605488618575663</v>
      </c>
      <c r="R953">
        <f t="shared" si="710"/>
        <v>79.496565899743374</v>
      </c>
      <c r="S953">
        <f t="shared" si="710"/>
        <v>136.32807512781631</v>
      </c>
      <c r="T953">
        <f t="shared" si="710"/>
        <v>215.8169283578506</v>
      </c>
      <c r="U953">
        <f t="shared" si="710"/>
        <v>41.644972796019537</v>
      </c>
      <c r="V953">
        <f t="shared" si="710"/>
        <v>39.385111006582704</v>
      </c>
      <c r="W953">
        <f t="shared" si="710"/>
        <v>187.9641050396452</v>
      </c>
      <c r="Y953" s="6">
        <f t="shared" si="694"/>
        <v>3750.2610315728434</v>
      </c>
      <c r="Z953">
        <f t="shared" si="695"/>
        <v>-209.67308349350211</v>
      </c>
    </row>
    <row r="954" spans="1:26" x14ac:dyDescent="0.25">
      <c r="A954" t="s">
        <v>59</v>
      </c>
      <c r="D954">
        <f t="shared" ref="D954:W954" si="711">D162*D234</f>
        <v>202.88266907716138</v>
      </c>
      <c r="E954">
        <f t="shared" si="711"/>
        <v>80.605188093169488</v>
      </c>
      <c r="F954">
        <f t="shared" si="711"/>
        <v>99.891805621895116</v>
      </c>
      <c r="G954">
        <f t="shared" si="711"/>
        <v>176.83750688515562</v>
      </c>
      <c r="H954">
        <f t="shared" si="711"/>
        <v>73.398420225999146</v>
      </c>
      <c r="I954">
        <f t="shared" si="711"/>
        <v>128.55891881852187</v>
      </c>
      <c r="J954">
        <f t="shared" si="711"/>
        <v>200.45986517495294</v>
      </c>
      <c r="K954">
        <f t="shared" si="711"/>
        <v>127.74486993853276</v>
      </c>
      <c r="L954">
        <f t="shared" si="711"/>
        <v>71.549983762101547</v>
      </c>
      <c r="M954">
        <f t="shared" si="711"/>
        <v>154.11918029926883</v>
      </c>
      <c r="N954">
        <f t="shared" si="711"/>
        <v>282.39949954793872</v>
      </c>
      <c r="O954">
        <f t="shared" si="711"/>
        <v>196.73531730393356</v>
      </c>
      <c r="P954">
        <f t="shared" si="711"/>
        <v>176.98422399094872</v>
      </c>
      <c r="Q954">
        <f t="shared" si="711"/>
        <v>76.793809874854404</v>
      </c>
      <c r="R954">
        <f t="shared" si="711"/>
        <v>123.53242107184026</v>
      </c>
      <c r="S954">
        <f t="shared" si="711"/>
        <v>235.73244793270035</v>
      </c>
      <c r="T954">
        <f t="shared" si="711"/>
        <v>134.44219443386334</v>
      </c>
      <c r="U954">
        <f t="shared" si="711"/>
        <v>144.71862615855696</v>
      </c>
      <c r="V954">
        <f t="shared" si="711"/>
        <v>234.7505485731364</v>
      </c>
      <c r="W954">
        <f t="shared" si="711"/>
        <v>247.67774516278647</v>
      </c>
      <c r="Y954" s="6">
        <f t="shared" si="694"/>
        <v>3169.8152419473181</v>
      </c>
      <c r="Z954">
        <f t="shared" si="695"/>
        <v>-324.80759027346818</v>
      </c>
    </row>
    <row r="955" spans="1:26" x14ac:dyDescent="0.25">
      <c r="A955" t="s">
        <v>60</v>
      </c>
      <c r="D955">
        <f t="shared" ref="D955:W955" si="712">D163*D235</f>
        <v>144.64645144823081</v>
      </c>
      <c r="E955">
        <f t="shared" si="712"/>
        <v>129.47834658768292</v>
      </c>
      <c r="F955">
        <f t="shared" si="712"/>
        <v>156.28035685800097</v>
      </c>
      <c r="G955">
        <f t="shared" si="712"/>
        <v>198.58933194451794</v>
      </c>
      <c r="H955">
        <f t="shared" si="712"/>
        <v>112.08132242481868</v>
      </c>
      <c r="I955">
        <f t="shared" si="712"/>
        <v>175.43889187102749</v>
      </c>
      <c r="J955">
        <f t="shared" si="712"/>
        <v>112.36080162628177</v>
      </c>
      <c r="K955">
        <f t="shared" si="712"/>
        <v>242.70981600339684</v>
      </c>
      <c r="L955">
        <f t="shared" si="712"/>
        <v>241.44854188288738</v>
      </c>
      <c r="M955">
        <f t="shared" si="712"/>
        <v>196.04119812422593</v>
      </c>
      <c r="N955">
        <f t="shared" si="712"/>
        <v>170.43919312646855</v>
      </c>
      <c r="O955">
        <f t="shared" si="712"/>
        <v>87.541903182988676</v>
      </c>
      <c r="P955">
        <f t="shared" si="712"/>
        <v>203.0748291839582</v>
      </c>
      <c r="Q955">
        <f t="shared" si="712"/>
        <v>278.13366027541292</v>
      </c>
      <c r="R955">
        <f t="shared" si="712"/>
        <v>126.3301220265576</v>
      </c>
      <c r="S955">
        <f t="shared" si="712"/>
        <v>174.30197805910089</v>
      </c>
      <c r="T955">
        <f t="shared" si="712"/>
        <v>225.65224845325099</v>
      </c>
      <c r="U955">
        <f t="shared" si="712"/>
        <v>218.6221243162648</v>
      </c>
      <c r="V955">
        <f t="shared" si="712"/>
        <v>24.563363839644534</v>
      </c>
      <c r="W955">
        <f t="shared" si="712"/>
        <v>81.933184975779568</v>
      </c>
      <c r="Y955" s="6">
        <f t="shared" si="694"/>
        <v>3299.6676662104978</v>
      </c>
      <c r="Z955">
        <f t="shared" si="695"/>
        <v>-304.54655598895147</v>
      </c>
    </row>
    <row r="956" spans="1:26" x14ac:dyDescent="0.25">
      <c r="A956" t="s">
        <v>61</v>
      </c>
      <c r="D956">
        <f t="shared" ref="D956:W956" si="713">D164*D236</f>
        <v>287.8211048330495</v>
      </c>
      <c r="E956">
        <f t="shared" si="713"/>
        <v>331.33589035604132</v>
      </c>
      <c r="F956">
        <f t="shared" si="713"/>
        <v>272.55529652848344</v>
      </c>
      <c r="G956">
        <f t="shared" si="713"/>
        <v>172.60547129047561</v>
      </c>
      <c r="H956">
        <f t="shared" si="713"/>
        <v>168.23254130367755</v>
      </c>
      <c r="I956">
        <f t="shared" si="713"/>
        <v>163.45003462602119</v>
      </c>
      <c r="J956">
        <f t="shared" si="713"/>
        <v>220.50346291883847</v>
      </c>
      <c r="K956">
        <f t="shared" si="713"/>
        <v>147.89230472065063</v>
      </c>
      <c r="L956">
        <f t="shared" si="713"/>
        <v>122.60681728331699</v>
      </c>
      <c r="M956">
        <f t="shared" si="713"/>
        <v>250.0069519100791</v>
      </c>
      <c r="N956">
        <f t="shared" si="713"/>
        <v>289.07986798294689</v>
      </c>
      <c r="O956">
        <f t="shared" si="713"/>
        <v>449.73219874364332</v>
      </c>
      <c r="P956">
        <f t="shared" si="713"/>
        <v>226.02402386427238</v>
      </c>
      <c r="Q956">
        <f t="shared" si="713"/>
        <v>80.286856919201639</v>
      </c>
      <c r="R956">
        <f t="shared" si="713"/>
        <v>143.76913895047056</v>
      </c>
      <c r="S956">
        <f t="shared" si="713"/>
        <v>349.20771274257231</v>
      </c>
      <c r="T956">
        <f t="shared" si="713"/>
        <v>142.60314158228857</v>
      </c>
      <c r="U956">
        <f t="shared" si="713"/>
        <v>107.35448458128509</v>
      </c>
      <c r="V956">
        <f t="shared" si="713"/>
        <v>109.61727882062965</v>
      </c>
      <c r="W956">
        <f t="shared" si="713"/>
        <v>176.54591054576781</v>
      </c>
      <c r="Y956" s="6">
        <f t="shared" si="694"/>
        <v>4211.2304905037126</v>
      </c>
      <c r="Z956">
        <f t="shared" si="695"/>
        <v>-328.78785058214021</v>
      </c>
    </row>
    <row r="957" spans="1:26" x14ac:dyDescent="0.25">
      <c r="A957" t="s">
        <v>62</v>
      </c>
      <c r="D957">
        <f t="shared" ref="D957:W957" si="714">D165*D237</f>
        <v>162.71546178739027</v>
      </c>
      <c r="E957">
        <f t="shared" si="714"/>
        <v>144.42202385979195</v>
      </c>
      <c r="F957">
        <f t="shared" si="714"/>
        <v>180.08394168455271</v>
      </c>
      <c r="G957">
        <f t="shared" si="714"/>
        <v>170.67894244331009</v>
      </c>
      <c r="H957">
        <f t="shared" si="714"/>
        <v>176.40747955202482</v>
      </c>
      <c r="I957">
        <f t="shared" si="714"/>
        <v>213.46708273771847</v>
      </c>
      <c r="J957">
        <f t="shared" si="714"/>
        <v>183.84275416712694</v>
      </c>
      <c r="K957">
        <f t="shared" si="714"/>
        <v>185.65343944550625</v>
      </c>
      <c r="L957">
        <f t="shared" si="714"/>
        <v>244.25389899663674</v>
      </c>
      <c r="M957">
        <f t="shared" si="714"/>
        <v>125.31578818831382</v>
      </c>
      <c r="N957">
        <f t="shared" si="714"/>
        <v>151.65356605440866</v>
      </c>
      <c r="O957">
        <f t="shared" si="714"/>
        <v>157.08519829899501</v>
      </c>
      <c r="P957">
        <f t="shared" si="714"/>
        <v>141.30934911874266</v>
      </c>
      <c r="Q957">
        <f t="shared" si="714"/>
        <v>186.23786126607772</v>
      </c>
      <c r="R957">
        <f t="shared" si="714"/>
        <v>388.57156062816222</v>
      </c>
      <c r="S957">
        <f t="shared" si="714"/>
        <v>290.39348439118163</v>
      </c>
      <c r="T957">
        <f t="shared" si="714"/>
        <v>15.237403519547565</v>
      </c>
      <c r="U957">
        <f t="shared" si="714"/>
        <v>169.66024772155538</v>
      </c>
      <c r="V957">
        <f t="shared" si="714"/>
        <v>169.08608604100203</v>
      </c>
      <c r="W957">
        <f t="shared" si="714"/>
        <v>121.43915691369894</v>
      </c>
      <c r="Y957" s="6">
        <f t="shared" si="694"/>
        <v>3577.5147268157434</v>
      </c>
      <c r="Z957">
        <f t="shared" si="695"/>
        <v>-278.93062910623473</v>
      </c>
    </row>
    <row r="958" spans="1:26" x14ac:dyDescent="0.25">
      <c r="A958" t="s">
        <v>63</v>
      </c>
      <c r="D958">
        <f t="shared" ref="D958:W958" si="715">D166*D238</f>
        <v>178.29994607691097</v>
      </c>
      <c r="E958">
        <f t="shared" si="715"/>
        <v>167.66655321810234</v>
      </c>
      <c r="F958">
        <f t="shared" si="715"/>
        <v>198.50431687492488</v>
      </c>
      <c r="G958">
        <f t="shared" si="715"/>
        <v>173.35861120135078</v>
      </c>
      <c r="H958">
        <f t="shared" si="715"/>
        <v>287.85554068691556</v>
      </c>
      <c r="I958">
        <f t="shared" si="715"/>
        <v>185.02868807527398</v>
      </c>
      <c r="J958">
        <f t="shared" si="715"/>
        <v>174.38838224490129</v>
      </c>
      <c r="K958">
        <f t="shared" si="715"/>
        <v>163.46566234382809</v>
      </c>
      <c r="L958">
        <f t="shared" si="715"/>
        <v>248.57792994732657</v>
      </c>
      <c r="M958">
        <f t="shared" si="715"/>
        <v>267.84810323479468</v>
      </c>
      <c r="N958">
        <f t="shared" si="715"/>
        <v>78.406235735147433</v>
      </c>
      <c r="O958">
        <f t="shared" si="715"/>
        <v>228.41793392770464</v>
      </c>
      <c r="P958">
        <f t="shared" si="715"/>
        <v>61.532027233037724</v>
      </c>
      <c r="Q958">
        <f t="shared" si="715"/>
        <v>100.55616873928973</v>
      </c>
      <c r="R958">
        <f t="shared" si="715"/>
        <v>147.83860009235084</v>
      </c>
      <c r="S958">
        <f t="shared" si="715"/>
        <v>289.15879817806683</v>
      </c>
      <c r="T958">
        <f t="shared" si="715"/>
        <v>161.07327646607277</v>
      </c>
      <c r="U958">
        <f t="shared" si="715"/>
        <v>99.727904620731778</v>
      </c>
      <c r="V958">
        <f t="shared" si="715"/>
        <v>315.27074475403271</v>
      </c>
      <c r="W958">
        <f t="shared" si="715"/>
        <v>275.73798501772723</v>
      </c>
      <c r="Y958" s="6">
        <f t="shared" si="694"/>
        <v>3802.7134086684914</v>
      </c>
      <c r="Z958">
        <f t="shared" si="695"/>
        <v>-297.21693576862776</v>
      </c>
    </row>
    <row r="959" spans="1:26" x14ac:dyDescent="0.25">
      <c r="A959" t="s">
        <v>64</v>
      </c>
      <c r="D959">
        <f t="shared" ref="D959:W959" si="716">D167*D239</f>
        <v>257.97269335513903</v>
      </c>
      <c r="E959">
        <f t="shared" si="716"/>
        <v>282.09217305321414</v>
      </c>
      <c r="F959">
        <f t="shared" si="716"/>
        <v>261.5944765923922</v>
      </c>
      <c r="G959">
        <f t="shared" si="716"/>
        <v>181.01480902233158</v>
      </c>
      <c r="H959">
        <f t="shared" si="716"/>
        <v>166.748317801589</v>
      </c>
      <c r="I959">
        <f t="shared" si="716"/>
        <v>328.31171514792442</v>
      </c>
      <c r="J959">
        <f t="shared" si="716"/>
        <v>185.44665663171472</v>
      </c>
      <c r="K959">
        <f t="shared" si="716"/>
        <v>238.38623080059702</v>
      </c>
      <c r="L959">
        <f t="shared" si="716"/>
        <v>318.7623402697867</v>
      </c>
      <c r="M959">
        <f t="shared" si="716"/>
        <v>257.25151623657104</v>
      </c>
      <c r="N959">
        <f t="shared" si="716"/>
        <v>123.82574894961519</v>
      </c>
      <c r="O959">
        <f t="shared" si="716"/>
        <v>205.27586456898118</v>
      </c>
      <c r="P959">
        <f t="shared" si="716"/>
        <v>145.62456871897581</v>
      </c>
      <c r="Q959">
        <f t="shared" si="716"/>
        <v>408.05022236414095</v>
      </c>
      <c r="R959">
        <f t="shared" si="716"/>
        <v>446.07111077881649</v>
      </c>
      <c r="S959">
        <f t="shared" si="716"/>
        <v>222.01429382121387</v>
      </c>
      <c r="T959">
        <f t="shared" si="716"/>
        <v>213.75765302230107</v>
      </c>
      <c r="U959">
        <f t="shared" si="716"/>
        <v>165.76170186435988</v>
      </c>
      <c r="V959">
        <f t="shared" si="716"/>
        <v>161.09251735160368</v>
      </c>
      <c r="W959">
        <f t="shared" si="716"/>
        <v>173.07065177205257</v>
      </c>
      <c r="Y959" s="6">
        <f t="shared" si="694"/>
        <v>4742.1252621233198</v>
      </c>
      <c r="Z959">
        <f t="shared" si="695"/>
        <v>-363.02950000087952</v>
      </c>
    </row>
    <row r="960" spans="1:26" x14ac:dyDescent="0.25">
      <c r="A960" t="s">
        <v>65</v>
      </c>
      <c r="D960">
        <f t="shared" ref="D960:W960" si="717">D168*D240</f>
        <v>293.82137858080671</v>
      </c>
      <c r="E960">
        <f t="shared" si="717"/>
        <v>207.39594696489823</v>
      </c>
      <c r="F960">
        <f t="shared" si="717"/>
        <v>127.30739895718466</v>
      </c>
      <c r="G960">
        <f t="shared" si="717"/>
        <v>89.409124814326745</v>
      </c>
      <c r="H960">
        <f t="shared" si="717"/>
        <v>292.99898912710438</v>
      </c>
      <c r="I960">
        <f t="shared" si="717"/>
        <v>258.51958721586379</v>
      </c>
      <c r="J960">
        <f t="shared" si="717"/>
        <v>143.00608893683142</v>
      </c>
      <c r="K960">
        <f t="shared" si="717"/>
        <v>152.08229409392624</v>
      </c>
      <c r="L960">
        <f t="shared" si="717"/>
        <v>184.03012497549074</v>
      </c>
      <c r="M960">
        <f t="shared" si="717"/>
        <v>219.2833690061386</v>
      </c>
      <c r="N960">
        <f t="shared" si="717"/>
        <v>148.17184706972787</v>
      </c>
      <c r="O960">
        <f t="shared" si="717"/>
        <v>108.28966183276454</v>
      </c>
      <c r="P960">
        <f t="shared" si="717"/>
        <v>86.595673338374567</v>
      </c>
      <c r="Q960">
        <f t="shared" si="717"/>
        <v>136.57015819547314</v>
      </c>
      <c r="R960">
        <f t="shared" si="717"/>
        <v>16.514474307832501</v>
      </c>
      <c r="S960">
        <f t="shared" si="717"/>
        <v>39.191028205803356</v>
      </c>
      <c r="T960">
        <f t="shared" si="717"/>
        <v>73.073740575555163</v>
      </c>
      <c r="U960">
        <f t="shared" si="717"/>
        <v>46.718808225613344</v>
      </c>
      <c r="V960">
        <f t="shared" si="717"/>
        <v>77.368306791225365</v>
      </c>
      <c r="W960">
        <f t="shared" si="717"/>
        <v>90.432005464697895</v>
      </c>
      <c r="Y960" s="6">
        <f t="shared" si="694"/>
        <v>2790.7800066796399</v>
      </c>
      <c r="Z960">
        <f t="shared" si="695"/>
        <v>-132.07008436525072</v>
      </c>
    </row>
    <row r="961" spans="1:26" x14ac:dyDescent="0.25">
      <c r="A961" t="s">
        <v>66</v>
      </c>
      <c r="D961">
        <f t="shared" ref="D961:W961" si="718">D169*D241</f>
        <v>238.37250523969146</v>
      </c>
      <c r="E961">
        <f t="shared" si="718"/>
        <v>189.05274001930221</v>
      </c>
      <c r="F961">
        <f t="shared" si="718"/>
        <v>199.54483223438618</v>
      </c>
      <c r="G961">
        <f t="shared" si="718"/>
        <v>101.07939425812268</v>
      </c>
      <c r="H961">
        <f t="shared" si="718"/>
        <v>420.89106658137126</v>
      </c>
      <c r="I961">
        <f t="shared" si="718"/>
        <v>465.14569311525844</v>
      </c>
      <c r="J961">
        <f t="shared" si="718"/>
        <v>379.09124704567409</v>
      </c>
      <c r="K961">
        <f t="shared" si="718"/>
        <v>450.81373703229991</v>
      </c>
      <c r="L961">
        <f t="shared" si="718"/>
        <v>251.84306403156918</v>
      </c>
      <c r="M961">
        <f t="shared" si="718"/>
        <v>114.70625089158229</v>
      </c>
      <c r="N961">
        <f t="shared" si="718"/>
        <v>233.8065947388003</v>
      </c>
      <c r="O961">
        <f t="shared" si="718"/>
        <v>405.02414781147854</v>
      </c>
      <c r="P961">
        <f t="shared" si="718"/>
        <v>200.1962437963638</v>
      </c>
      <c r="Q961">
        <f t="shared" si="718"/>
        <v>100.3433331577862</v>
      </c>
      <c r="R961">
        <f t="shared" si="718"/>
        <v>154.31083594084873</v>
      </c>
      <c r="S961">
        <f t="shared" si="718"/>
        <v>153.91718555840029</v>
      </c>
      <c r="T961">
        <f t="shared" si="718"/>
        <v>98.073295315536299</v>
      </c>
      <c r="U961">
        <f t="shared" si="718"/>
        <v>116.54678821932903</v>
      </c>
      <c r="V961">
        <f t="shared" si="718"/>
        <v>87.051838921892369</v>
      </c>
      <c r="W961">
        <f t="shared" si="718"/>
        <v>31.651310480907817</v>
      </c>
      <c r="Y961" s="6">
        <f t="shared" si="694"/>
        <v>4391.4621043906018</v>
      </c>
      <c r="Z961">
        <f t="shared" si="695"/>
        <v>-336.24032728294111</v>
      </c>
    </row>
    <row r="962" spans="1:26" x14ac:dyDescent="0.25">
      <c r="A962" t="s">
        <v>67</v>
      </c>
      <c r="D962">
        <f t="shared" ref="D962:W962" si="719">D170*D242</f>
        <v>138.64315826626475</v>
      </c>
      <c r="E962">
        <f t="shared" si="719"/>
        <v>228.74911512561414</v>
      </c>
      <c r="F962">
        <f t="shared" si="719"/>
        <v>525.18251621897048</v>
      </c>
      <c r="G962">
        <f t="shared" si="719"/>
        <v>184.31525067902302</v>
      </c>
      <c r="H962">
        <f t="shared" si="719"/>
        <v>286.64331382323138</v>
      </c>
      <c r="I962">
        <f t="shared" si="719"/>
        <v>324.8362697153795</v>
      </c>
      <c r="J962">
        <f t="shared" si="719"/>
        <v>378.11027304232795</v>
      </c>
      <c r="K962">
        <f t="shared" si="719"/>
        <v>494.74878232409941</v>
      </c>
      <c r="L962">
        <f t="shared" si="719"/>
        <v>186.78143105586699</v>
      </c>
      <c r="M962">
        <f t="shared" si="719"/>
        <v>215.9318871184619</v>
      </c>
      <c r="N962">
        <f t="shared" si="719"/>
        <v>186.94065662136276</v>
      </c>
      <c r="O962">
        <f t="shared" si="719"/>
        <v>218.993420035208</v>
      </c>
      <c r="P962">
        <f t="shared" si="719"/>
        <v>173.01962729632271</v>
      </c>
      <c r="Q962">
        <f t="shared" si="719"/>
        <v>166.79934136066612</v>
      </c>
      <c r="R962">
        <f t="shared" si="719"/>
        <v>157.36420748937394</v>
      </c>
      <c r="S962">
        <f t="shared" si="719"/>
        <v>191.76177773088128</v>
      </c>
      <c r="T962">
        <f t="shared" si="719"/>
        <v>123.76850246944936</v>
      </c>
      <c r="U962">
        <f t="shared" si="719"/>
        <v>128.49350161924087</v>
      </c>
      <c r="V962">
        <f t="shared" si="719"/>
        <v>174.08981044393968</v>
      </c>
      <c r="W962">
        <f t="shared" si="719"/>
        <v>74.200259799173878</v>
      </c>
      <c r="Y962" s="6">
        <f t="shared" si="694"/>
        <v>4559.3731022348584</v>
      </c>
      <c r="Z962">
        <f t="shared" si="695"/>
        <v>-362.54447711440355</v>
      </c>
    </row>
    <row r="963" spans="1:26" x14ac:dyDescent="0.25">
      <c r="A963" t="s">
        <v>68</v>
      </c>
      <c r="D963">
        <f t="shared" ref="D963:W963" si="720">D171*D243</f>
        <v>475.52328504587939</v>
      </c>
      <c r="E963">
        <f t="shared" si="720"/>
        <v>814.62978142489555</v>
      </c>
      <c r="F963">
        <f t="shared" si="720"/>
        <v>1242.0469875584672</v>
      </c>
      <c r="G963">
        <f t="shared" si="720"/>
        <v>906.91772848239395</v>
      </c>
      <c r="H963">
        <f t="shared" si="720"/>
        <v>591.78258950006648</v>
      </c>
      <c r="I963">
        <f t="shared" si="720"/>
        <v>381.31834058597065</v>
      </c>
      <c r="J963">
        <f t="shared" si="720"/>
        <v>317.88171226164269</v>
      </c>
      <c r="K963">
        <f t="shared" si="720"/>
        <v>602.04898796471832</v>
      </c>
      <c r="L963">
        <f t="shared" si="720"/>
        <v>541.86541161108846</v>
      </c>
      <c r="M963">
        <f t="shared" si="720"/>
        <v>141.79869020929635</v>
      </c>
      <c r="N963">
        <f t="shared" si="720"/>
        <v>267.8158546346441</v>
      </c>
      <c r="O963">
        <f t="shared" si="720"/>
        <v>261.39537933970433</v>
      </c>
      <c r="P963">
        <f t="shared" si="720"/>
        <v>174.39442780242703</v>
      </c>
      <c r="Q963">
        <f t="shared" si="720"/>
        <v>272.93129735312112</v>
      </c>
      <c r="R963">
        <f t="shared" si="720"/>
        <v>398.71745010065217</v>
      </c>
      <c r="S963">
        <f t="shared" si="720"/>
        <v>425.6513500180323</v>
      </c>
      <c r="T963">
        <f t="shared" si="720"/>
        <v>275.76346654381393</v>
      </c>
      <c r="U963">
        <f t="shared" si="720"/>
        <v>251.24142314563994</v>
      </c>
      <c r="V963">
        <f t="shared" si="720"/>
        <v>138.95705828143275</v>
      </c>
      <c r="W963">
        <f t="shared" si="720"/>
        <v>73.533990175155367</v>
      </c>
      <c r="Y963" s="6">
        <f t="shared" si="694"/>
        <v>8556.2152120390419</v>
      </c>
      <c r="Z963">
        <f t="shared" si="695"/>
        <v>-303.52119072117483</v>
      </c>
    </row>
    <row r="964" spans="1:26" x14ac:dyDescent="0.25">
      <c r="A964" t="s">
        <v>69</v>
      </c>
      <c r="D964">
        <f t="shared" ref="D964:W964" si="721">D172*D244</f>
        <v>251.30776852999395</v>
      </c>
      <c r="E964">
        <f t="shared" si="721"/>
        <v>310.97038260158854</v>
      </c>
      <c r="F964">
        <f t="shared" si="721"/>
        <v>251.21733562332551</v>
      </c>
      <c r="G964">
        <f t="shared" si="721"/>
        <v>264.40930741860001</v>
      </c>
      <c r="H964">
        <f t="shared" si="721"/>
        <v>268.23680007984348</v>
      </c>
      <c r="I964">
        <f t="shared" si="721"/>
        <v>375.06664186460722</v>
      </c>
      <c r="J964">
        <f t="shared" si="721"/>
        <v>120.85776154171231</v>
      </c>
      <c r="K964">
        <f t="shared" si="721"/>
        <v>227.19835630765641</v>
      </c>
      <c r="L964">
        <f t="shared" si="721"/>
        <v>135.40879004920444</v>
      </c>
      <c r="M964">
        <f t="shared" si="721"/>
        <v>223.67570772815134</v>
      </c>
      <c r="N964">
        <f t="shared" si="721"/>
        <v>203.84863922769827</v>
      </c>
      <c r="O964">
        <f t="shared" si="721"/>
        <v>236.04280643800226</v>
      </c>
      <c r="P964">
        <f t="shared" si="721"/>
        <v>180.72285165703428</v>
      </c>
      <c r="Q964">
        <f t="shared" si="721"/>
        <v>395.92400397866265</v>
      </c>
      <c r="R964">
        <f t="shared" si="721"/>
        <v>102.36976408012734</v>
      </c>
      <c r="S964">
        <f t="shared" si="721"/>
        <v>99.148632090320518</v>
      </c>
      <c r="T964">
        <f t="shared" si="721"/>
        <v>99.566790319622058</v>
      </c>
      <c r="U964">
        <f t="shared" si="721"/>
        <v>161.5829213514848</v>
      </c>
      <c r="V964">
        <f t="shared" si="721"/>
        <v>83.330243003742083</v>
      </c>
      <c r="W964">
        <f t="shared" si="721"/>
        <v>106.14110263002675</v>
      </c>
      <c r="Y964" s="6">
        <f t="shared" si="694"/>
        <v>4097.0266065214046</v>
      </c>
      <c r="Z964">
        <f t="shared" si="695"/>
        <v>-262.3030118839693</v>
      </c>
    </row>
    <row r="965" spans="1:26" x14ac:dyDescent="0.25">
      <c r="Y965" s="6"/>
    </row>
    <row r="966" spans="1:26" x14ac:dyDescent="0.25">
      <c r="A966" t="s">
        <v>70</v>
      </c>
      <c r="D966">
        <f t="shared" ref="D966:W966" si="722">D174*D246</f>
        <v>179.85871538295248</v>
      </c>
      <c r="E966">
        <f t="shared" si="722"/>
        <v>192.61189313345929</v>
      </c>
      <c r="F966">
        <f t="shared" si="722"/>
        <v>177.26480792534105</v>
      </c>
      <c r="G966">
        <f t="shared" si="722"/>
        <v>155.89797275306691</v>
      </c>
      <c r="H966">
        <f t="shared" si="722"/>
        <v>213.74488137365319</v>
      </c>
      <c r="I966">
        <f t="shared" si="722"/>
        <v>284.68394037647931</v>
      </c>
      <c r="J966">
        <f t="shared" si="722"/>
        <v>242.28752412611811</v>
      </c>
      <c r="K966">
        <f t="shared" si="722"/>
        <v>242.52089696867077</v>
      </c>
      <c r="L966">
        <f t="shared" si="722"/>
        <v>604.12880462269754</v>
      </c>
      <c r="M966">
        <f t="shared" si="722"/>
        <v>194.7002373611364</v>
      </c>
      <c r="N966">
        <f t="shared" si="722"/>
        <v>170.53430848066458</v>
      </c>
      <c r="O966">
        <f t="shared" si="722"/>
        <v>222.5086837021646</v>
      </c>
      <c r="P966">
        <f t="shared" si="722"/>
        <v>143.14292251193328</v>
      </c>
      <c r="Q966">
        <f t="shared" si="722"/>
        <v>228.58173644499379</v>
      </c>
      <c r="R966">
        <f t="shared" si="722"/>
        <v>197.62698758603665</v>
      </c>
      <c r="S966">
        <f t="shared" si="722"/>
        <v>196.61386597201201</v>
      </c>
      <c r="T966">
        <f t="shared" si="722"/>
        <v>119.93873657258733</v>
      </c>
      <c r="U966">
        <f t="shared" si="722"/>
        <v>136.6318786406305</v>
      </c>
      <c r="V966">
        <f t="shared" si="722"/>
        <v>143.22584216904841</v>
      </c>
      <c r="W966">
        <f t="shared" si="722"/>
        <v>109.02416033902632</v>
      </c>
      <c r="Y966" s="6">
        <f t="shared" si="694"/>
        <v>4155.5287964426725</v>
      </c>
      <c r="Z966">
        <f>SUMPRODUCT($D$970:$W$970,D966:W966)</f>
        <v>-359.42633111055977</v>
      </c>
    </row>
    <row r="967" spans="1:26" x14ac:dyDescent="0.25">
      <c r="A967" t="s">
        <v>313</v>
      </c>
      <c r="D967">
        <f t="shared" ref="D967:W967" si="723">D175*D247</f>
        <v>371.93192492270344</v>
      </c>
      <c r="E967">
        <f t="shared" si="723"/>
        <v>424.8260658634432</v>
      </c>
      <c r="F967">
        <f t="shared" si="723"/>
        <v>328.42421659799567</v>
      </c>
      <c r="G967">
        <f t="shared" si="723"/>
        <v>340.49432459162585</v>
      </c>
      <c r="H967">
        <f t="shared" si="723"/>
        <v>427.66530174595846</v>
      </c>
      <c r="I967">
        <f t="shared" si="723"/>
        <v>347.49693664325486</v>
      </c>
      <c r="J967">
        <f t="shared" si="723"/>
        <v>281.58281036004473</v>
      </c>
      <c r="K967">
        <f t="shared" si="723"/>
        <v>426.63171570323755</v>
      </c>
      <c r="L967">
        <f t="shared" si="723"/>
        <v>219.49210651358158</v>
      </c>
      <c r="M967">
        <f t="shared" si="723"/>
        <v>217.68428329561129</v>
      </c>
      <c r="N967">
        <f t="shared" si="723"/>
        <v>175.3531708698207</v>
      </c>
      <c r="O967">
        <f t="shared" si="723"/>
        <v>259.14831330135269</v>
      </c>
      <c r="P967">
        <f t="shared" si="723"/>
        <v>738.43</v>
      </c>
      <c r="Q967">
        <f t="shared" si="723"/>
        <v>952</v>
      </c>
      <c r="R967">
        <f t="shared" si="723"/>
        <v>766.26</v>
      </c>
      <c r="S967">
        <f t="shared" si="723"/>
        <v>212.43</v>
      </c>
      <c r="T967">
        <f t="shared" si="723"/>
        <v>128.16</v>
      </c>
      <c r="U967">
        <f t="shared" si="723"/>
        <v>179.01</v>
      </c>
      <c r="V967">
        <f t="shared" si="723"/>
        <v>154.71</v>
      </c>
      <c r="W967">
        <f t="shared" si="723"/>
        <v>115.02</v>
      </c>
      <c r="Y967" s="6">
        <f t="shared" si="694"/>
        <v>7066.751170408631</v>
      </c>
      <c r="Z967">
        <f>SUMPRODUCT($D$970:$W$970,D967:W967)</f>
        <v>-629.10366755122413</v>
      </c>
    </row>
    <row r="968" spans="1:26" x14ac:dyDescent="0.25">
      <c r="A968" t="s">
        <v>314</v>
      </c>
      <c r="D968">
        <f t="shared" ref="D968:W968" si="724">D176*D248</f>
        <v>357.80176106722223</v>
      </c>
      <c r="E968">
        <f t="shared" si="724"/>
        <v>392.25953556302005</v>
      </c>
      <c r="F968">
        <f t="shared" si="724"/>
        <v>376.93917454103013</v>
      </c>
      <c r="G968">
        <f t="shared" si="724"/>
        <v>179.96543001761066</v>
      </c>
      <c r="H968">
        <f t="shared" si="724"/>
        <v>377.87083214418044</v>
      </c>
      <c r="I968">
        <f t="shared" si="724"/>
        <v>167.70440085473592</v>
      </c>
      <c r="J968">
        <f t="shared" si="724"/>
        <v>144.21060091526255</v>
      </c>
      <c r="K968">
        <f t="shared" si="724"/>
        <v>164.98000000000002</v>
      </c>
      <c r="L968">
        <f t="shared" si="724"/>
        <v>285.10377206365155</v>
      </c>
      <c r="M968">
        <f t="shared" si="724"/>
        <v>360.00002127637725</v>
      </c>
      <c r="N968">
        <f t="shared" si="724"/>
        <v>225.93824087002665</v>
      </c>
      <c r="O968">
        <f t="shared" si="724"/>
        <v>178.8089747349307</v>
      </c>
      <c r="P968">
        <f t="shared" si="724"/>
        <v>144.71626214110267</v>
      </c>
      <c r="Q968">
        <f t="shared" si="724"/>
        <v>164.76592305483678</v>
      </c>
      <c r="R968">
        <f t="shared" si="724"/>
        <v>176.98600087483734</v>
      </c>
      <c r="S968">
        <f t="shared" si="724"/>
        <v>203.79891866860746</v>
      </c>
      <c r="T968">
        <f t="shared" si="724"/>
        <v>116.1852031075921</v>
      </c>
      <c r="U968">
        <f t="shared" si="724"/>
        <v>121.72389126007982</v>
      </c>
      <c r="V968">
        <f t="shared" si="724"/>
        <v>137.49299156327268</v>
      </c>
      <c r="W968">
        <f t="shared" si="724"/>
        <v>121.55109621350105</v>
      </c>
      <c r="Y968" s="6">
        <f t="shared" si="694"/>
        <v>4398.8030309318783</v>
      </c>
      <c r="Z968">
        <f>SUMPRODUCT($D$970:$W$970,D968:W968)</f>
        <v>-239.05207233268683</v>
      </c>
    </row>
    <row r="969" spans="1:26" x14ac:dyDescent="0.25">
      <c r="A969" t="s">
        <v>658</v>
      </c>
      <c r="D969">
        <f t="shared" ref="D969:W969" si="725">D177*D249</f>
        <v>700.12530812102432</v>
      </c>
      <c r="E969">
        <f t="shared" si="725"/>
        <v>444.15444006237107</v>
      </c>
      <c r="F969">
        <f t="shared" si="725"/>
        <v>746.10852675713045</v>
      </c>
      <c r="G969">
        <f t="shared" si="725"/>
        <v>869.48833904328296</v>
      </c>
      <c r="H969">
        <f t="shared" si="725"/>
        <v>659.49955857311011</v>
      </c>
      <c r="I969">
        <f t="shared" si="725"/>
        <v>334.65</v>
      </c>
      <c r="J969">
        <f t="shared" si="725"/>
        <v>243.2</v>
      </c>
      <c r="K969">
        <f t="shared" si="725"/>
        <v>330.19</v>
      </c>
      <c r="L969">
        <f t="shared" si="725"/>
        <v>225</v>
      </c>
      <c r="M969">
        <f t="shared" si="725"/>
        <v>182.16</v>
      </c>
      <c r="N969">
        <f t="shared" si="725"/>
        <v>184.79999999999998</v>
      </c>
      <c r="O969">
        <f t="shared" si="725"/>
        <v>217.44</v>
      </c>
      <c r="P969">
        <f t="shared" si="725"/>
        <v>415.35024749077786</v>
      </c>
      <c r="Q969">
        <f t="shared" si="725"/>
        <v>486.55799878968014</v>
      </c>
      <c r="R969">
        <f t="shared" si="725"/>
        <v>383.21813333178505</v>
      </c>
      <c r="S969">
        <f t="shared" si="725"/>
        <v>412.39000000000004</v>
      </c>
      <c r="T969">
        <f t="shared" si="725"/>
        <v>128.73555951635618</v>
      </c>
      <c r="U969">
        <f t="shared" si="725"/>
        <v>121.48549653517151</v>
      </c>
      <c r="V969">
        <f t="shared" si="725"/>
        <v>142.38721245425569</v>
      </c>
      <c r="W969">
        <f t="shared" si="725"/>
        <v>146.05031105991208</v>
      </c>
      <c r="Y969" s="6">
        <f t="shared" ref="Y969" si="726">SUM(D969:W969)</f>
        <v>7372.9911317348578</v>
      </c>
      <c r="Z969">
        <f>SUMPRODUCT($D$970:$W$970,D969:W969)</f>
        <v>-257.89710002855099</v>
      </c>
    </row>
    <row r="970" spans="1:26" x14ac:dyDescent="0.25">
      <c r="A970" s="2" t="s">
        <v>71</v>
      </c>
      <c r="D970" s="3">
        <f>CORREL($B$2:$B$28,D938:D964)</f>
        <v>0.24053714280696228</v>
      </c>
      <c r="E970" s="3">
        <f t="shared" ref="E970:W970" si="727">CORREL($B$2:$B$28,E938:E964)</f>
        <v>0.11728439586906929</v>
      </c>
      <c r="F970" s="3">
        <f t="shared" si="727"/>
        <v>1.9499365780107081E-2</v>
      </c>
      <c r="G970" s="3">
        <f t="shared" si="727"/>
        <v>4.0812549314676129E-2</v>
      </c>
      <c r="H970" s="3">
        <f t="shared" si="727"/>
        <v>1.9409649150859007E-2</v>
      </c>
      <c r="I970" s="3">
        <f t="shared" si="727"/>
        <v>0.12626568106878816</v>
      </c>
      <c r="J970" s="3">
        <f t="shared" si="727"/>
        <v>-0.23773717946170092</v>
      </c>
      <c r="K970" s="3">
        <f t="shared" si="727"/>
        <v>-0.10859963410818518</v>
      </c>
      <c r="L970" s="3">
        <f t="shared" si="727"/>
        <v>-0.11965212689880439</v>
      </c>
      <c r="M970" s="3">
        <f t="shared" si="727"/>
        <v>-0.14420645493524004</v>
      </c>
      <c r="N970" s="3">
        <f t="shared" si="727"/>
        <v>-0.2759669820562265</v>
      </c>
      <c r="O970" s="3">
        <f t="shared" si="727"/>
        <v>-0.23516091068540157</v>
      </c>
      <c r="P970" s="3">
        <f t="shared" si="727"/>
        <v>-0.2372786700440111</v>
      </c>
      <c r="Q970" s="3">
        <f t="shared" si="727"/>
        <v>-0.23373663306633619</v>
      </c>
      <c r="R970" s="3">
        <f t="shared" si="727"/>
        <v>-8.5015379036678343E-2</v>
      </c>
      <c r="S970" s="3">
        <f t="shared" si="727"/>
        <v>-2.4159989714292469E-3</v>
      </c>
      <c r="T970" s="3">
        <f t="shared" si="727"/>
        <v>-0.22204242464337826</v>
      </c>
      <c r="U970" s="3">
        <f t="shared" si="727"/>
        <v>-0.12331420306342784</v>
      </c>
      <c r="V970" s="3">
        <f t="shared" si="727"/>
        <v>-0.26302920994030032</v>
      </c>
      <c r="W970" s="3">
        <f t="shared" si="727"/>
        <v>-5.2129445467041083E-2</v>
      </c>
    </row>
    <row r="973" spans="1:26" x14ac:dyDescent="0.25">
      <c r="D973" t="s">
        <v>300</v>
      </c>
      <c r="E973" t="s">
        <v>301</v>
      </c>
      <c r="F973" t="s">
        <v>302</v>
      </c>
      <c r="G973" t="s">
        <v>303</v>
      </c>
      <c r="H973" t="s">
        <v>304</v>
      </c>
      <c r="I973" t="s">
        <v>305</v>
      </c>
      <c r="J973" t="s">
        <v>306</v>
      </c>
      <c r="K973" t="s">
        <v>307</v>
      </c>
      <c r="L973" t="s">
        <v>342</v>
      </c>
      <c r="M973" t="s">
        <v>424</v>
      </c>
      <c r="N973" t="s">
        <v>425</v>
      </c>
      <c r="O973" t="s">
        <v>426</v>
      </c>
      <c r="P973" t="s">
        <v>542</v>
      </c>
      <c r="Q973" t="s">
        <v>543</v>
      </c>
      <c r="R973" t="s">
        <v>544</v>
      </c>
      <c r="S973" t="s">
        <v>545</v>
      </c>
      <c r="T973" t="s">
        <v>654</v>
      </c>
      <c r="U973" t="s">
        <v>655</v>
      </c>
      <c r="V973" t="s">
        <v>656</v>
      </c>
      <c r="W973" t="s">
        <v>657</v>
      </c>
      <c r="Y973" t="s">
        <v>308</v>
      </c>
      <c r="Z973" t="s">
        <v>309</v>
      </c>
    </row>
    <row r="974" spans="1:26" x14ac:dyDescent="0.25">
      <c r="A974" t="s">
        <v>43</v>
      </c>
      <c r="D974">
        <f t="shared" ref="D974:W974" si="728">D182*D218</f>
        <v>74.779043055234609</v>
      </c>
      <c r="E974">
        <f t="shared" si="728"/>
        <v>66.872664855984851</v>
      </c>
      <c r="F974">
        <f t="shared" si="728"/>
        <v>49.474254723834349</v>
      </c>
      <c r="G974">
        <f t="shared" si="728"/>
        <v>74.520256218604516</v>
      </c>
      <c r="H974">
        <f t="shared" si="728"/>
        <v>62.645505369332454</v>
      </c>
      <c r="I974">
        <f t="shared" si="728"/>
        <v>47.945532674545099</v>
      </c>
      <c r="J974">
        <f t="shared" si="728"/>
        <v>93.422622936142503</v>
      </c>
      <c r="K974">
        <f t="shared" si="728"/>
        <v>57.134473584565022</v>
      </c>
      <c r="L974">
        <f t="shared" si="728"/>
        <v>60.59487667934615</v>
      </c>
      <c r="M974">
        <f t="shared" si="728"/>
        <v>16.597344613754657</v>
      </c>
      <c r="N974">
        <f t="shared" si="728"/>
        <v>26.620093806391584</v>
      </c>
      <c r="O974">
        <f t="shared" si="728"/>
        <v>51.13229805183169</v>
      </c>
      <c r="P974">
        <f t="shared" si="728"/>
        <v>43.624873053666086</v>
      </c>
      <c r="Q974">
        <f t="shared" si="728"/>
        <v>45.198063222919082</v>
      </c>
      <c r="R974">
        <f t="shared" si="728"/>
        <v>49.293515975473703</v>
      </c>
      <c r="S974">
        <f t="shared" si="728"/>
        <v>46.600808533139791</v>
      </c>
      <c r="T974">
        <f t="shared" si="728"/>
        <v>30.015440630559468</v>
      </c>
      <c r="U974">
        <f t="shared" si="728"/>
        <v>25.327379456443364</v>
      </c>
      <c r="V974">
        <f t="shared" si="728"/>
        <v>74.715611965433098</v>
      </c>
      <c r="W974">
        <f t="shared" si="728"/>
        <v>46.060066609098342</v>
      </c>
      <c r="Y974" s="6">
        <f t="shared" ref="Y974:Y1004" si="729">SUM(D974:W974)</f>
        <v>1042.5747260163005</v>
      </c>
      <c r="Z974">
        <f t="shared" ref="Z974:Z1000" si="730">SUMPRODUCT($D$1006:$W$1006,D974:W974)</f>
        <v>-31.902386463861369</v>
      </c>
    </row>
    <row r="975" spans="1:26" x14ac:dyDescent="0.25">
      <c r="A975" t="s">
        <v>44</v>
      </c>
      <c r="D975">
        <f t="shared" ref="D975:W975" si="731">D183*D219</f>
        <v>53.70661001991602</v>
      </c>
      <c r="E975">
        <f t="shared" si="731"/>
        <v>46.322791335733548</v>
      </c>
      <c r="F975">
        <f t="shared" si="731"/>
        <v>119.03024657399365</v>
      </c>
      <c r="G975">
        <f t="shared" si="731"/>
        <v>43.252238795553041</v>
      </c>
      <c r="H975">
        <f t="shared" si="731"/>
        <v>47.550725706924197</v>
      </c>
      <c r="I975">
        <f t="shared" si="731"/>
        <v>35.436658256726879</v>
      </c>
      <c r="J975">
        <f t="shared" si="731"/>
        <v>25.074270340269532</v>
      </c>
      <c r="K975">
        <f t="shared" si="731"/>
        <v>16.498262083619057</v>
      </c>
      <c r="L975">
        <f t="shared" si="731"/>
        <v>23.828005455458911</v>
      </c>
      <c r="M975">
        <f t="shared" si="731"/>
        <v>37.135717517617508</v>
      </c>
      <c r="N975">
        <f t="shared" si="731"/>
        <v>93.322121589226256</v>
      </c>
      <c r="O975">
        <f t="shared" si="731"/>
        <v>48.363024467782743</v>
      </c>
      <c r="P975">
        <f t="shared" si="731"/>
        <v>19.997054156470014</v>
      </c>
      <c r="Q975">
        <f t="shared" si="731"/>
        <v>27.231019134234483</v>
      </c>
      <c r="R975">
        <f t="shared" si="731"/>
        <v>36.927138685625494</v>
      </c>
      <c r="S975">
        <f t="shared" si="731"/>
        <v>40.598913367894859</v>
      </c>
      <c r="T975">
        <f t="shared" si="731"/>
        <v>59.00276002635772</v>
      </c>
      <c r="U975">
        <f t="shared" si="731"/>
        <v>35.690157816464243</v>
      </c>
      <c r="V975">
        <f t="shared" si="731"/>
        <v>84.251417686183999</v>
      </c>
      <c r="W975">
        <f t="shared" si="731"/>
        <v>114.79815023615603</v>
      </c>
      <c r="Y975" s="6">
        <f t="shared" si="729"/>
        <v>1008.0172832522081</v>
      </c>
      <c r="Z975">
        <f t="shared" si="730"/>
        <v>-26.143004192454146</v>
      </c>
    </row>
    <row r="976" spans="1:26" x14ac:dyDescent="0.25">
      <c r="A976" t="s">
        <v>45</v>
      </c>
      <c r="D976">
        <f t="shared" ref="D976:W976" si="732">D184*D220</f>
        <v>52.787666332591421</v>
      </c>
      <c r="E976">
        <f t="shared" si="732"/>
        <v>21.413136409310063</v>
      </c>
      <c r="F976">
        <f t="shared" si="732"/>
        <v>26.526072681523683</v>
      </c>
      <c r="G976">
        <f t="shared" si="732"/>
        <v>72.838819859883785</v>
      </c>
      <c r="H976">
        <f t="shared" si="732"/>
        <v>100.9069139840106</v>
      </c>
      <c r="I976">
        <f t="shared" si="732"/>
        <v>48.89712021861363</v>
      </c>
      <c r="J976">
        <f t="shared" si="732"/>
        <v>81.126646527353458</v>
      </c>
      <c r="K976">
        <f t="shared" si="732"/>
        <v>42.882887270015623</v>
      </c>
      <c r="L976">
        <f t="shared" si="732"/>
        <v>50.786727846983112</v>
      </c>
      <c r="M976">
        <f t="shared" si="732"/>
        <v>48.00220321901444</v>
      </c>
      <c r="N976">
        <f t="shared" si="732"/>
        <v>69.221516950794779</v>
      </c>
      <c r="O976">
        <f t="shared" si="732"/>
        <v>45.366279496980511</v>
      </c>
      <c r="P976">
        <f t="shared" si="732"/>
        <v>18.908894670184232</v>
      </c>
      <c r="Q976">
        <f t="shared" si="732"/>
        <v>23.264057564011537</v>
      </c>
      <c r="R976">
        <f t="shared" si="732"/>
        <v>58.054867122466547</v>
      </c>
      <c r="S976">
        <f t="shared" si="732"/>
        <v>63.851968806462729</v>
      </c>
      <c r="T976">
        <f t="shared" si="732"/>
        <v>96.39916299930556</v>
      </c>
      <c r="U976">
        <f t="shared" si="732"/>
        <v>96.479603244192845</v>
      </c>
      <c r="V976">
        <f t="shared" si="732"/>
        <v>116.03262898325897</v>
      </c>
      <c r="W976">
        <f t="shared" si="732"/>
        <v>150.9757389624171</v>
      </c>
      <c r="Y976" s="6">
        <f t="shared" si="729"/>
        <v>1284.7229131493748</v>
      </c>
      <c r="Z976">
        <f t="shared" si="730"/>
        <v>-53.15232342263247</v>
      </c>
    </row>
    <row r="977" spans="1:26" x14ac:dyDescent="0.25">
      <c r="A977" t="s">
        <v>46</v>
      </c>
      <c r="D977">
        <f t="shared" ref="D977:W977" si="733">D185*D221</f>
        <v>69.391440606460691</v>
      </c>
      <c r="E977">
        <f t="shared" si="733"/>
        <v>47.714574669139218</v>
      </c>
      <c r="F977">
        <f t="shared" si="733"/>
        <v>54.002426804120581</v>
      </c>
      <c r="G977">
        <f t="shared" si="733"/>
        <v>53.263964359332633</v>
      </c>
      <c r="H977">
        <f t="shared" si="733"/>
        <v>42.12307135960917</v>
      </c>
      <c r="I977">
        <f t="shared" si="733"/>
        <v>42.470242147572868</v>
      </c>
      <c r="J977">
        <f t="shared" si="733"/>
        <v>56.043437362034545</v>
      </c>
      <c r="K977">
        <f t="shared" si="733"/>
        <v>84.172824539215483</v>
      </c>
      <c r="L977">
        <f t="shared" si="733"/>
        <v>81.880389146154442</v>
      </c>
      <c r="M977">
        <f t="shared" si="733"/>
        <v>60.107622620396135</v>
      </c>
      <c r="N977">
        <f t="shared" si="733"/>
        <v>26.672072538753142</v>
      </c>
      <c r="O977">
        <f t="shared" si="733"/>
        <v>45.974146244016545</v>
      </c>
      <c r="P977">
        <f t="shared" si="733"/>
        <v>27.525764092037765</v>
      </c>
      <c r="Q977">
        <f t="shared" si="733"/>
        <v>44.016289704453406</v>
      </c>
      <c r="R977">
        <f t="shared" si="733"/>
        <v>25.647110991689289</v>
      </c>
      <c r="S977">
        <f t="shared" si="733"/>
        <v>73.091752596524415</v>
      </c>
      <c r="T977">
        <f t="shared" si="733"/>
        <v>33.25528678262117</v>
      </c>
      <c r="U977">
        <f t="shared" si="733"/>
        <v>33.379890809981731</v>
      </c>
      <c r="V977">
        <f t="shared" si="733"/>
        <v>40.351367902033751</v>
      </c>
      <c r="W977">
        <f t="shared" si="733"/>
        <v>64.339047298476387</v>
      </c>
      <c r="Y977" s="6">
        <f t="shared" si="729"/>
        <v>1005.4227225746233</v>
      </c>
      <c r="Z977">
        <f t="shared" si="730"/>
        <v>-23.772380472975254</v>
      </c>
    </row>
    <row r="978" spans="1:26" x14ac:dyDescent="0.25">
      <c r="A978" t="s">
        <v>47</v>
      </c>
      <c r="D978">
        <f t="shared" ref="D978:W978" si="734">D186*D222</f>
        <v>112.64827577054372</v>
      </c>
      <c r="E978">
        <f t="shared" si="734"/>
        <v>105.9245839019673</v>
      </c>
      <c r="F978">
        <f t="shared" si="734"/>
        <v>85.392408374471543</v>
      </c>
      <c r="G978">
        <f t="shared" si="734"/>
        <v>126.94302433854844</v>
      </c>
      <c r="H978">
        <f t="shared" si="734"/>
        <v>68.436325637457301</v>
      </c>
      <c r="I978">
        <f t="shared" si="734"/>
        <v>57.083044816216379</v>
      </c>
      <c r="J978">
        <f t="shared" si="734"/>
        <v>68.268741199481923</v>
      </c>
      <c r="K978">
        <f t="shared" si="734"/>
        <v>68.608830712824968</v>
      </c>
      <c r="L978">
        <f t="shared" si="734"/>
        <v>41.320641113313556</v>
      </c>
      <c r="M978">
        <f t="shared" si="734"/>
        <v>56.732534195958401</v>
      </c>
      <c r="N978">
        <f t="shared" si="734"/>
        <v>57.361144621735818</v>
      </c>
      <c r="O978">
        <f t="shared" si="734"/>
        <v>63.23622898908863</v>
      </c>
      <c r="P978">
        <f t="shared" si="734"/>
        <v>79.41900858871513</v>
      </c>
      <c r="Q978">
        <f t="shared" si="734"/>
        <v>40.065277376720189</v>
      </c>
      <c r="R978">
        <f t="shared" si="734"/>
        <v>102.95606391140231</v>
      </c>
      <c r="S978">
        <f t="shared" si="734"/>
        <v>92.701262878945798</v>
      </c>
      <c r="T978">
        <f t="shared" si="734"/>
        <v>245.76028045777801</v>
      </c>
      <c r="U978">
        <f t="shared" si="734"/>
        <v>235.46933756801272</v>
      </c>
      <c r="V978">
        <f t="shared" si="734"/>
        <v>97.155368193467041</v>
      </c>
      <c r="W978">
        <f t="shared" si="734"/>
        <v>135.10507513428561</v>
      </c>
      <c r="Y978" s="6">
        <f t="shared" si="729"/>
        <v>1940.5874577809345</v>
      </c>
      <c r="Z978">
        <f t="shared" si="730"/>
        <v>3.8372403355182971</v>
      </c>
    </row>
    <row r="979" spans="1:26" x14ac:dyDescent="0.25">
      <c r="A979" t="s">
        <v>48</v>
      </c>
      <c r="D979">
        <f t="shared" ref="D979:W979" si="735">D187*D223</f>
        <v>187.39631254891</v>
      </c>
      <c r="E979">
        <f t="shared" si="735"/>
        <v>172.51225262647711</v>
      </c>
      <c r="F979">
        <f t="shared" si="735"/>
        <v>190.56702495886006</v>
      </c>
      <c r="G979">
        <f t="shared" si="735"/>
        <v>258.82561257750837</v>
      </c>
      <c r="H979">
        <f t="shared" si="735"/>
        <v>200.3283728119427</v>
      </c>
      <c r="I979">
        <f t="shared" si="735"/>
        <v>171.91918569405249</v>
      </c>
      <c r="J979">
        <f t="shared" si="735"/>
        <v>194.12701964368608</v>
      </c>
      <c r="K979">
        <f t="shared" si="735"/>
        <v>173.7886369579596</v>
      </c>
      <c r="L979">
        <f t="shared" si="735"/>
        <v>90.348201975052106</v>
      </c>
      <c r="M979">
        <f t="shared" si="735"/>
        <v>39.120878421930428</v>
      </c>
      <c r="N979">
        <f t="shared" si="735"/>
        <v>48.770360637386645</v>
      </c>
      <c r="O979">
        <f t="shared" si="735"/>
        <v>35.763379798566383</v>
      </c>
      <c r="P979">
        <f t="shared" si="735"/>
        <v>93.614043203729793</v>
      </c>
      <c r="Q979">
        <f t="shared" si="735"/>
        <v>79.180424540086136</v>
      </c>
      <c r="R979">
        <f t="shared" si="735"/>
        <v>79.165380891173896</v>
      </c>
      <c r="S979">
        <f t="shared" si="735"/>
        <v>18.163465567259301</v>
      </c>
      <c r="T979">
        <f t="shared" si="735"/>
        <v>40.272783590131716</v>
      </c>
      <c r="U979">
        <f t="shared" si="735"/>
        <v>49.787492933275807</v>
      </c>
      <c r="V979">
        <f t="shared" si="735"/>
        <v>54.212464770923532</v>
      </c>
      <c r="W979">
        <f t="shared" si="735"/>
        <v>69.713573390950003</v>
      </c>
      <c r="Y979" s="6">
        <f t="shared" si="729"/>
        <v>2247.5768675398617</v>
      </c>
      <c r="Z979">
        <f t="shared" si="730"/>
        <v>5.0308558327701842</v>
      </c>
    </row>
    <row r="980" spans="1:26" x14ac:dyDescent="0.25">
      <c r="A980" t="s">
        <v>49</v>
      </c>
      <c r="D980">
        <f t="shared" ref="D980:W980" si="736">D188*D224</f>
        <v>59.033207111362181</v>
      </c>
      <c r="E980">
        <f t="shared" si="736"/>
        <v>87.724873475106264</v>
      </c>
      <c r="F980">
        <f t="shared" si="736"/>
        <v>100.96650582491229</v>
      </c>
      <c r="G980">
        <f t="shared" si="736"/>
        <v>88.261720600478441</v>
      </c>
      <c r="H980">
        <f t="shared" si="736"/>
        <v>55.305755667308354</v>
      </c>
      <c r="I980">
        <f t="shared" si="736"/>
        <v>58.988006073811952</v>
      </c>
      <c r="J980">
        <f t="shared" si="736"/>
        <v>69.617084420017605</v>
      </c>
      <c r="K980">
        <f t="shared" si="736"/>
        <v>76.35465131404203</v>
      </c>
      <c r="L980">
        <f t="shared" si="736"/>
        <v>38.698437389695528</v>
      </c>
      <c r="M980">
        <f t="shared" si="736"/>
        <v>38.193713029608176</v>
      </c>
      <c r="N980">
        <f t="shared" si="736"/>
        <v>46.628764539478468</v>
      </c>
      <c r="O980">
        <f t="shared" si="736"/>
        <v>44.703667633523281</v>
      </c>
      <c r="P980">
        <f t="shared" si="736"/>
        <v>111.78559246614729</v>
      </c>
      <c r="Q980">
        <f t="shared" si="736"/>
        <v>163.06824893407753</v>
      </c>
      <c r="R980">
        <f t="shared" si="736"/>
        <v>118.13639892473118</v>
      </c>
      <c r="S980">
        <f t="shared" si="736"/>
        <v>65.003513123587467</v>
      </c>
      <c r="T980">
        <f t="shared" si="736"/>
        <v>40.314695136407423</v>
      </c>
      <c r="U980">
        <f t="shared" si="736"/>
        <v>73.944572440786416</v>
      </c>
      <c r="V980">
        <f t="shared" si="736"/>
        <v>83.849098946527434</v>
      </c>
      <c r="W980">
        <f t="shared" si="736"/>
        <v>66.442236767155208</v>
      </c>
      <c r="Y980" s="6">
        <f t="shared" si="729"/>
        <v>1487.0207438187645</v>
      </c>
      <c r="Z980">
        <f t="shared" si="730"/>
        <v>-57.066957383631674</v>
      </c>
    </row>
    <row r="981" spans="1:26" x14ac:dyDescent="0.25">
      <c r="A981" t="s">
        <v>50</v>
      </c>
      <c r="D981">
        <f t="shared" ref="D981:W981" si="737">D189*D225</f>
        <v>89.845091148920687</v>
      </c>
      <c r="E981">
        <f t="shared" si="737"/>
        <v>75.712721455269815</v>
      </c>
      <c r="F981">
        <f t="shared" si="737"/>
        <v>8.308550570471775</v>
      </c>
      <c r="G981">
        <f t="shared" si="737"/>
        <v>110.13713202488455</v>
      </c>
      <c r="H981">
        <f t="shared" si="737"/>
        <v>96.172963162354293</v>
      </c>
      <c r="I981">
        <f t="shared" si="737"/>
        <v>94.382226372759874</v>
      </c>
      <c r="J981">
        <f t="shared" si="737"/>
        <v>70.664681184811045</v>
      </c>
      <c r="K981">
        <f t="shared" si="737"/>
        <v>69.825298986811532</v>
      </c>
      <c r="L981">
        <f t="shared" si="737"/>
        <v>114.29587145083194</v>
      </c>
      <c r="M981">
        <f t="shared" si="737"/>
        <v>87.048187186689589</v>
      </c>
      <c r="N981">
        <f t="shared" si="737"/>
        <v>241.40559649917623</v>
      </c>
      <c r="O981">
        <f t="shared" si="737"/>
        <v>243.97283230470043</v>
      </c>
      <c r="P981">
        <f t="shared" si="737"/>
        <v>261.84848498448957</v>
      </c>
      <c r="Q981">
        <f t="shared" si="737"/>
        <v>302.1539773029034</v>
      </c>
      <c r="R981">
        <f t="shared" si="737"/>
        <v>26.304876140729476</v>
      </c>
      <c r="S981">
        <f t="shared" si="737"/>
        <v>28.815660774820405</v>
      </c>
      <c r="T981">
        <f t="shared" si="737"/>
        <v>103.64562226936556</v>
      </c>
      <c r="U981">
        <f t="shared" si="737"/>
        <v>66.025837069286013</v>
      </c>
      <c r="V981">
        <f t="shared" si="737"/>
        <v>123.5032142049787</v>
      </c>
      <c r="W981">
        <f t="shared" si="737"/>
        <v>74.246683307433784</v>
      </c>
      <c r="Y981" s="6">
        <f t="shared" si="729"/>
        <v>2288.3155084016885</v>
      </c>
      <c r="Z981">
        <f t="shared" si="730"/>
        <v>-242.84711735417682</v>
      </c>
    </row>
    <row r="982" spans="1:26" x14ac:dyDescent="0.25">
      <c r="A982" t="s">
        <v>51</v>
      </c>
      <c r="D982">
        <f t="shared" ref="D982:W982" si="738">D190*D226</f>
        <v>133.78443964280379</v>
      </c>
      <c r="E982">
        <f t="shared" si="738"/>
        <v>285.78202726771849</v>
      </c>
      <c r="F982">
        <f t="shared" si="738"/>
        <v>412.89718446416367</v>
      </c>
      <c r="G982">
        <f t="shared" si="738"/>
        <v>209.36486857820759</v>
      </c>
      <c r="H982">
        <f t="shared" si="738"/>
        <v>121.82749968639764</v>
      </c>
      <c r="I982">
        <f t="shared" si="738"/>
        <v>77.487404759359336</v>
      </c>
      <c r="J982">
        <f t="shared" si="738"/>
        <v>194.40338769192718</v>
      </c>
      <c r="K982">
        <f t="shared" si="738"/>
        <v>161.61249387896794</v>
      </c>
      <c r="L982">
        <f t="shared" si="738"/>
        <v>212.39188823766619</v>
      </c>
      <c r="M982">
        <f t="shared" si="738"/>
        <v>221.6039456792638</v>
      </c>
      <c r="N982">
        <f t="shared" si="738"/>
        <v>236.23536792460325</v>
      </c>
      <c r="O982">
        <f t="shared" si="738"/>
        <v>141.26504285728689</v>
      </c>
      <c r="P982">
        <f t="shared" si="738"/>
        <v>283.25479690107795</v>
      </c>
      <c r="Q982">
        <f t="shared" si="738"/>
        <v>134.99243409555672</v>
      </c>
      <c r="R982">
        <f t="shared" si="738"/>
        <v>197.9267420927919</v>
      </c>
      <c r="S982">
        <f t="shared" si="738"/>
        <v>225.94488514073674</v>
      </c>
      <c r="T982">
        <f t="shared" si="738"/>
        <v>178.50164360003578</v>
      </c>
      <c r="U982">
        <f t="shared" si="738"/>
        <v>174.77684884510745</v>
      </c>
      <c r="V982">
        <f t="shared" si="738"/>
        <v>215.23891241644412</v>
      </c>
      <c r="W982">
        <f t="shared" si="738"/>
        <v>194.26522171698062</v>
      </c>
      <c r="Y982" s="6">
        <f t="shared" si="729"/>
        <v>4013.5570354770975</v>
      </c>
      <c r="Z982">
        <f t="shared" si="730"/>
        <v>-145.89208047627216</v>
      </c>
    </row>
    <row r="983" spans="1:26" x14ac:dyDescent="0.25">
      <c r="A983" t="s">
        <v>52</v>
      </c>
      <c r="D983">
        <f t="shared" ref="D983:W983" si="739">D191*D227</f>
        <v>145.15493265014803</v>
      </c>
      <c r="E983">
        <f t="shared" si="739"/>
        <v>142.1780283169158</v>
      </c>
      <c r="F983">
        <f t="shared" si="739"/>
        <v>105.94327444073588</v>
      </c>
      <c r="G983">
        <f t="shared" si="739"/>
        <v>76.589374477255276</v>
      </c>
      <c r="H983">
        <f t="shared" si="739"/>
        <v>102.29855811640439</v>
      </c>
      <c r="I983">
        <f t="shared" si="739"/>
        <v>135.86973286658835</v>
      </c>
      <c r="J983">
        <f t="shared" si="739"/>
        <v>30.254616908824786</v>
      </c>
      <c r="K983">
        <f t="shared" si="739"/>
        <v>48.634413218226818</v>
      </c>
      <c r="L983">
        <f t="shared" si="739"/>
        <v>62.673053361023413</v>
      </c>
      <c r="M983">
        <f t="shared" si="739"/>
        <v>51.858983855271966</v>
      </c>
      <c r="N983">
        <f t="shared" si="739"/>
        <v>47.440538382439215</v>
      </c>
      <c r="O983">
        <f t="shared" si="739"/>
        <v>48.580079154051006</v>
      </c>
      <c r="P983">
        <f t="shared" si="739"/>
        <v>60.887929179267928</v>
      </c>
      <c r="Q983">
        <f t="shared" si="739"/>
        <v>55.804057174457959</v>
      </c>
      <c r="R983">
        <f t="shared" si="739"/>
        <v>66.245253738153593</v>
      </c>
      <c r="S983">
        <f t="shared" si="739"/>
        <v>73.936960163941123</v>
      </c>
      <c r="T983">
        <f t="shared" si="739"/>
        <v>36.97755239756949</v>
      </c>
      <c r="U983">
        <f t="shared" si="739"/>
        <v>49.756086057856912</v>
      </c>
      <c r="V983">
        <f t="shared" si="739"/>
        <v>42.401399565855378</v>
      </c>
      <c r="W983">
        <f t="shared" si="739"/>
        <v>69.61724756093254</v>
      </c>
      <c r="Y983" s="6">
        <f t="shared" si="729"/>
        <v>1453.1020715859202</v>
      </c>
      <c r="Z983">
        <f t="shared" si="730"/>
        <v>50.280022397978129</v>
      </c>
    </row>
    <row r="984" spans="1:26" x14ac:dyDescent="0.25">
      <c r="A984" t="s">
        <v>53</v>
      </c>
      <c r="D984">
        <f t="shared" ref="D984:W984" si="740">D192*D228</f>
        <v>75.044392958713573</v>
      </c>
      <c r="E984">
        <f t="shared" si="740"/>
        <v>66.396525665685445</v>
      </c>
      <c r="F984">
        <f t="shared" si="740"/>
        <v>59.856673814442594</v>
      </c>
      <c r="G984">
        <f t="shared" si="740"/>
        <v>70.377888317754056</v>
      </c>
      <c r="H984">
        <f t="shared" si="740"/>
        <v>50.647323636725424</v>
      </c>
      <c r="I984">
        <f t="shared" si="740"/>
        <v>44.868233871667591</v>
      </c>
      <c r="J984">
        <f t="shared" si="740"/>
        <v>86.808124943654462</v>
      </c>
      <c r="K984">
        <f t="shared" si="740"/>
        <v>92.389593475484702</v>
      </c>
      <c r="L984">
        <f t="shared" si="740"/>
        <v>88.508086384870296</v>
      </c>
      <c r="M984">
        <f t="shared" si="740"/>
        <v>74.740154498509312</v>
      </c>
      <c r="N984">
        <f t="shared" si="740"/>
        <v>48.941598850071792</v>
      </c>
      <c r="O984">
        <f t="shared" si="740"/>
        <v>44.657093878200513</v>
      </c>
      <c r="P984">
        <f t="shared" si="740"/>
        <v>59.24160536232452</v>
      </c>
      <c r="Q984">
        <f t="shared" si="740"/>
        <v>21.697185581391171</v>
      </c>
      <c r="R984">
        <f t="shared" si="740"/>
        <v>41.072402355605185</v>
      </c>
      <c r="S984">
        <f t="shared" si="740"/>
        <v>44.829015699628791</v>
      </c>
      <c r="T984">
        <f t="shared" si="740"/>
        <v>89.746141694632868</v>
      </c>
      <c r="U984">
        <f t="shared" si="740"/>
        <v>59.649111539771177</v>
      </c>
      <c r="V984">
        <f t="shared" si="740"/>
        <v>66.706778525159166</v>
      </c>
      <c r="W984">
        <f t="shared" si="740"/>
        <v>65.827969819896623</v>
      </c>
      <c r="Y984" s="6">
        <f t="shared" si="729"/>
        <v>1252.0059008741896</v>
      </c>
      <c r="Z984">
        <f t="shared" si="730"/>
        <v>-42.691827962646165</v>
      </c>
    </row>
    <row r="985" spans="1:26" x14ac:dyDescent="0.25">
      <c r="A985" t="s">
        <v>54</v>
      </c>
      <c r="D985">
        <f t="shared" ref="D985:W985" si="741">D193*D229</f>
        <v>101.43226416408986</v>
      </c>
      <c r="E985">
        <f t="shared" si="741"/>
        <v>97.305022757123041</v>
      </c>
      <c r="F985">
        <f t="shared" si="741"/>
        <v>102.88813066759481</v>
      </c>
      <c r="G985">
        <f t="shared" si="741"/>
        <v>50.452651821638632</v>
      </c>
      <c r="H985">
        <f t="shared" si="741"/>
        <v>39.332309955954827</v>
      </c>
      <c r="I985">
        <f t="shared" si="741"/>
        <v>50.966287144413087</v>
      </c>
      <c r="J985">
        <f t="shared" si="741"/>
        <v>21.566252393834226</v>
      </c>
      <c r="K985">
        <f t="shared" si="741"/>
        <v>36.611193530088769</v>
      </c>
      <c r="L985">
        <f t="shared" si="741"/>
        <v>58.75731822762927</v>
      </c>
      <c r="M985">
        <f t="shared" si="741"/>
        <v>63.551537513134662</v>
      </c>
      <c r="N985">
        <f t="shared" si="741"/>
        <v>65.015591776985758</v>
      </c>
      <c r="O985">
        <f t="shared" si="741"/>
        <v>68.11707748555564</v>
      </c>
      <c r="P985">
        <f t="shared" si="741"/>
        <v>72.190520966377278</v>
      </c>
      <c r="Q985">
        <f t="shared" si="741"/>
        <v>68.540373986830588</v>
      </c>
      <c r="R985">
        <f t="shared" si="741"/>
        <v>18.875172040304232</v>
      </c>
      <c r="S985">
        <f t="shared" si="741"/>
        <v>39.935706583769708</v>
      </c>
      <c r="T985">
        <f t="shared" si="741"/>
        <v>38.396175938760422</v>
      </c>
      <c r="U985">
        <f t="shared" si="741"/>
        <v>63.832230266649887</v>
      </c>
      <c r="V985">
        <f t="shared" si="741"/>
        <v>43.644657335958456</v>
      </c>
      <c r="W985">
        <f t="shared" si="741"/>
        <v>115.41107404275328</v>
      </c>
      <c r="Y985" s="6">
        <f t="shared" si="729"/>
        <v>1216.8215485994465</v>
      </c>
      <c r="Z985">
        <f t="shared" si="730"/>
        <v>-10.91850506578181</v>
      </c>
    </row>
    <row r="986" spans="1:26" x14ac:dyDescent="0.25">
      <c r="A986" t="s">
        <v>55</v>
      </c>
      <c r="D986">
        <f t="shared" ref="D986:W986" si="742">D194*D230</f>
        <v>182.50455719437076</v>
      </c>
      <c r="E986">
        <f t="shared" si="742"/>
        <v>185.17209055853223</v>
      </c>
      <c r="F986">
        <f t="shared" si="742"/>
        <v>89.534233931842792</v>
      </c>
      <c r="G986">
        <f t="shared" si="742"/>
        <v>142.39589203115378</v>
      </c>
      <c r="H986">
        <f t="shared" si="742"/>
        <v>80.534598780340247</v>
      </c>
      <c r="I986">
        <f t="shared" si="742"/>
        <v>104.60872203198082</v>
      </c>
      <c r="J986">
        <f t="shared" si="742"/>
        <v>52.768946889371939</v>
      </c>
      <c r="K986">
        <f t="shared" si="742"/>
        <v>45.222876535300713</v>
      </c>
      <c r="L986">
        <f t="shared" si="742"/>
        <v>50.348048066924328</v>
      </c>
      <c r="M986">
        <f t="shared" si="742"/>
        <v>61.28408306282757</v>
      </c>
      <c r="N986">
        <f t="shared" si="742"/>
        <v>66.613714894372791</v>
      </c>
      <c r="O986">
        <f t="shared" si="742"/>
        <v>18.341266723299402</v>
      </c>
      <c r="P986">
        <f t="shared" si="742"/>
        <v>29.273011339527635</v>
      </c>
      <c r="Q986">
        <f t="shared" si="742"/>
        <v>82.577181360624067</v>
      </c>
      <c r="R986">
        <f t="shared" si="742"/>
        <v>37.836897197451783</v>
      </c>
      <c r="S986">
        <f t="shared" si="742"/>
        <v>72.744904403238962</v>
      </c>
      <c r="T986">
        <f t="shared" si="742"/>
        <v>31.462073596308937</v>
      </c>
      <c r="U986">
        <f t="shared" si="742"/>
        <v>34.366122722599584</v>
      </c>
      <c r="V986">
        <f t="shared" si="742"/>
        <v>103.10614468217658</v>
      </c>
      <c r="W986">
        <f t="shared" si="742"/>
        <v>95.0272273716499</v>
      </c>
      <c r="Y986" s="6">
        <f t="shared" si="729"/>
        <v>1565.7225933738948</v>
      </c>
      <c r="Z986">
        <f t="shared" si="730"/>
        <v>48.613828412566043</v>
      </c>
    </row>
    <row r="987" spans="1:26" x14ac:dyDescent="0.25">
      <c r="A987" t="s">
        <v>56</v>
      </c>
      <c r="D987">
        <f t="shared" ref="D987:W987" si="743">D195*D231</f>
        <v>241.09585225325765</v>
      </c>
      <c r="E987">
        <f t="shared" si="743"/>
        <v>111.49015401055954</v>
      </c>
      <c r="F987">
        <f t="shared" si="743"/>
        <v>116.00595509240378</v>
      </c>
      <c r="G987">
        <f t="shared" si="743"/>
        <v>90.92822126197369</v>
      </c>
      <c r="H987">
        <f t="shared" si="743"/>
        <v>54.333565030729211</v>
      </c>
      <c r="I987">
        <f t="shared" si="743"/>
        <v>71.114106329768688</v>
      </c>
      <c r="J987">
        <f t="shared" si="743"/>
        <v>61.119307692176768</v>
      </c>
      <c r="K987">
        <f t="shared" si="743"/>
        <v>87.61014414199451</v>
      </c>
      <c r="L987">
        <f t="shared" si="743"/>
        <v>51.456122498025586</v>
      </c>
      <c r="M987">
        <f t="shared" si="743"/>
        <v>55.211247889174096</v>
      </c>
      <c r="N987">
        <f t="shared" si="743"/>
        <v>34.222281254403214</v>
      </c>
      <c r="O987">
        <f t="shared" si="743"/>
        <v>69.693199833475106</v>
      </c>
      <c r="P987">
        <f t="shared" si="743"/>
        <v>73.286933267429262</v>
      </c>
      <c r="Q987">
        <f t="shared" si="743"/>
        <v>31.687426216666182</v>
      </c>
      <c r="R987">
        <f t="shared" si="743"/>
        <v>65.125458601306022</v>
      </c>
      <c r="S987">
        <f t="shared" si="743"/>
        <v>54.907934458613596</v>
      </c>
      <c r="T987">
        <f t="shared" si="743"/>
        <v>40.0389949042262</v>
      </c>
      <c r="U987">
        <f t="shared" si="743"/>
        <v>46.758871266231331</v>
      </c>
      <c r="V987">
        <f t="shared" si="743"/>
        <v>78.002893643551516</v>
      </c>
      <c r="W987">
        <f t="shared" si="743"/>
        <v>102.71439867335488</v>
      </c>
      <c r="Y987" s="6">
        <f t="shared" si="729"/>
        <v>1536.803068319321</v>
      </c>
      <c r="Z987">
        <f t="shared" si="730"/>
        <v>45.142688244188548</v>
      </c>
    </row>
    <row r="988" spans="1:26" x14ac:dyDescent="0.25">
      <c r="A988" t="s">
        <v>57</v>
      </c>
      <c r="D988">
        <f t="shared" ref="D988:W988" si="744">D196*D232</f>
        <v>129.66353890469901</v>
      </c>
      <c r="E988">
        <f t="shared" si="744"/>
        <v>141.22932201394175</v>
      </c>
      <c r="F988">
        <f t="shared" si="744"/>
        <v>111.34269674417112</v>
      </c>
      <c r="G988">
        <f t="shared" si="744"/>
        <v>96.198555968854876</v>
      </c>
      <c r="H988">
        <f t="shared" si="744"/>
        <v>64.523528134019244</v>
      </c>
      <c r="I988">
        <f t="shared" si="744"/>
        <v>68.749389029995982</v>
      </c>
      <c r="J988">
        <f t="shared" si="744"/>
        <v>49.951370842370146</v>
      </c>
      <c r="K988">
        <f t="shared" si="744"/>
        <v>63.602162849664381</v>
      </c>
      <c r="L988">
        <f t="shared" si="744"/>
        <v>60.759249803988389</v>
      </c>
      <c r="M988">
        <f t="shared" si="744"/>
        <v>77.740180167474506</v>
      </c>
      <c r="N988">
        <f t="shared" si="744"/>
        <v>80.239868200891863</v>
      </c>
      <c r="O988">
        <f t="shared" si="744"/>
        <v>47.926479402901251</v>
      </c>
      <c r="P988">
        <f t="shared" si="744"/>
        <v>95.028082127488332</v>
      </c>
      <c r="Q988">
        <f t="shared" si="744"/>
        <v>83.267766925316096</v>
      </c>
      <c r="R988">
        <f t="shared" si="744"/>
        <v>52.222019017198235</v>
      </c>
      <c r="S988">
        <f t="shared" si="744"/>
        <v>33.137276052544742</v>
      </c>
      <c r="T988">
        <f t="shared" si="744"/>
        <v>65.510288280393937</v>
      </c>
      <c r="U988">
        <f t="shared" si="744"/>
        <v>116.61274614184649</v>
      </c>
      <c r="V988">
        <f t="shared" si="744"/>
        <v>41.542304058757843</v>
      </c>
      <c r="W988">
        <f t="shared" si="744"/>
        <v>88.401305402444493</v>
      </c>
      <c r="Y988" s="6">
        <f t="shared" si="729"/>
        <v>1567.6481300689622</v>
      </c>
      <c r="Z988">
        <f t="shared" si="730"/>
        <v>-0.66632865103117211</v>
      </c>
    </row>
    <row r="989" spans="1:26" x14ac:dyDescent="0.25">
      <c r="A989" t="s">
        <v>58</v>
      </c>
      <c r="D989">
        <f t="shared" ref="D989:W989" si="745">D197*D233</f>
        <v>53.215563631724912</v>
      </c>
      <c r="E989">
        <f t="shared" si="745"/>
        <v>82.364440707659881</v>
      </c>
      <c r="F989">
        <f t="shared" si="745"/>
        <v>126.66041548377721</v>
      </c>
      <c r="G989">
        <f t="shared" si="745"/>
        <v>169.9575445640304</v>
      </c>
      <c r="H989">
        <f t="shared" si="745"/>
        <v>50.448432739676377</v>
      </c>
      <c r="I989">
        <f t="shared" si="745"/>
        <v>26.365801412699827</v>
      </c>
      <c r="J989">
        <f t="shared" si="745"/>
        <v>42.371329633411577</v>
      </c>
      <c r="K989">
        <f t="shared" si="745"/>
        <v>60.739486041129773</v>
      </c>
      <c r="L989">
        <f t="shared" si="745"/>
        <v>51.443276888664798</v>
      </c>
      <c r="M989">
        <f t="shared" si="745"/>
        <v>40.245770644343899</v>
      </c>
      <c r="N989">
        <f t="shared" si="745"/>
        <v>29.499580182335102</v>
      </c>
      <c r="O989">
        <f t="shared" si="745"/>
        <v>55.843237637392704</v>
      </c>
      <c r="P989">
        <f t="shared" si="745"/>
        <v>25.662247279486301</v>
      </c>
      <c r="Q989">
        <f t="shared" si="745"/>
        <v>23.348916042973393</v>
      </c>
      <c r="R989">
        <f t="shared" si="745"/>
        <v>28.835761102799662</v>
      </c>
      <c r="S989">
        <f t="shared" si="745"/>
        <v>45.63479305135845</v>
      </c>
      <c r="T989">
        <f t="shared" si="745"/>
        <v>79.850374614110365</v>
      </c>
      <c r="U989">
        <f t="shared" si="745"/>
        <v>19.565731902525116</v>
      </c>
      <c r="V989">
        <f t="shared" si="745"/>
        <v>21.858645511829359</v>
      </c>
      <c r="W989">
        <f t="shared" si="745"/>
        <v>89.142981505108949</v>
      </c>
      <c r="Y989" s="6">
        <f t="shared" si="729"/>
        <v>1123.0543305770382</v>
      </c>
      <c r="Z989">
        <f t="shared" si="730"/>
        <v>-3.0698802472867124</v>
      </c>
    </row>
    <row r="990" spans="1:26" x14ac:dyDescent="0.25">
      <c r="A990" t="s">
        <v>59</v>
      </c>
      <c r="D990">
        <f t="shared" ref="D990:W990" si="746">D198*D234</f>
        <v>121.72675067504808</v>
      </c>
      <c r="E990">
        <f t="shared" si="746"/>
        <v>50.558795522691504</v>
      </c>
      <c r="F990">
        <f t="shared" si="746"/>
        <v>51.858778823878048</v>
      </c>
      <c r="G990">
        <f t="shared" si="746"/>
        <v>80.840665698987465</v>
      </c>
      <c r="H990">
        <f t="shared" si="746"/>
        <v>35.276474618180288</v>
      </c>
      <c r="I990">
        <f t="shared" si="746"/>
        <v>54.216382381210465</v>
      </c>
      <c r="J990">
        <f t="shared" si="746"/>
        <v>69.589382231610202</v>
      </c>
      <c r="K990">
        <f t="shared" si="746"/>
        <v>45.644138829173968</v>
      </c>
      <c r="L990">
        <f t="shared" si="746"/>
        <v>24.793707760098798</v>
      </c>
      <c r="M990">
        <f t="shared" si="746"/>
        <v>45.333336048225</v>
      </c>
      <c r="N990">
        <f t="shared" si="746"/>
        <v>68.732103781579426</v>
      </c>
      <c r="O990">
        <f t="shared" si="746"/>
        <v>48.508719392221252</v>
      </c>
      <c r="P990">
        <f t="shared" si="746"/>
        <v>38.616853441358003</v>
      </c>
      <c r="Q990">
        <f t="shared" si="746"/>
        <v>21.292838349270756</v>
      </c>
      <c r="R990">
        <f t="shared" si="746"/>
        <v>24.226586126180429</v>
      </c>
      <c r="S990">
        <f t="shared" si="746"/>
        <v>62.494238932553557</v>
      </c>
      <c r="T990">
        <f t="shared" si="746"/>
        <v>57.458904451504509</v>
      </c>
      <c r="U990">
        <f t="shared" si="746"/>
        <v>60.82029730807767</v>
      </c>
      <c r="V990">
        <f t="shared" si="746"/>
        <v>81.301875866286139</v>
      </c>
      <c r="W990">
        <f t="shared" si="746"/>
        <v>99.617255758299819</v>
      </c>
      <c r="Y990" s="6">
        <f t="shared" si="729"/>
        <v>1142.9080859964351</v>
      </c>
      <c r="Z990">
        <f t="shared" si="730"/>
        <v>-11.300754306343734</v>
      </c>
    </row>
    <row r="991" spans="1:26" x14ac:dyDescent="0.25">
      <c r="A991" t="s">
        <v>60</v>
      </c>
      <c r="D991">
        <f t="shared" ref="D991:W991" si="747">D199*D235</f>
        <v>69.559637633823883</v>
      </c>
      <c r="E991">
        <f t="shared" si="747"/>
        <v>64.724661360790165</v>
      </c>
      <c r="F991">
        <f t="shared" si="747"/>
        <v>67.750173955190903</v>
      </c>
      <c r="G991">
        <f t="shared" si="747"/>
        <v>76.239528050623832</v>
      </c>
      <c r="H991">
        <f t="shared" si="747"/>
        <v>43.139690319947185</v>
      </c>
      <c r="I991">
        <f t="shared" si="747"/>
        <v>47.988897832705433</v>
      </c>
      <c r="J991">
        <f t="shared" si="747"/>
        <v>45.50932287119511</v>
      </c>
      <c r="K991">
        <f t="shared" si="747"/>
        <v>85.196284568216342</v>
      </c>
      <c r="L991">
        <f t="shared" si="747"/>
        <v>60.613122363648493</v>
      </c>
      <c r="M991">
        <f t="shared" si="747"/>
        <v>46.005510518308597</v>
      </c>
      <c r="N991">
        <f t="shared" si="747"/>
        <v>39.079609141841502</v>
      </c>
      <c r="O991">
        <f t="shared" si="747"/>
        <v>26.428143074932517</v>
      </c>
      <c r="P991">
        <f t="shared" si="747"/>
        <v>64.115538348840744</v>
      </c>
      <c r="Q991">
        <f t="shared" si="747"/>
        <v>71.207514289987799</v>
      </c>
      <c r="R991">
        <f t="shared" si="747"/>
        <v>40.600992739548133</v>
      </c>
      <c r="S991">
        <f t="shared" si="747"/>
        <v>58.477383085772033</v>
      </c>
      <c r="T991">
        <f t="shared" si="747"/>
        <v>85.0965636224322</v>
      </c>
      <c r="U991">
        <f t="shared" si="747"/>
        <v>95.82606252342417</v>
      </c>
      <c r="V991">
        <f t="shared" si="747"/>
        <v>16.985703295599482</v>
      </c>
      <c r="W991">
        <f t="shared" si="747"/>
        <v>47.368079632425349</v>
      </c>
      <c r="Y991" s="6">
        <f t="shared" si="729"/>
        <v>1151.9124192292541</v>
      </c>
      <c r="Z991">
        <f t="shared" si="730"/>
        <v>-12.27528356142396</v>
      </c>
    </row>
    <row r="992" spans="1:26" x14ac:dyDescent="0.25">
      <c r="A992" t="s">
        <v>61</v>
      </c>
      <c r="D992">
        <f t="shared" ref="D992:W992" si="748">D200*D236</f>
        <v>129.241233227545</v>
      </c>
      <c r="E992">
        <f t="shared" si="748"/>
        <v>146.82517154172606</v>
      </c>
      <c r="F992">
        <f t="shared" si="748"/>
        <v>103.89496132276273</v>
      </c>
      <c r="G992">
        <f t="shared" si="748"/>
        <v>60.415558708044706</v>
      </c>
      <c r="H992">
        <f t="shared" si="748"/>
        <v>66.561874513890118</v>
      </c>
      <c r="I992">
        <f t="shared" si="748"/>
        <v>68.530626736256153</v>
      </c>
      <c r="J992">
        <f t="shared" si="748"/>
        <v>73.441651944765539</v>
      </c>
      <c r="K992">
        <f t="shared" si="748"/>
        <v>45.609382977223071</v>
      </c>
      <c r="L992">
        <f t="shared" si="748"/>
        <v>30.382264846665066</v>
      </c>
      <c r="M992">
        <f t="shared" si="748"/>
        <v>54.213232981229048</v>
      </c>
      <c r="N992">
        <f t="shared" si="748"/>
        <v>74.853433835597812</v>
      </c>
      <c r="O992">
        <f t="shared" si="748"/>
        <v>97.065989456687134</v>
      </c>
      <c r="P992">
        <f t="shared" si="748"/>
        <v>50.840745690519121</v>
      </c>
      <c r="Q992">
        <f t="shared" si="748"/>
        <v>29.391297691622047</v>
      </c>
      <c r="R992">
        <f t="shared" si="748"/>
        <v>40.671965455573229</v>
      </c>
      <c r="S992">
        <f t="shared" si="748"/>
        <v>89.718773733009556</v>
      </c>
      <c r="T992">
        <f t="shared" si="748"/>
        <v>68.472632981065985</v>
      </c>
      <c r="U992">
        <f t="shared" si="748"/>
        <v>47.129152240203844</v>
      </c>
      <c r="V992">
        <f t="shared" si="748"/>
        <v>50.331605912300745</v>
      </c>
      <c r="W992">
        <f t="shared" si="748"/>
        <v>99.127542064430486</v>
      </c>
      <c r="Y992" s="6">
        <f t="shared" si="729"/>
        <v>1426.7190978611175</v>
      </c>
      <c r="Z992">
        <f t="shared" si="730"/>
        <v>13.251977215331577</v>
      </c>
    </row>
    <row r="993" spans="1:26" x14ac:dyDescent="0.25">
      <c r="A993" t="s">
        <v>62</v>
      </c>
      <c r="D993">
        <f t="shared" ref="D993:W993" si="749">D201*D237</f>
        <v>82.618339459849608</v>
      </c>
      <c r="E993">
        <f t="shared" si="749"/>
        <v>71.842480329558711</v>
      </c>
      <c r="F993">
        <f t="shared" si="749"/>
        <v>79.500736731547377</v>
      </c>
      <c r="G993">
        <f t="shared" si="749"/>
        <v>83.345618087434389</v>
      </c>
      <c r="H993">
        <f t="shared" si="749"/>
        <v>72.406234409440813</v>
      </c>
      <c r="I993">
        <f t="shared" si="749"/>
        <v>80.135529982310203</v>
      </c>
      <c r="J993">
        <f t="shared" si="749"/>
        <v>57.979453127976406</v>
      </c>
      <c r="K993">
        <f t="shared" si="749"/>
        <v>55.237712482560582</v>
      </c>
      <c r="L993">
        <f t="shared" si="749"/>
        <v>67.798862621413633</v>
      </c>
      <c r="M993">
        <f t="shared" si="749"/>
        <v>33.11471527458697</v>
      </c>
      <c r="N993">
        <f t="shared" si="749"/>
        <v>39.057989818534018</v>
      </c>
      <c r="O993">
        <f t="shared" si="749"/>
        <v>35.058680847946981</v>
      </c>
      <c r="P993">
        <f t="shared" si="749"/>
        <v>33.795168076387277</v>
      </c>
      <c r="Q993">
        <f t="shared" si="749"/>
        <v>42.427730942496353</v>
      </c>
      <c r="R993">
        <f t="shared" si="749"/>
        <v>108.90362321009727</v>
      </c>
      <c r="S993">
        <f t="shared" si="749"/>
        <v>76.783680031415884</v>
      </c>
      <c r="T993">
        <f t="shared" si="749"/>
        <v>10.175792238065728</v>
      </c>
      <c r="U993">
        <f t="shared" si="749"/>
        <v>88.760368748433038</v>
      </c>
      <c r="V993">
        <f t="shared" si="749"/>
        <v>75.032346431626408</v>
      </c>
      <c r="W993">
        <f t="shared" si="749"/>
        <v>69.481994469150479</v>
      </c>
      <c r="Y993" s="6">
        <f t="shared" si="729"/>
        <v>1263.4570573208321</v>
      </c>
      <c r="Z993">
        <f t="shared" si="730"/>
        <v>-0.59819743034610751</v>
      </c>
    </row>
    <row r="994" spans="1:26" x14ac:dyDescent="0.25">
      <c r="A994" t="s">
        <v>63</v>
      </c>
      <c r="D994">
        <f t="shared" ref="D994:W994" si="750">D202*D238</f>
        <v>85.1944694299861</v>
      </c>
      <c r="E994">
        <f t="shared" si="750"/>
        <v>79.152568280890989</v>
      </c>
      <c r="F994">
        <f t="shared" si="750"/>
        <v>82.978722605644094</v>
      </c>
      <c r="G994">
        <f t="shared" si="750"/>
        <v>75.300093683209369</v>
      </c>
      <c r="H994">
        <f t="shared" si="750"/>
        <v>60.973502884034119</v>
      </c>
      <c r="I994">
        <f t="shared" si="750"/>
        <v>53.777875989847956</v>
      </c>
      <c r="J994">
        <f t="shared" si="750"/>
        <v>50.082481191710983</v>
      </c>
      <c r="K994">
        <f t="shared" si="750"/>
        <v>44.610539310560121</v>
      </c>
      <c r="L994">
        <f t="shared" si="750"/>
        <v>61.986270461891579</v>
      </c>
      <c r="M994">
        <f t="shared" si="750"/>
        <v>33.257926502912028</v>
      </c>
      <c r="N994">
        <f t="shared" si="750"/>
        <v>22.312820904753604</v>
      </c>
      <c r="O994">
        <f t="shared" si="750"/>
        <v>53.592461600183867</v>
      </c>
      <c r="P994">
        <f t="shared" si="750"/>
        <v>17.579084942569661</v>
      </c>
      <c r="Q994">
        <f t="shared" si="750"/>
        <v>31.58653210524399</v>
      </c>
      <c r="R994">
        <f t="shared" si="750"/>
        <v>59.303357710987733</v>
      </c>
      <c r="S994">
        <f t="shared" si="750"/>
        <v>100.08447297868376</v>
      </c>
      <c r="T994">
        <f t="shared" si="750"/>
        <v>81.482283734156795</v>
      </c>
      <c r="U994">
        <f t="shared" si="750"/>
        <v>50.304019192413328</v>
      </c>
      <c r="V994">
        <f t="shared" si="750"/>
        <v>103.51475644390302</v>
      </c>
      <c r="W994">
        <f t="shared" si="750"/>
        <v>106.07392664200988</v>
      </c>
      <c r="Y994" s="6">
        <f t="shared" si="729"/>
        <v>1253.148166595593</v>
      </c>
      <c r="Z994">
        <f t="shared" si="730"/>
        <v>3.0541359422073198</v>
      </c>
    </row>
    <row r="995" spans="1:26" x14ac:dyDescent="0.25">
      <c r="A995" t="s">
        <v>64</v>
      </c>
      <c r="D995">
        <f t="shared" ref="D995:W995" si="751">D203*D239</f>
        <v>117.90337630081065</v>
      </c>
      <c r="E995">
        <f t="shared" si="751"/>
        <v>123.73211317711453</v>
      </c>
      <c r="F995">
        <f t="shared" si="751"/>
        <v>116.09155910908832</v>
      </c>
      <c r="G995">
        <f t="shared" si="751"/>
        <v>74.069159678482507</v>
      </c>
      <c r="H995">
        <f t="shared" si="751"/>
        <v>63.564323856670086</v>
      </c>
      <c r="I995">
        <f t="shared" si="751"/>
        <v>84.584220727721359</v>
      </c>
      <c r="J995">
        <f t="shared" si="751"/>
        <v>58.647544043445521</v>
      </c>
      <c r="K995">
        <f t="shared" si="751"/>
        <v>74.588108397728831</v>
      </c>
      <c r="L995">
        <f t="shared" si="751"/>
        <v>93.391027493862481</v>
      </c>
      <c r="M995">
        <f t="shared" si="751"/>
        <v>61.475909348838982</v>
      </c>
      <c r="N995">
        <f t="shared" si="751"/>
        <v>29.666995801301592</v>
      </c>
      <c r="O995">
        <f t="shared" si="751"/>
        <v>55.457420658188575</v>
      </c>
      <c r="P995">
        <f t="shared" si="751"/>
        <v>37.261660148430529</v>
      </c>
      <c r="Q995">
        <f t="shared" si="751"/>
        <v>91.871729795092961</v>
      </c>
      <c r="R995">
        <f t="shared" si="751"/>
        <v>124.28200890415681</v>
      </c>
      <c r="S995">
        <f t="shared" si="751"/>
        <v>74.875136710076589</v>
      </c>
      <c r="T995">
        <f t="shared" si="751"/>
        <v>95.999754408974198</v>
      </c>
      <c r="U995">
        <f t="shared" si="751"/>
        <v>72.427924589454321</v>
      </c>
      <c r="V995">
        <f t="shared" si="751"/>
        <v>64.465657520949875</v>
      </c>
      <c r="W995">
        <f t="shared" si="751"/>
        <v>77.00833848619358</v>
      </c>
      <c r="Y995" s="6">
        <f t="shared" si="729"/>
        <v>1591.3639691565822</v>
      </c>
      <c r="Z995">
        <f t="shared" si="730"/>
        <v>11.993482991716457</v>
      </c>
    </row>
    <row r="996" spans="1:26" x14ac:dyDescent="0.25">
      <c r="A996" t="s">
        <v>65</v>
      </c>
      <c r="D996">
        <f t="shared" ref="D996:W996" si="752">D204*D240</f>
        <v>138.37284647334221</v>
      </c>
      <c r="E996">
        <f t="shared" si="752"/>
        <v>117.44195022181131</v>
      </c>
      <c r="F996">
        <f t="shared" si="752"/>
        <v>76.335711055580461</v>
      </c>
      <c r="G996">
        <f t="shared" si="752"/>
        <v>50.788353897702834</v>
      </c>
      <c r="H996">
        <f t="shared" si="752"/>
        <v>94.188499876435316</v>
      </c>
      <c r="I996">
        <f t="shared" si="752"/>
        <v>76.471783977656997</v>
      </c>
      <c r="J996">
        <f t="shared" si="752"/>
        <v>43.06457707785929</v>
      </c>
      <c r="K996">
        <f t="shared" si="752"/>
        <v>57.144235308702349</v>
      </c>
      <c r="L996">
        <f t="shared" si="752"/>
        <v>58.663839390861121</v>
      </c>
      <c r="M996">
        <f t="shared" si="752"/>
        <v>57.663374591146756</v>
      </c>
      <c r="N996">
        <f t="shared" si="752"/>
        <v>44.54069706530678</v>
      </c>
      <c r="O996">
        <f t="shared" si="752"/>
        <v>34.680155864987462</v>
      </c>
      <c r="P996">
        <f t="shared" si="752"/>
        <v>21.611518984756223</v>
      </c>
      <c r="Q996">
        <f t="shared" si="752"/>
        <v>31.762054136620797</v>
      </c>
      <c r="R996">
        <f t="shared" si="752"/>
        <v>7.4154412730563273</v>
      </c>
      <c r="S996">
        <f t="shared" si="752"/>
        <v>22.620511471293177</v>
      </c>
      <c r="T996">
        <f t="shared" si="752"/>
        <v>37.670047122419305</v>
      </c>
      <c r="U996">
        <f t="shared" si="752"/>
        <v>34.486857097859598</v>
      </c>
      <c r="V996">
        <f t="shared" si="752"/>
        <v>42.202164995646058</v>
      </c>
      <c r="W996">
        <f t="shared" si="752"/>
        <v>68.986115448530271</v>
      </c>
      <c r="Y996" s="6">
        <f t="shared" si="729"/>
        <v>1116.1107353315747</v>
      </c>
      <c r="Z996">
        <f t="shared" si="730"/>
        <v>32.161798550780475</v>
      </c>
    </row>
    <row r="997" spans="1:26" x14ac:dyDescent="0.25">
      <c r="A997" t="s">
        <v>66</v>
      </c>
      <c r="D997">
        <f t="shared" ref="D997:W997" si="753">D205*D241</f>
        <v>130.03646494285545</v>
      </c>
      <c r="E997">
        <f t="shared" si="753"/>
        <v>107.51913440934004</v>
      </c>
      <c r="F997">
        <f t="shared" si="753"/>
        <v>82.583043259788084</v>
      </c>
      <c r="G997">
        <f t="shared" si="753"/>
        <v>50.134809554896734</v>
      </c>
      <c r="H997">
        <f t="shared" si="753"/>
        <v>102.72842111243267</v>
      </c>
      <c r="I997">
        <f t="shared" si="753"/>
        <v>160.07157526883213</v>
      </c>
      <c r="J997">
        <f t="shared" si="753"/>
        <v>125.4056064519787</v>
      </c>
      <c r="K997">
        <f t="shared" si="753"/>
        <v>131.11894543476896</v>
      </c>
      <c r="L997">
        <f t="shared" si="753"/>
        <v>66.620124994071261</v>
      </c>
      <c r="M997">
        <f t="shared" si="753"/>
        <v>36.145037845569</v>
      </c>
      <c r="N997">
        <f t="shared" si="753"/>
        <v>61.726225637655261</v>
      </c>
      <c r="O997">
        <f t="shared" si="753"/>
        <v>112.78005828904035</v>
      </c>
      <c r="P997">
        <f t="shared" si="753"/>
        <v>64.770868604121844</v>
      </c>
      <c r="Q997">
        <f t="shared" si="753"/>
        <v>36.839750956707185</v>
      </c>
      <c r="R997">
        <f t="shared" si="753"/>
        <v>51.43663395264322</v>
      </c>
      <c r="S997">
        <f t="shared" si="753"/>
        <v>56.892050330480217</v>
      </c>
      <c r="T997">
        <f t="shared" si="753"/>
        <v>51.499100684366667</v>
      </c>
      <c r="U997">
        <f t="shared" si="753"/>
        <v>74.486368085134487</v>
      </c>
      <c r="V997">
        <f t="shared" si="753"/>
        <v>51.740177697625647</v>
      </c>
      <c r="W997">
        <f t="shared" si="753"/>
        <v>29.118772161606824</v>
      </c>
      <c r="Y997" s="6">
        <f t="shared" si="729"/>
        <v>1583.6531696739146</v>
      </c>
      <c r="Z997">
        <f t="shared" si="730"/>
        <v>-14.848007802807416</v>
      </c>
    </row>
    <row r="998" spans="1:26" x14ac:dyDescent="0.25">
      <c r="A998" t="s">
        <v>67</v>
      </c>
      <c r="D998">
        <f t="shared" ref="D998:W998" si="754">D206*D242</f>
        <v>81.579202149096275</v>
      </c>
      <c r="E998">
        <f t="shared" si="754"/>
        <v>91.817290800563057</v>
      </c>
      <c r="F998">
        <f t="shared" si="754"/>
        <v>139.62378431737434</v>
      </c>
      <c r="G998">
        <f t="shared" si="754"/>
        <v>68.587451596119877</v>
      </c>
      <c r="H998">
        <f t="shared" si="754"/>
        <v>96.273170743183783</v>
      </c>
      <c r="I998">
        <f t="shared" si="754"/>
        <v>98.691690672012498</v>
      </c>
      <c r="J998">
        <f t="shared" si="754"/>
        <v>109.52391854354256</v>
      </c>
      <c r="K998">
        <f t="shared" si="754"/>
        <v>119.41329813461269</v>
      </c>
      <c r="L998">
        <f t="shared" si="754"/>
        <v>53.021523942592026</v>
      </c>
      <c r="M998">
        <f t="shared" si="754"/>
        <v>49.507313085332534</v>
      </c>
      <c r="N998">
        <f t="shared" si="754"/>
        <v>47.604692972453343</v>
      </c>
      <c r="O998">
        <f t="shared" si="754"/>
        <v>54.930706552585924</v>
      </c>
      <c r="P998">
        <f t="shared" si="754"/>
        <v>44.428194614060104</v>
      </c>
      <c r="Q998">
        <f t="shared" si="754"/>
        <v>43.737376432338799</v>
      </c>
      <c r="R998">
        <f t="shared" si="754"/>
        <v>46.351077523077429</v>
      </c>
      <c r="S998">
        <f t="shared" si="754"/>
        <v>60.555604279366477</v>
      </c>
      <c r="T998">
        <f t="shared" si="754"/>
        <v>58.653466923114458</v>
      </c>
      <c r="U998">
        <f t="shared" si="754"/>
        <v>60.925986007163537</v>
      </c>
      <c r="V998">
        <f t="shared" si="754"/>
        <v>89.830144358400133</v>
      </c>
      <c r="W998">
        <f t="shared" si="754"/>
        <v>63.644680923667885</v>
      </c>
      <c r="Y998" s="6">
        <f t="shared" si="729"/>
        <v>1478.7005745706574</v>
      </c>
      <c r="Z998">
        <f t="shared" si="730"/>
        <v>-24.450888798545815</v>
      </c>
    </row>
    <row r="999" spans="1:26" x14ac:dyDescent="0.25">
      <c r="A999" t="s">
        <v>68</v>
      </c>
      <c r="D999">
        <f t="shared" ref="D999:W999" si="755">D207*D243</f>
        <v>207.3090260589766</v>
      </c>
      <c r="E999">
        <f t="shared" si="755"/>
        <v>185.02895971766432</v>
      </c>
      <c r="F999">
        <f t="shared" si="755"/>
        <v>219.47046438770101</v>
      </c>
      <c r="G999">
        <f t="shared" si="755"/>
        <v>129.37510423961416</v>
      </c>
      <c r="H999">
        <f t="shared" si="755"/>
        <v>105.05200900415977</v>
      </c>
      <c r="I999">
        <f t="shared" si="755"/>
        <v>81.269128734948538</v>
      </c>
      <c r="J999">
        <f t="shared" si="755"/>
        <v>66.264070068326788</v>
      </c>
      <c r="K999">
        <f t="shared" si="755"/>
        <v>104.11484558581165</v>
      </c>
      <c r="L999">
        <f t="shared" si="755"/>
        <v>116.71427016910518</v>
      </c>
      <c r="M999">
        <f t="shared" si="755"/>
        <v>37.368350168556915</v>
      </c>
      <c r="N999">
        <f t="shared" si="755"/>
        <v>60.615291480920511</v>
      </c>
      <c r="O999">
        <f t="shared" si="755"/>
        <v>54.046143264274598</v>
      </c>
      <c r="P999">
        <f t="shared" si="755"/>
        <v>52.559539838442191</v>
      </c>
      <c r="Q999">
        <f t="shared" si="755"/>
        <v>76.983888064540821</v>
      </c>
      <c r="R999">
        <f t="shared" si="755"/>
        <v>109.72320894119525</v>
      </c>
      <c r="S999">
        <f t="shared" si="755"/>
        <v>114.5988238777126</v>
      </c>
      <c r="T999">
        <f t="shared" si="755"/>
        <v>80.859306769396397</v>
      </c>
      <c r="U999">
        <f t="shared" si="755"/>
        <v>96.575622801184522</v>
      </c>
      <c r="V999">
        <f t="shared" si="755"/>
        <v>70.324230554214239</v>
      </c>
      <c r="W999">
        <f t="shared" si="755"/>
        <v>64.795191475068577</v>
      </c>
      <c r="Y999" s="6">
        <f t="shared" si="729"/>
        <v>2033.0474752018144</v>
      </c>
      <c r="Z999">
        <f t="shared" si="730"/>
        <v>59.720918345630331</v>
      </c>
    </row>
    <row r="1000" spans="1:26" x14ac:dyDescent="0.25">
      <c r="A1000" t="s">
        <v>69</v>
      </c>
      <c r="D1000">
        <f t="shared" ref="D1000:W1000" si="756">D208*D244</f>
        <v>119.88787484091978</v>
      </c>
      <c r="E1000">
        <f t="shared" si="756"/>
        <v>160.0628522969329</v>
      </c>
      <c r="F1000">
        <f t="shared" si="756"/>
        <v>130.65630355800073</v>
      </c>
      <c r="G1000">
        <f t="shared" si="756"/>
        <v>111.6737728361922</v>
      </c>
      <c r="H1000">
        <f t="shared" si="756"/>
        <v>111.56515504165507</v>
      </c>
      <c r="I1000">
        <f t="shared" si="756"/>
        <v>129.61909663504713</v>
      </c>
      <c r="J1000">
        <f t="shared" si="756"/>
        <v>37.680565738890763</v>
      </c>
      <c r="K1000">
        <f t="shared" si="756"/>
        <v>59.624152301605172</v>
      </c>
      <c r="L1000">
        <f t="shared" si="756"/>
        <v>43.940376078854975</v>
      </c>
      <c r="M1000">
        <f t="shared" si="756"/>
        <v>53.895528509397487</v>
      </c>
      <c r="N1000">
        <f t="shared" si="756"/>
        <v>54.540235785246765</v>
      </c>
      <c r="O1000">
        <f t="shared" si="756"/>
        <v>49.660842755384095</v>
      </c>
      <c r="P1000">
        <f t="shared" si="756"/>
        <v>51.359595516659894</v>
      </c>
      <c r="Q1000">
        <f t="shared" si="756"/>
        <v>22.268780312996899</v>
      </c>
      <c r="R1000">
        <f t="shared" si="756"/>
        <v>25.03734342343866</v>
      </c>
      <c r="S1000">
        <f t="shared" si="756"/>
        <v>34.687743155047279</v>
      </c>
      <c r="T1000">
        <f t="shared" si="756"/>
        <v>43.61644605492814</v>
      </c>
      <c r="U1000">
        <f t="shared" si="756"/>
        <v>67.825814424080377</v>
      </c>
      <c r="V1000">
        <f t="shared" si="756"/>
        <v>42.212470762098285</v>
      </c>
      <c r="W1000">
        <f t="shared" si="756"/>
        <v>61.036910121912626</v>
      </c>
      <c r="Y1000" s="6">
        <f t="shared" si="729"/>
        <v>1410.8518601492892</v>
      </c>
      <c r="Z1000">
        <f t="shared" si="730"/>
        <v>47.399120961702565</v>
      </c>
    </row>
    <row r="1001" spans="1:26" x14ac:dyDescent="0.25">
      <c r="Y1001" s="6"/>
    </row>
    <row r="1002" spans="1:26" x14ac:dyDescent="0.25">
      <c r="A1002" t="s">
        <v>70</v>
      </c>
      <c r="D1002">
        <f t="shared" ref="D1002:W1002" si="757">D210*D246</f>
        <v>92.1177310593241</v>
      </c>
      <c r="E1002">
        <f t="shared" si="757"/>
        <v>92.628028129593559</v>
      </c>
      <c r="F1002">
        <f t="shared" si="757"/>
        <v>88.115964713344198</v>
      </c>
      <c r="G1002">
        <f t="shared" si="757"/>
        <v>73.700307224095766</v>
      </c>
      <c r="H1002">
        <f t="shared" si="757"/>
        <v>74.41205313911172</v>
      </c>
      <c r="I1002">
        <f t="shared" si="757"/>
        <v>108.52925749003558</v>
      </c>
      <c r="J1002">
        <f t="shared" si="757"/>
        <v>90.779732694101043</v>
      </c>
      <c r="K1002">
        <f t="shared" si="757"/>
        <v>68.883522749298635</v>
      </c>
      <c r="L1002">
        <f t="shared" si="757"/>
        <v>52.049177296629871</v>
      </c>
      <c r="M1002">
        <f t="shared" si="757"/>
        <v>44.762703236318657</v>
      </c>
      <c r="N1002">
        <f t="shared" si="757"/>
        <v>44.460150476917015</v>
      </c>
      <c r="O1002">
        <f t="shared" si="757"/>
        <v>54.871802038025479</v>
      </c>
      <c r="P1002">
        <f t="shared" si="757"/>
        <v>39.469505316367993</v>
      </c>
      <c r="Q1002">
        <f t="shared" si="757"/>
        <v>45.586694444901809</v>
      </c>
      <c r="R1002">
        <f t="shared" si="757"/>
        <v>59.814561616597331</v>
      </c>
      <c r="S1002">
        <f t="shared" si="757"/>
        <v>64.656695070139122</v>
      </c>
      <c r="T1002">
        <f t="shared" si="757"/>
        <v>54.315678180580115</v>
      </c>
      <c r="U1002">
        <f t="shared" si="757"/>
        <v>67.113308284363185</v>
      </c>
      <c r="V1002">
        <f t="shared" si="757"/>
        <v>66.219102172117275</v>
      </c>
      <c r="W1002">
        <f t="shared" si="757"/>
        <v>66.822919091348197</v>
      </c>
      <c r="Y1002" s="6">
        <f t="shared" si="729"/>
        <v>1349.3088944232109</v>
      </c>
      <c r="Z1002">
        <f>SUMPRODUCT($D$1006:$W$1006,D1002:W1002)</f>
        <v>-4.9280567769200916</v>
      </c>
    </row>
    <row r="1003" spans="1:26" x14ac:dyDescent="0.25">
      <c r="A1003" t="s">
        <v>313</v>
      </c>
      <c r="D1003">
        <f t="shared" ref="D1003:W1003" si="758">D211*D247</f>
        <v>166.34932505561741</v>
      </c>
      <c r="E1003">
        <f t="shared" si="758"/>
        <v>159.84457751731506</v>
      </c>
      <c r="F1003">
        <f t="shared" si="758"/>
        <v>95.217448456311857</v>
      </c>
      <c r="G1003">
        <f t="shared" si="758"/>
        <v>105.32802880063754</v>
      </c>
      <c r="H1003">
        <f t="shared" si="758"/>
        <v>128.68804120239429</v>
      </c>
      <c r="I1003">
        <f t="shared" si="758"/>
        <v>102.54095033531452</v>
      </c>
      <c r="J1003">
        <f t="shared" si="758"/>
        <v>87.938279662764302</v>
      </c>
      <c r="K1003">
        <f t="shared" si="758"/>
        <v>49.562369719031928</v>
      </c>
      <c r="L1003">
        <f t="shared" si="758"/>
        <v>60.345930341928849</v>
      </c>
      <c r="M1003">
        <f t="shared" si="758"/>
        <v>63.335817214582782</v>
      </c>
      <c r="N1003">
        <f t="shared" si="758"/>
        <v>42.109890132328545</v>
      </c>
      <c r="O1003">
        <f t="shared" si="758"/>
        <v>69.258270131493447</v>
      </c>
      <c r="P1003">
        <f t="shared" si="758"/>
        <v>119.18999999999998</v>
      </c>
      <c r="Q1003">
        <f t="shared" si="758"/>
        <v>154.69999999999999</v>
      </c>
      <c r="R1003">
        <f t="shared" si="758"/>
        <v>139.32000000000002</v>
      </c>
      <c r="S1003">
        <f t="shared" si="758"/>
        <v>41.61</v>
      </c>
      <c r="T1003">
        <f t="shared" si="758"/>
        <v>56.16</v>
      </c>
      <c r="U1003">
        <f t="shared" si="758"/>
        <v>66.419999999999987</v>
      </c>
      <c r="V1003">
        <f t="shared" si="758"/>
        <v>81.080999999999989</v>
      </c>
      <c r="W1003">
        <f t="shared" si="758"/>
        <v>74.034000000000006</v>
      </c>
      <c r="Y1003" s="6">
        <f t="shared" si="729"/>
        <v>1863.0339285697205</v>
      </c>
      <c r="Z1003">
        <f>SUMPRODUCT($D$1006:$W$1006,D1003:W1003)</f>
        <v>-6.0924461059305273</v>
      </c>
    </row>
    <row r="1004" spans="1:26" x14ac:dyDescent="0.25">
      <c r="A1004" t="s">
        <v>314</v>
      </c>
      <c r="D1004">
        <f t="shared" ref="D1004:W1004" si="759">D212*D248</f>
        <v>170.12567179087441</v>
      </c>
      <c r="E1004">
        <f t="shared" si="759"/>
        <v>160.11576660025605</v>
      </c>
      <c r="F1004">
        <f t="shared" si="759"/>
        <v>129.0190710538869</v>
      </c>
      <c r="G1004">
        <f t="shared" si="759"/>
        <v>90.650371695239627</v>
      </c>
      <c r="H1004">
        <f t="shared" si="759"/>
        <v>129.6684550375688</v>
      </c>
      <c r="I1004">
        <f t="shared" si="759"/>
        <v>69.292982218790883</v>
      </c>
      <c r="J1004">
        <f t="shared" si="759"/>
        <v>51.488551759220591</v>
      </c>
      <c r="K1004">
        <f t="shared" si="759"/>
        <v>51.83</v>
      </c>
      <c r="L1004">
        <f t="shared" si="759"/>
        <v>54.657199825674134</v>
      </c>
      <c r="M1004">
        <f t="shared" si="759"/>
        <v>58.728817030256458</v>
      </c>
      <c r="N1004">
        <f t="shared" si="759"/>
        <v>62.590999159939805</v>
      </c>
      <c r="O1004">
        <f t="shared" si="759"/>
        <v>61.074670382712952</v>
      </c>
      <c r="P1004">
        <f t="shared" si="759"/>
        <v>37.874421876780197</v>
      </c>
      <c r="Q1004">
        <f t="shared" si="759"/>
        <v>44.159398528609962</v>
      </c>
      <c r="R1004">
        <f t="shared" si="759"/>
        <v>56.064828312267068</v>
      </c>
      <c r="S1004">
        <f t="shared" si="759"/>
        <v>67.301127387952036</v>
      </c>
      <c r="T1004">
        <f t="shared" si="759"/>
        <v>57.547652116668282</v>
      </c>
      <c r="U1004">
        <f t="shared" si="759"/>
        <v>60.217368955297566</v>
      </c>
      <c r="V1004">
        <f t="shared" si="759"/>
        <v>69.041439374399516</v>
      </c>
      <c r="W1004">
        <f t="shared" si="759"/>
        <v>72.281489719038518</v>
      </c>
      <c r="Y1004" s="6">
        <f t="shared" si="729"/>
        <v>1553.730282825434</v>
      </c>
      <c r="Z1004">
        <f>SUMPRODUCT($D$1006:$W$1006,D1004:W1004)</f>
        <v>43.785538624491295</v>
      </c>
    </row>
    <row r="1005" spans="1:26" x14ac:dyDescent="0.25">
      <c r="A1005" t="s">
        <v>658</v>
      </c>
      <c r="D1005">
        <f t="shared" ref="D1005:W1005" si="760">D213*D249</f>
        <v>220.75992154801997</v>
      </c>
      <c r="E1005">
        <f t="shared" si="760"/>
        <v>172.37000306082686</v>
      </c>
      <c r="F1005">
        <f t="shared" si="760"/>
        <v>215.81607593761569</v>
      </c>
      <c r="G1005">
        <f t="shared" si="760"/>
        <v>210.4541112825068</v>
      </c>
      <c r="H1005">
        <f t="shared" si="760"/>
        <v>141.58181326205121</v>
      </c>
      <c r="I1005">
        <f t="shared" si="760"/>
        <v>89.239999999999981</v>
      </c>
      <c r="J1005">
        <f t="shared" si="760"/>
        <v>66.400000000000006</v>
      </c>
      <c r="K1005">
        <f t="shared" si="760"/>
        <v>76.540000000000006</v>
      </c>
      <c r="L1005">
        <f t="shared" si="760"/>
        <v>60.75</v>
      </c>
      <c r="M1005">
        <f t="shared" si="760"/>
        <v>45.54</v>
      </c>
      <c r="N1005">
        <f t="shared" si="760"/>
        <v>48.300000000000004</v>
      </c>
      <c r="O1005">
        <f t="shared" si="760"/>
        <v>55.440000000000005</v>
      </c>
      <c r="P1005">
        <f t="shared" si="760"/>
        <v>90.077852792225571</v>
      </c>
      <c r="Q1005">
        <f t="shared" si="760"/>
        <v>151.87618314569542</v>
      </c>
      <c r="R1005">
        <f t="shared" si="760"/>
        <v>90.968654282910691</v>
      </c>
      <c r="S1005">
        <f t="shared" si="760"/>
        <v>138.55000000000001</v>
      </c>
      <c r="T1005">
        <f t="shared" si="760"/>
        <v>59.757276039898549</v>
      </c>
      <c r="U1005">
        <f t="shared" si="760"/>
        <v>58.704550716243773</v>
      </c>
      <c r="V1005">
        <f t="shared" si="760"/>
        <v>54.621257529534965</v>
      </c>
      <c r="W1005">
        <f t="shared" si="760"/>
        <v>74.451627460230839</v>
      </c>
      <c r="Y1005" s="6">
        <f t="shared" ref="Y1005" si="761">SUM(D1005:W1005)</f>
        <v>2122.19932705776</v>
      </c>
      <c r="Z1005">
        <f>SUMPRODUCT($D$1006:$W$1006,D1005:W1005)</f>
        <v>56.568444918777075</v>
      </c>
    </row>
    <row r="1006" spans="1:26" x14ac:dyDescent="0.25">
      <c r="A1006" s="2" t="s">
        <v>71</v>
      </c>
      <c r="D1006" s="3">
        <f>CORREL($B$2:$B$28,D974:D1000)</f>
        <v>0.37370634928774565</v>
      </c>
      <c r="E1006" s="3">
        <f t="shared" ref="E1006:W1006" si="762">CORREL($B$2:$B$28,E974:E1000)</f>
        <v>0.24325756226937276</v>
      </c>
      <c r="F1006" s="3">
        <f t="shared" si="762"/>
        <v>9.4441046683091653E-2</v>
      </c>
      <c r="G1006" s="3">
        <f t="shared" si="762"/>
        <v>-7.9748229365464492E-3</v>
      </c>
      <c r="H1006" s="3">
        <f t="shared" si="762"/>
        <v>2.4109631840553775E-2</v>
      </c>
      <c r="I1006" s="3">
        <f t="shared" si="762"/>
        <v>0.16937847296932276</v>
      </c>
      <c r="J1006" s="3">
        <f t="shared" si="762"/>
        <v>-0.29840136185303057</v>
      </c>
      <c r="K1006" s="3">
        <f t="shared" si="762"/>
        <v>-0.10374109424721349</v>
      </c>
      <c r="L1006" s="3">
        <f t="shared" si="762"/>
        <v>-0.15387779281153602</v>
      </c>
      <c r="M1006" s="3">
        <f t="shared" si="762"/>
        <v>-0.10504276719965723</v>
      </c>
      <c r="N1006" s="3">
        <f t="shared" si="762"/>
        <v>-0.28940938249321874</v>
      </c>
      <c r="O1006" s="3">
        <f t="shared" si="762"/>
        <v>-0.23018742034948841</v>
      </c>
      <c r="P1006" s="3">
        <f t="shared" si="762"/>
        <v>-0.21719532010363271</v>
      </c>
      <c r="Q1006" s="3">
        <f t="shared" si="762"/>
        <v>-0.194723512311193</v>
      </c>
      <c r="R1006" s="3">
        <f t="shared" si="762"/>
        <v>2.5906613915642869E-2</v>
      </c>
      <c r="S1006" s="3">
        <f t="shared" si="762"/>
        <v>0.13397243226330666</v>
      </c>
      <c r="T1006" s="3">
        <f t="shared" si="762"/>
        <v>3.6084855465357522E-2</v>
      </c>
      <c r="U1006" s="3">
        <f t="shared" si="762"/>
        <v>6.3020213967730832E-2</v>
      </c>
      <c r="V1006" s="3">
        <f t="shared" si="762"/>
        <v>-0.21200264518117742</v>
      </c>
      <c r="W1006" s="3">
        <f t="shared" si="762"/>
        <v>-3.3900140149568311E-2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T22" sqref="T22"/>
    </sheetView>
  </sheetViews>
  <sheetFormatPr defaultRowHeight="15" x14ac:dyDescent="0.25"/>
  <sheetData>
    <row r="1" spans="1:12" x14ac:dyDescent="0.25">
      <c r="A1" t="s">
        <v>659</v>
      </c>
      <c r="B1" t="s">
        <v>310</v>
      </c>
      <c r="C1" t="s">
        <v>32</v>
      </c>
      <c r="D1" t="s">
        <v>311</v>
      </c>
      <c r="E1" t="s">
        <v>660</v>
      </c>
    </row>
    <row r="2" spans="1:12" x14ac:dyDescent="0.25">
      <c r="A2" t="s">
        <v>43</v>
      </c>
      <c r="B2" s="1">
        <v>1907</v>
      </c>
      <c r="C2" s="5">
        <v>1</v>
      </c>
      <c r="D2" s="21">
        <f>$H$19+($H$20*C2)</f>
        <v>2425.9047943967939</v>
      </c>
      <c r="E2" s="22">
        <f>B2-D2</f>
        <v>-518.90479439679393</v>
      </c>
      <c r="F2" s="21"/>
    </row>
    <row r="3" spans="1:12" x14ac:dyDescent="0.25">
      <c r="A3" t="s">
        <v>44</v>
      </c>
      <c r="B3" s="1">
        <v>2114</v>
      </c>
      <c r="C3" s="5">
        <v>2</v>
      </c>
      <c r="D3" s="21">
        <f t="shared" ref="D3:D28" si="0">$H$19+($H$20*C3)</f>
        <v>2435.0127537069143</v>
      </c>
      <c r="E3" s="22">
        <f t="shared" ref="E3:E28" si="1">B3-D3</f>
        <v>-321.01275370691428</v>
      </c>
      <c r="F3" s="21"/>
      <c r="G3" t="s">
        <v>661</v>
      </c>
    </row>
    <row r="4" spans="1:12" ht="15.75" thickBot="1" x14ac:dyDescent="0.3">
      <c r="A4" t="s">
        <v>45</v>
      </c>
      <c r="B4" s="1">
        <v>1979</v>
      </c>
      <c r="C4" s="5">
        <v>3</v>
      </c>
      <c r="D4" s="21">
        <f t="shared" si="0"/>
        <v>2444.1207130170351</v>
      </c>
      <c r="E4" s="22">
        <f t="shared" si="1"/>
        <v>-465.12071301703509</v>
      </c>
      <c r="F4" s="21"/>
    </row>
    <row r="5" spans="1:12" x14ac:dyDescent="0.25">
      <c r="A5" t="s">
        <v>46</v>
      </c>
      <c r="B5" s="1">
        <v>2756</v>
      </c>
      <c r="C5" s="5">
        <v>4</v>
      </c>
      <c r="D5" s="21">
        <f t="shared" si="0"/>
        <v>2453.2286723271559</v>
      </c>
      <c r="E5" s="22">
        <f t="shared" si="1"/>
        <v>302.77132767284411</v>
      </c>
      <c r="F5" s="21"/>
      <c r="G5" s="23" t="s">
        <v>662</v>
      </c>
      <c r="H5" s="23"/>
    </row>
    <row r="6" spans="1:12" x14ac:dyDescent="0.25">
      <c r="A6" t="s">
        <v>47</v>
      </c>
      <c r="B6" s="1">
        <v>3099</v>
      </c>
      <c r="C6" s="5">
        <v>5</v>
      </c>
      <c r="D6" s="21">
        <f t="shared" si="0"/>
        <v>2462.3366316372762</v>
      </c>
      <c r="E6" s="22">
        <f t="shared" si="1"/>
        <v>636.66336836272376</v>
      </c>
      <c r="F6" s="21"/>
      <c r="G6" s="24" t="s">
        <v>663</v>
      </c>
      <c r="H6" s="24">
        <v>0.20078008842461276</v>
      </c>
    </row>
    <row r="7" spans="1:12" x14ac:dyDescent="0.25">
      <c r="A7" t="s">
        <v>48</v>
      </c>
      <c r="B7" s="1">
        <v>2401</v>
      </c>
      <c r="C7" s="5">
        <v>6</v>
      </c>
      <c r="D7" s="21">
        <f t="shared" si="0"/>
        <v>2471.444590947397</v>
      </c>
      <c r="E7" s="22">
        <f t="shared" si="1"/>
        <v>-70.444590947397046</v>
      </c>
      <c r="F7" s="21"/>
      <c r="G7" s="24" t="s">
        <v>427</v>
      </c>
      <c r="H7" s="24">
        <v>4.031264390779532E-2</v>
      </c>
    </row>
    <row r="8" spans="1:12" x14ac:dyDescent="0.25">
      <c r="A8" t="s">
        <v>49</v>
      </c>
      <c r="B8" s="1">
        <v>2607</v>
      </c>
      <c r="C8" s="5">
        <v>7</v>
      </c>
      <c r="D8" s="21">
        <f t="shared" si="0"/>
        <v>2480.5525502575179</v>
      </c>
      <c r="E8" s="22">
        <f t="shared" si="1"/>
        <v>126.44744974248215</v>
      </c>
      <c r="F8" s="21"/>
      <c r="G8" s="24" t="s">
        <v>428</v>
      </c>
      <c r="H8" s="24">
        <v>3.256707372867873E-4</v>
      </c>
    </row>
    <row r="9" spans="1:12" x14ac:dyDescent="0.25">
      <c r="A9" t="s">
        <v>50</v>
      </c>
      <c r="B9" s="1">
        <v>2143</v>
      </c>
      <c r="C9" s="5">
        <v>8</v>
      </c>
      <c r="D9" s="21">
        <f t="shared" si="0"/>
        <v>2489.6605095676382</v>
      </c>
      <c r="E9" s="22">
        <f t="shared" si="1"/>
        <v>-346.6605095676382</v>
      </c>
      <c r="F9" s="21"/>
      <c r="G9" s="24" t="s">
        <v>664</v>
      </c>
      <c r="H9" s="24">
        <v>346.90267088721055</v>
      </c>
    </row>
    <row r="10" spans="1:12" ht="15.75" thickBot="1" x14ac:dyDescent="0.3">
      <c r="A10" t="s">
        <v>51</v>
      </c>
      <c r="B10" s="1">
        <v>2238</v>
      </c>
      <c r="C10" s="5">
        <v>9</v>
      </c>
      <c r="D10" s="21">
        <f t="shared" si="0"/>
        <v>2498.768468877759</v>
      </c>
      <c r="E10" s="22">
        <f t="shared" si="1"/>
        <v>-260.76846887775901</v>
      </c>
      <c r="F10" s="21"/>
      <c r="G10" s="25" t="s">
        <v>665</v>
      </c>
      <c r="H10" s="25">
        <v>26</v>
      </c>
    </row>
    <row r="11" spans="1:12" x14ac:dyDescent="0.25">
      <c r="A11" t="s">
        <v>52</v>
      </c>
      <c r="B11" s="1">
        <v>3473</v>
      </c>
      <c r="C11" s="5">
        <v>10</v>
      </c>
      <c r="D11" s="21">
        <f t="shared" si="0"/>
        <v>2507.8764281878798</v>
      </c>
      <c r="E11" s="22">
        <f t="shared" si="1"/>
        <v>965.12357181212019</v>
      </c>
      <c r="F11" s="21"/>
    </row>
    <row r="12" spans="1:12" ht="15.75" thickBot="1" x14ac:dyDescent="0.3">
      <c r="A12" t="s">
        <v>53</v>
      </c>
      <c r="B12" s="1">
        <v>2339</v>
      </c>
      <c r="C12" s="5">
        <v>11</v>
      </c>
      <c r="D12" s="21">
        <f t="shared" si="0"/>
        <v>2516.9843874980002</v>
      </c>
      <c r="E12" s="22">
        <f t="shared" si="1"/>
        <v>-177.98438749800016</v>
      </c>
      <c r="F12" s="21"/>
      <c r="G12" t="s">
        <v>666</v>
      </c>
    </row>
    <row r="13" spans="1:12" x14ac:dyDescent="0.25">
      <c r="A13" t="s">
        <v>54</v>
      </c>
      <c r="B13" s="1">
        <v>2595</v>
      </c>
      <c r="C13" s="5">
        <v>12</v>
      </c>
      <c r="D13" s="21">
        <f t="shared" si="0"/>
        <v>2526.092346808121</v>
      </c>
      <c r="E13" s="22">
        <f t="shared" si="1"/>
        <v>68.907653191879035</v>
      </c>
      <c r="F13" s="21"/>
      <c r="G13" s="26"/>
      <c r="H13" s="26" t="s">
        <v>429</v>
      </c>
      <c r="I13" s="26" t="s">
        <v>667</v>
      </c>
      <c r="J13" s="26" t="s">
        <v>668</v>
      </c>
      <c r="K13" s="26" t="s">
        <v>430</v>
      </c>
      <c r="L13" s="26" t="s">
        <v>669</v>
      </c>
    </row>
    <row r="14" spans="1:12" x14ac:dyDescent="0.25">
      <c r="A14" t="s">
        <v>55</v>
      </c>
      <c r="B14" s="1">
        <v>2574</v>
      </c>
      <c r="C14" s="5">
        <v>13</v>
      </c>
      <c r="D14" s="21">
        <f t="shared" si="0"/>
        <v>2535.2003061182418</v>
      </c>
      <c r="E14" s="22">
        <f t="shared" si="1"/>
        <v>38.79969388175823</v>
      </c>
      <c r="F14" s="21"/>
      <c r="G14" s="24" t="s">
        <v>431</v>
      </c>
      <c r="H14" s="24">
        <v>1</v>
      </c>
      <c r="I14" s="24">
        <v>121321.57458741497</v>
      </c>
      <c r="J14" s="24">
        <v>121321.57458741497</v>
      </c>
      <c r="K14" s="24">
        <v>1.008144420831707</v>
      </c>
      <c r="L14" s="24">
        <v>0.32536435079938841</v>
      </c>
    </row>
    <row r="15" spans="1:12" x14ac:dyDescent="0.25">
      <c r="A15" t="s">
        <v>56</v>
      </c>
      <c r="B15" s="1">
        <v>2641</v>
      </c>
      <c r="C15" s="5">
        <v>14</v>
      </c>
      <c r="D15" s="21">
        <f t="shared" si="0"/>
        <v>2544.3082654283626</v>
      </c>
      <c r="E15" s="22">
        <f t="shared" si="1"/>
        <v>96.691734571637426</v>
      </c>
      <c r="F15" s="21"/>
      <c r="G15" s="24" t="s">
        <v>432</v>
      </c>
      <c r="H15" s="24">
        <v>24</v>
      </c>
      <c r="I15" s="24">
        <v>2888195.113648328</v>
      </c>
      <c r="J15" s="24">
        <v>120341.46306868033</v>
      </c>
      <c r="K15" s="24"/>
      <c r="L15" s="24"/>
    </row>
    <row r="16" spans="1:12" ht="15.75" thickBot="1" x14ac:dyDescent="0.3">
      <c r="A16" t="s">
        <v>670</v>
      </c>
      <c r="B16" s="1">
        <v>2205</v>
      </c>
      <c r="C16" s="5">
        <v>15</v>
      </c>
      <c r="D16" s="21">
        <f t="shared" si="0"/>
        <v>2553.4162247384829</v>
      </c>
      <c r="E16" s="22">
        <f t="shared" si="1"/>
        <v>-348.41622473848292</v>
      </c>
      <c r="F16" s="21"/>
      <c r="G16" s="25" t="s">
        <v>433</v>
      </c>
      <c r="H16" s="25">
        <v>25</v>
      </c>
      <c r="I16" s="25">
        <v>3009516.688235743</v>
      </c>
      <c r="J16" s="25"/>
      <c r="K16" s="25"/>
      <c r="L16" s="25"/>
    </row>
    <row r="17" spans="1:15" ht="15.75" thickBot="1" x14ac:dyDescent="0.3">
      <c r="A17" t="s">
        <v>58</v>
      </c>
      <c r="B17" s="1">
        <v>2523</v>
      </c>
      <c r="C17" s="5">
        <v>16</v>
      </c>
      <c r="D17" s="21">
        <f t="shared" si="0"/>
        <v>2562.5241840486037</v>
      </c>
      <c r="E17" s="22">
        <f t="shared" si="1"/>
        <v>-39.524184048603729</v>
      </c>
      <c r="F17" s="21"/>
    </row>
    <row r="18" spans="1:15" x14ac:dyDescent="0.25">
      <c r="A18" t="s">
        <v>59</v>
      </c>
      <c r="B18" s="1">
        <v>2700</v>
      </c>
      <c r="C18" s="5">
        <v>17</v>
      </c>
      <c r="D18" s="21">
        <f t="shared" si="0"/>
        <v>2571.6321433587245</v>
      </c>
      <c r="E18" s="22">
        <f t="shared" si="1"/>
        <v>128.36785664127547</v>
      </c>
      <c r="F18" s="21"/>
      <c r="G18" s="26"/>
      <c r="H18" s="26" t="s">
        <v>671</v>
      </c>
      <c r="I18" s="26" t="s">
        <v>664</v>
      </c>
      <c r="J18" s="26" t="s">
        <v>672</v>
      </c>
      <c r="K18" s="26" t="s">
        <v>673</v>
      </c>
      <c r="L18" s="26" t="s">
        <v>674</v>
      </c>
      <c r="M18" s="26" t="s">
        <v>675</v>
      </c>
      <c r="N18" s="26" t="s">
        <v>676</v>
      </c>
      <c r="O18" s="26" t="s">
        <v>677</v>
      </c>
    </row>
    <row r="19" spans="1:15" x14ac:dyDescent="0.25">
      <c r="A19" t="s">
        <v>60</v>
      </c>
      <c r="B19" s="1">
        <v>2130</v>
      </c>
      <c r="C19" s="5">
        <v>18</v>
      </c>
      <c r="D19" s="21">
        <f t="shared" si="0"/>
        <v>2580.7401026688449</v>
      </c>
      <c r="E19" s="22">
        <f t="shared" si="1"/>
        <v>-450.74010266884488</v>
      </c>
      <c r="F19" s="21"/>
      <c r="G19" s="24" t="s">
        <v>678</v>
      </c>
      <c r="H19" s="24">
        <v>2416.7968350866731</v>
      </c>
      <c r="I19" s="24">
        <v>148.08405999920589</v>
      </c>
      <c r="J19" s="24">
        <v>16.320438777135319</v>
      </c>
      <c r="K19" s="24">
        <v>1.705708911839415E-14</v>
      </c>
      <c r="L19" s="24">
        <v>2111.1663566542738</v>
      </c>
      <c r="M19" s="24">
        <v>2722.4273135190724</v>
      </c>
      <c r="N19" s="24">
        <v>2111.1663566542738</v>
      </c>
      <c r="O19" s="24">
        <v>2722.4273135190724</v>
      </c>
    </row>
    <row r="20" spans="1:15" ht="15.75" thickBot="1" x14ac:dyDescent="0.3">
      <c r="A20" t="s">
        <v>61</v>
      </c>
      <c r="B20" s="1">
        <v>2717</v>
      </c>
      <c r="C20" s="5">
        <v>19</v>
      </c>
      <c r="D20" s="21">
        <f t="shared" si="0"/>
        <v>2589.8480619789657</v>
      </c>
      <c r="E20" s="22">
        <f t="shared" si="1"/>
        <v>127.15193802103431</v>
      </c>
      <c r="F20" s="21"/>
      <c r="G20" s="25">
        <v>1</v>
      </c>
      <c r="H20" s="25">
        <v>9.1079593101206591</v>
      </c>
      <c r="I20" s="25">
        <v>9.0710948111350884</v>
      </c>
      <c r="J20" s="25">
        <v>1.0040639525606454</v>
      </c>
      <c r="K20" s="25">
        <v>0.32536435079938864</v>
      </c>
      <c r="L20" s="25">
        <v>-9.6138602229724945</v>
      </c>
      <c r="M20" s="25">
        <v>27.829778843213813</v>
      </c>
      <c r="N20" s="25">
        <v>-9.6138602229724945</v>
      </c>
      <c r="O20" s="25">
        <v>27.829778843213813</v>
      </c>
    </row>
    <row r="21" spans="1:15" x14ac:dyDescent="0.25">
      <c r="A21" t="s">
        <v>62</v>
      </c>
      <c r="B21" s="27">
        <v>2426</v>
      </c>
      <c r="C21" s="5">
        <v>20</v>
      </c>
      <c r="D21" s="21">
        <f t="shared" si="0"/>
        <v>2598.9560212890865</v>
      </c>
      <c r="E21" s="22">
        <f t="shared" si="1"/>
        <v>-172.95602128908649</v>
      </c>
      <c r="F21" s="21"/>
    </row>
    <row r="22" spans="1:15" x14ac:dyDescent="0.25">
      <c r="A22" t="s">
        <v>63</v>
      </c>
      <c r="B22" s="1">
        <v>2658.7473002159827</v>
      </c>
      <c r="C22" s="5">
        <v>21</v>
      </c>
      <c r="D22" s="21">
        <f t="shared" si="0"/>
        <v>2608.0639805992068</v>
      </c>
      <c r="E22" s="22">
        <f t="shared" si="1"/>
        <v>50.683319616775862</v>
      </c>
      <c r="F22" s="21"/>
    </row>
    <row r="23" spans="1:15" x14ac:dyDescent="0.25">
      <c r="A23" t="s">
        <v>64</v>
      </c>
      <c r="B23" s="1">
        <v>2503.6710719530106</v>
      </c>
      <c r="C23" s="5">
        <v>22</v>
      </c>
      <c r="D23" s="21">
        <f t="shared" si="0"/>
        <v>2617.1719399093276</v>
      </c>
      <c r="E23" s="22">
        <f t="shared" si="1"/>
        <v>-113.50086795631705</v>
      </c>
      <c r="F23" s="21"/>
    </row>
    <row r="24" spans="1:15" x14ac:dyDescent="0.25">
      <c r="A24" t="s">
        <v>65</v>
      </c>
      <c r="B24" s="1">
        <v>2855</v>
      </c>
      <c r="C24" s="5">
        <v>23</v>
      </c>
      <c r="D24" s="21">
        <f t="shared" si="0"/>
        <v>2626.2798992194485</v>
      </c>
      <c r="E24" s="22">
        <f t="shared" si="1"/>
        <v>228.72010078055155</v>
      </c>
      <c r="F24" s="21"/>
    </row>
    <row r="25" spans="1:15" x14ac:dyDescent="0.25">
      <c r="A25" t="s">
        <v>66</v>
      </c>
      <c r="B25" s="1">
        <v>2105</v>
      </c>
      <c r="C25" s="5">
        <v>24</v>
      </c>
      <c r="D25" s="21">
        <f t="shared" si="0"/>
        <v>2635.3878585295688</v>
      </c>
      <c r="E25" s="22">
        <f t="shared" si="1"/>
        <v>-530.3878585295688</v>
      </c>
      <c r="F25" s="21"/>
    </row>
    <row r="26" spans="1:15" x14ac:dyDescent="0.25">
      <c r="A26" t="s">
        <v>67</v>
      </c>
      <c r="B26" s="1">
        <v>2752</v>
      </c>
      <c r="C26" s="5">
        <v>25</v>
      </c>
      <c r="D26" s="21">
        <f t="shared" si="0"/>
        <v>2644.4958178396896</v>
      </c>
      <c r="E26" s="22">
        <f t="shared" si="1"/>
        <v>107.50418216031039</v>
      </c>
      <c r="F26" s="21"/>
    </row>
    <row r="27" spans="1:15" x14ac:dyDescent="0.25">
      <c r="A27" t="s">
        <v>68</v>
      </c>
      <c r="B27" s="1">
        <v>3016</v>
      </c>
      <c r="C27" s="5">
        <v>26</v>
      </c>
      <c r="D27" s="21">
        <f t="shared" si="0"/>
        <v>2653.6037771498104</v>
      </c>
      <c r="E27" s="22">
        <f t="shared" si="1"/>
        <v>362.39622285018959</v>
      </c>
    </row>
    <row r="28" spans="1:15" x14ac:dyDescent="0.25">
      <c r="A28" t="s">
        <v>69</v>
      </c>
      <c r="B28" s="1">
        <v>2720</v>
      </c>
      <c r="C28" s="5">
        <v>27</v>
      </c>
      <c r="D28" s="21">
        <f t="shared" si="0"/>
        <v>2662.7117364599308</v>
      </c>
      <c r="E28" s="22">
        <f t="shared" si="1"/>
        <v>57.288263540069238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8"/>
  <sheetViews>
    <sheetView tabSelected="1" topLeftCell="A16" zoomScale="85" zoomScaleNormal="85" workbookViewId="0">
      <selection activeCell="AC33" sqref="AC33"/>
    </sheetView>
  </sheetViews>
  <sheetFormatPr defaultRowHeight="15" x14ac:dyDescent="0.25"/>
  <cols>
    <col min="1" max="1" width="9.140625" style="8"/>
    <col min="2" max="3" width="9.28515625" style="8" bestFit="1" customWidth="1"/>
    <col min="4" max="4" width="11.42578125" style="8" bestFit="1" customWidth="1"/>
    <col min="5" max="5" width="11.85546875" style="8" bestFit="1" customWidth="1"/>
    <col min="6" max="6" width="11.7109375" style="8" bestFit="1" customWidth="1"/>
    <col min="7" max="16384" width="9.140625" style="8"/>
  </cols>
  <sheetData>
    <row r="1" spans="1:61" x14ac:dyDescent="0.25">
      <c r="B1" s="8" t="s">
        <v>310</v>
      </c>
      <c r="C1" s="8" t="s">
        <v>311</v>
      </c>
      <c r="D1" s="8" t="s">
        <v>312</v>
      </c>
      <c r="E1" s="8" t="s">
        <v>32</v>
      </c>
      <c r="F1" s="8" t="s">
        <v>41</v>
      </c>
      <c r="G1" s="8" t="s">
        <v>42</v>
      </c>
      <c r="H1" s="8" t="s">
        <v>80</v>
      </c>
      <c r="I1" s="8" t="s">
        <v>81</v>
      </c>
      <c r="J1" s="8" t="s">
        <v>90</v>
      </c>
      <c r="K1" s="8" t="s">
        <v>91</v>
      </c>
      <c r="L1" s="8" t="s">
        <v>92</v>
      </c>
      <c r="M1" s="8" t="s">
        <v>93</v>
      </c>
      <c r="N1" s="8" t="s">
        <v>94</v>
      </c>
      <c r="O1" s="8" t="s">
        <v>95</v>
      </c>
      <c r="P1" s="8" t="s">
        <v>96</v>
      </c>
      <c r="Q1" s="8" t="s">
        <v>97</v>
      </c>
      <c r="R1" s="8" t="s">
        <v>98</v>
      </c>
      <c r="S1" s="8" t="s">
        <v>99</v>
      </c>
      <c r="T1" s="8" t="s">
        <v>108</v>
      </c>
      <c r="U1" s="8" t="s">
        <v>109</v>
      </c>
      <c r="V1" s="8" t="s">
        <v>118</v>
      </c>
      <c r="W1" s="8" t="s">
        <v>119</v>
      </c>
      <c r="X1" s="8" t="s">
        <v>128</v>
      </c>
      <c r="Y1" s="8" t="s">
        <v>129</v>
      </c>
      <c r="Z1" s="8" t="s">
        <v>138</v>
      </c>
      <c r="AA1" s="8" t="s">
        <v>139</v>
      </c>
      <c r="AB1" s="8" t="s">
        <v>148</v>
      </c>
      <c r="AC1" s="8" t="s">
        <v>149</v>
      </c>
      <c r="AD1" s="8" t="s">
        <v>158</v>
      </c>
      <c r="AE1" s="8" t="s">
        <v>159</v>
      </c>
      <c r="AF1" s="8" t="s">
        <v>168</v>
      </c>
      <c r="AG1" s="8" t="s">
        <v>169</v>
      </c>
      <c r="AH1" s="8" t="s">
        <v>178</v>
      </c>
      <c r="AI1" s="8" t="s">
        <v>179</v>
      </c>
      <c r="AJ1" s="8" t="s">
        <v>188</v>
      </c>
      <c r="AK1" s="8" t="s">
        <v>189</v>
      </c>
      <c r="AL1" s="8" t="s">
        <v>198</v>
      </c>
      <c r="AM1" s="8" t="s">
        <v>199</v>
      </c>
      <c r="AN1" s="8" t="s">
        <v>208</v>
      </c>
      <c r="AO1" s="8" t="s">
        <v>209</v>
      </c>
      <c r="AP1" s="8" t="s">
        <v>218</v>
      </c>
      <c r="AQ1" s="8" t="s">
        <v>219</v>
      </c>
      <c r="AR1" s="8" t="s">
        <v>228</v>
      </c>
      <c r="AS1" s="8" t="s">
        <v>229</v>
      </c>
      <c r="AT1" s="8" t="s">
        <v>238</v>
      </c>
      <c r="AU1" s="8" t="s">
        <v>239</v>
      </c>
      <c r="AV1" s="8" t="s">
        <v>248</v>
      </c>
      <c r="AW1" s="8" t="s">
        <v>249</v>
      </c>
      <c r="AX1" s="8" t="s">
        <v>258</v>
      </c>
      <c r="AY1" s="8" t="s">
        <v>259</v>
      </c>
      <c r="AZ1" s="8" t="s">
        <v>268</v>
      </c>
      <c r="BA1" s="8" t="s">
        <v>269</v>
      </c>
      <c r="BB1" s="8" t="s">
        <v>278</v>
      </c>
      <c r="BC1" s="8" t="s">
        <v>279</v>
      </c>
      <c r="BD1" s="8" t="s">
        <v>288</v>
      </c>
      <c r="BE1" s="8" t="s">
        <v>289</v>
      </c>
      <c r="BF1" s="8" t="s">
        <v>298</v>
      </c>
      <c r="BG1" s="8" t="s">
        <v>299</v>
      </c>
      <c r="BH1" s="8" t="s">
        <v>308</v>
      </c>
      <c r="BI1" s="8" t="s">
        <v>309</v>
      </c>
    </row>
    <row r="2" spans="1:61" x14ac:dyDescent="0.25">
      <c r="A2" s="8" t="s">
        <v>43</v>
      </c>
      <c r="B2" s="9">
        <v>1907</v>
      </c>
      <c r="C2" s="9">
        <f t="shared" ref="C2:C28" si="0">$D$55+($D$56*AG2)+($D$57*AC2)</f>
        <v>2122.2735991246905</v>
      </c>
      <c r="D2" s="10">
        <f t="shared" ref="D2:D27" si="1">(B2-C2)/B2*100</f>
        <v>-11.288599849223411</v>
      </c>
      <c r="E2" s="8">
        <v>1</v>
      </c>
      <c r="F2" s="7">
        <v>199.625</v>
      </c>
      <c r="G2" s="8">
        <v>-39.090335376417265</v>
      </c>
      <c r="H2" s="7">
        <v>620.0589285714284</v>
      </c>
      <c r="I2" s="8">
        <v>-106.55214959901848</v>
      </c>
      <c r="J2" s="7">
        <v>267.60535714285714</v>
      </c>
      <c r="K2" s="8">
        <v>-65.95862818725459</v>
      </c>
      <c r="L2" s="7">
        <v>1179.7989362250346</v>
      </c>
      <c r="M2" s="8">
        <v>258.42092964165988</v>
      </c>
      <c r="N2" s="7">
        <v>466.70417346681495</v>
      </c>
      <c r="O2" s="8">
        <v>-27.896358197826459</v>
      </c>
      <c r="P2" s="7">
        <v>149.30185924340716</v>
      </c>
      <c r="Q2" s="8">
        <v>12.123456677033346</v>
      </c>
      <c r="R2" s="7">
        <v>135.45694451633997</v>
      </c>
      <c r="S2" s="8">
        <v>-8.0240496764432319</v>
      </c>
      <c r="T2" s="7">
        <v>6219.2310140306126</v>
      </c>
      <c r="U2" s="8">
        <v>-1469.3582208184889</v>
      </c>
      <c r="V2" s="7">
        <v>2691.0398788265311</v>
      </c>
      <c r="W2" s="8">
        <v>-928.18880790113167</v>
      </c>
      <c r="X2" s="7">
        <v>11742.323610049694</v>
      </c>
      <c r="Y2" s="8">
        <v>965.81795418920137</v>
      </c>
      <c r="Z2" s="7">
        <v>4644.8336588116799</v>
      </c>
      <c r="AA2" s="8">
        <v>-497.63958193232622</v>
      </c>
      <c r="AB2" s="7">
        <v>1494.9119393182332</v>
      </c>
      <c r="AC2" s="8">
        <v>-26.879772321701971</v>
      </c>
      <c r="AD2" s="7">
        <v>1353.5710199296529</v>
      </c>
      <c r="AE2" s="8">
        <v>-144.57413649378407</v>
      </c>
      <c r="AF2" s="7">
        <v>8437.7365911989782</v>
      </c>
      <c r="AG2" s="8">
        <v>-2216.9796168804223</v>
      </c>
      <c r="AH2" s="7">
        <v>36548.776671988773</v>
      </c>
      <c r="AI2" s="8">
        <v>5839.9124757488898</v>
      </c>
      <c r="AJ2" s="7">
        <v>14491.68688535866</v>
      </c>
      <c r="AK2" s="8">
        <v>-1141.7413577912234</v>
      </c>
      <c r="AL2" s="7">
        <v>4688.6344443276703</v>
      </c>
      <c r="AM2" s="8">
        <v>221.8247969064106</v>
      </c>
      <c r="AN2" s="7">
        <v>4235.346759201514</v>
      </c>
      <c r="AO2" s="8">
        <v>-312.55085053243943</v>
      </c>
      <c r="AP2" s="7">
        <v>15752.469330122503</v>
      </c>
      <c r="AQ2" s="8">
        <v>-409.30129319306803</v>
      </c>
      <c r="AR2" s="7">
        <v>6248.7497863239387</v>
      </c>
      <c r="AS2" s="8">
        <v>-882.6305033783342</v>
      </c>
      <c r="AT2" s="7">
        <v>2047.8802852118588</v>
      </c>
      <c r="AU2" s="8">
        <v>-107.14649826517243</v>
      </c>
      <c r="AV2" s="7">
        <v>1839.546782666022</v>
      </c>
      <c r="AW2" s="8">
        <v>-230.7964123306372</v>
      </c>
      <c r="AX2" s="7">
        <v>28059.985318004514</v>
      </c>
      <c r="AY2" s="8">
        <v>-214.99858495525959</v>
      </c>
      <c r="AZ2" s="7">
        <v>8986.8751512644885</v>
      </c>
      <c r="BA2" s="8">
        <v>1109.3213796254486</v>
      </c>
      <c r="BB2" s="7">
        <v>8142.4426459482193</v>
      </c>
      <c r="BC2" s="8">
        <v>-38.04484855291868</v>
      </c>
      <c r="BD2" s="7">
        <v>3562.6887422533432</v>
      </c>
      <c r="BE2" s="8">
        <v>-165.73267952420761</v>
      </c>
      <c r="BF2" s="7">
        <v>3340.5126656655975</v>
      </c>
      <c r="BG2" s="8">
        <v>-362.66916658351573</v>
      </c>
      <c r="BH2" s="7">
        <v>1042.5747260163005</v>
      </c>
      <c r="BI2" s="8">
        <v>-31.902386463861369</v>
      </c>
    </row>
    <row r="3" spans="1:61" x14ac:dyDescent="0.25">
      <c r="A3" s="8" t="s">
        <v>44</v>
      </c>
      <c r="B3" s="9">
        <v>2114</v>
      </c>
      <c r="C3" s="9">
        <f t="shared" si="0"/>
        <v>2457.3113836282041</v>
      </c>
      <c r="D3" s="10">
        <f t="shared" si="1"/>
        <v>-16.239895157436337</v>
      </c>
      <c r="E3" s="8">
        <v>2</v>
      </c>
      <c r="F3" s="7">
        <v>197.2607142857143</v>
      </c>
      <c r="G3" s="8">
        <v>-37.595404981177836</v>
      </c>
      <c r="H3" s="7">
        <v>600.70357142857142</v>
      </c>
      <c r="I3" s="8">
        <v>-101.72990068241937</v>
      </c>
      <c r="J3" s="7">
        <v>238.11964285714285</v>
      </c>
      <c r="K3" s="8">
        <v>-58.06305667328737</v>
      </c>
      <c r="L3" s="7">
        <v>1177.8698578179906</v>
      </c>
      <c r="M3" s="8">
        <v>253.21690938485517</v>
      </c>
      <c r="N3" s="7">
        <v>442.49305278911004</v>
      </c>
      <c r="O3" s="8">
        <v>-24.402940886248583</v>
      </c>
      <c r="P3" s="7">
        <v>139.281116657881</v>
      </c>
      <c r="Q3" s="8">
        <v>10.968836142313865</v>
      </c>
      <c r="R3" s="7">
        <v>134.91982257342309</v>
      </c>
      <c r="S3" s="8">
        <v>-6.1511563586969231</v>
      </c>
      <c r="T3" s="7">
        <v>5926.610114795918</v>
      </c>
      <c r="U3" s="8">
        <v>-1347.1244069303818</v>
      </c>
      <c r="V3" s="7">
        <v>2337.4250956632654</v>
      </c>
      <c r="W3" s="8">
        <v>-799.48979910658284</v>
      </c>
      <c r="X3" s="7">
        <v>11582.984531879707</v>
      </c>
      <c r="Y3" s="8">
        <v>994.10370970908241</v>
      </c>
      <c r="Z3" s="7">
        <v>4318.7227986660328</v>
      </c>
      <c r="AA3" s="8">
        <v>-451.18369503663689</v>
      </c>
      <c r="AB3" s="7">
        <v>1364.1123295995524</v>
      </c>
      <c r="AC3" s="8">
        <v>-29.582789431586917</v>
      </c>
      <c r="AD3" s="7">
        <v>1319.0140379773206</v>
      </c>
      <c r="AE3" s="8">
        <v>-125.23331421109879</v>
      </c>
      <c r="AF3" s="7">
        <v>7319.9693813775511</v>
      </c>
      <c r="AG3" s="8">
        <v>-1886.4689232343599</v>
      </c>
      <c r="AH3" s="7">
        <v>35235.707183207458</v>
      </c>
      <c r="AI3" s="8">
        <v>5520.6100321323811</v>
      </c>
      <c r="AJ3" s="7">
        <v>13211.123481931591</v>
      </c>
      <c r="AK3" s="8">
        <v>-898.06584124898313</v>
      </c>
      <c r="AL3" s="7">
        <v>4250.4064209942308</v>
      </c>
      <c r="AM3" s="8">
        <v>205.84800888686712</v>
      </c>
      <c r="AN3" s="7">
        <v>4106.7498557319659</v>
      </c>
      <c r="AO3" s="8">
        <v>-239.63191718851809</v>
      </c>
      <c r="AP3" s="7">
        <v>13986.930740906826</v>
      </c>
      <c r="AQ3" s="8">
        <v>-416.46968887972105</v>
      </c>
      <c r="AR3" s="7">
        <v>5379.0713605664041</v>
      </c>
      <c r="AS3" s="8">
        <v>-711.04672210165563</v>
      </c>
      <c r="AT3" s="7">
        <v>1765.5671093298004</v>
      </c>
      <c r="AU3" s="8">
        <v>-101.49570548668669</v>
      </c>
      <c r="AV3" s="7">
        <v>1698.143875085233</v>
      </c>
      <c r="AW3" s="8">
        <v>-185.2932025275947</v>
      </c>
      <c r="AX3" s="7">
        <v>26946.222220195945</v>
      </c>
      <c r="AY3" s="8">
        <v>-726.39150807249791</v>
      </c>
      <c r="AZ3" s="7">
        <v>8445.7152700383504</v>
      </c>
      <c r="BA3" s="8">
        <v>951.4368544065477</v>
      </c>
      <c r="BB3" s="7">
        <v>8129.1902612620579</v>
      </c>
      <c r="BC3" s="8">
        <v>-47.938815464534905</v>
      </c>
      <c r="BD3" s="7">
        <v>3239.3181728582131</v>
      </c>
      <c r="BE3" s="8">
        <v>-182.44879793866087</v>
      </c>
      <c r="BF3" s="7">
        <v>3156.741758232552</v>
      </c>
      <c r="BG3" s="8">
        <v>-311.99454629776068</v>
      </c>
      <c r="BH3" s="7">
        <v>1008.0172832522081</v>
      </c>
      <c r="BI3" s="8">
        <v>-26.143004192454146</v>
      </c>
    </row>
    <row r="4" spans="1:61" x14ac:dyDescent="0.25">
      <c r="A4" s="8" t="s">
        <v>45</v>
      </c>
      <c r="B4" s="9">
        <v>1979</v>
      </c>
      <c r="C4" s="9">
        <f t="shared" si="0"/>
        <v>1754.1200027998552</v>
      </c>
      <c r="D4" s="10">
        <f t="shared" si="1"/>
        <v>11.363314663979018</v>
      </c>
      <c r="E4" s="8">
        <v>3</v>
      </c>
      <c r="F4" s="7">
        <v>192.03749999999997</v>
      </c>
      <c r="G4" s="8">
        <v>-37.068038544677059</v>
      </c>
      <c r="H4" s="7">
        <v>631.93571428571431</v>
      </c>
      <c r="I4" s="8">
        <v>-107.30520265971732</v>
      </c>
      <c r="J4" s="7">
        <v>269.60535714285714</v>
      </c>
      <c r="K4" s="8">
        <v>-70.030925380725861</v>
      </c>
      <c r="L4" s="7">
        <v>1113.7737171791732</v>
      </c>
      <c r="M4" s="8">
        <v>227.00011729753271</v>
      </c>
      <c r="N4" s="7">
        <v>501.43393212338492</v>
      </c>
      <c r="O4" s="8">
        <v>-32.413050085346093</v>
      </c>
      <c r="P4" s="7">
        <v>153.00269788595128</v>
      </c>
      <c r="Q4" s="8">
        <v>8.971137662478192</v>
      </c>
      <c r="R4" s="7">
        <v>158.9916954908044</v>
      </c>
      <c r="S4" s="8">
        <v>-8.897548091776379</v>
      </c>
      <c r="T4" s="7">
        <v>6091.593737244898</v>
      </c>
      <c r="U4" s="8">
        <v>-1403.9552759642811</v>
      </c>
      <c r="V4" s="7">
        <v>2591.509461096939</v>
      </c>
      <c r="W4" s="8">
        <v>-908.31844810318557</v>
      </c>
      <c r="X4" s="7">
        <v>10587.882193678195</v>
      </c>
      <c r="Y4" s="8">
        <v>794.8151299167406</v>
      </c>
      <c r="Z4" s="7">
        <v>4764.7318525884539</v>
      </c>
      <c r="AA4" s="8">
        <v>-545.98051220534353</v>
      </c>
      <c r="AB4" s="7">
        <v>1458.7847957277206</v>
      </c>
      <c r="AC4" s="8">
        <v>-48.242553148826509</v>
      </c>
      <c r="AD4" s="7">
        <v>1525.0211196615312</v>
      </c>
      <c r="AE4" s="8">
        <v>-156.54665717710444</v>
      </c>
      <c r="AF4" s="7">
        <v>8596.6197321428554</v>
      </c>
      <c r="AG4" s="8">
        <v>-2328.3746428223349</v>
      </c>
      <c r="AH4" s="7">
        <v>34944.396531715523</v>
      </c>
      <c r="AI4" s="8">
        <v>4900.3107833328786</v>
      </c>
      <c r="AJ4" s="7">
        <v>15810.516924151358</v>
      </c>
      <c r="AK4" s="8">
        <v>-1261.3386237085083</v>
      </c>
      <c r="AL4" s="7">
        <v>4864.274061731624</v>
      </c>
      <c r="AM4" s="8">
        <v>104.76292019518833</v>
      </c>
      <c r="AN4" s="7">
        <v>5064.8165013633525</v>
      </c>
      <c r="AO4" s="8">
        <v>-378.49005343603983</v>
      </c>
      <c r="AP4" s="7">
        <v>15205.974611477346</v>
      </c>
      <c r="AQ4" s="8">
        <v>-902.59072045782625</v>
      </c>
      <c r="AR4" s="7">
        <v>6995.5429806680158</v>
      </c>
      <c r="AS4" s="8">
        <v>-1126.3618361702111</v>
      </c>
      <c r="AT4" s="7">
        <v>2141.0847957218521</v>
      </c>
      <c r="AU4" s="8">
        <v>-207.39539756455684</v>
      </c>
      <c r="AV4" s="7">
        <v>2238.3480363241943</v>
      </c>
      <c r="AW4" s="8">
        <v>-316.07106163725268</v>
      </c>
      <c r="AX4" s="7">
        <v>28912.113441687889</v>
      </c>
      <c r="AY4" s="8">
        <v>-864.64180638794994</v>
      </c>
      <c r="AZ4" s="7">
        <v>8849.7562814033263</v>
      </c>
      <c r="BA4" s="8">
        <v>788.15320830327869</v>
      </c>
      <c r="BB4" s="7">
        <v>9108.0220710728117</v>
      </c>
      <c r="BC4" s="8">
        <v>-71.212478993881078</v>
      </c>
      <c r="BD4" s="7">
        <v>4009.0143822243695</v>
      </c>
      <c r="BE4" s="8">
        <v>-274.59662907911678</v>
      </c>
      <c r="BF4" s="7">
        <v>4339.2095283242024</v>
      </c>
      <c r="BG4" s="8">
        <v>-427.86811717284036</v>
      </c>
      <c r="BH4" s="7">
        <v>1284.7229131493748</v>
      </c>
      <c r="BI4" s="8">
        <v>-53.15232342263247</v>
      </c>
    </row>
    <row r="5" spans="1:61" x14ac:dyDescent="0.25">
      <c r="A5" s="8" t="s">
        <v>46</v>
      </c>
      <c r="B5" s="9">
        <v>2756</v>
      </c>
      <c r="C5" s="9">
        <f t="shared" si="0"/>
        <v>2695.5029774171867</v>
      </c>
      <c r="D5" s="10">
        <f t="shared" si="1"/>
        <v>2.1951024159221086</v>
      </c>
      <c r="E5" s="8">
        <v>4</v>
      </c>
      <c r="F5" s="7">
        <v>197.36071428571427</v>
      </c>
      <c r="G5" s="8">
        <v>-38.156545124952324</v>
      </c>
      <c r="H5" s="7">
        <v>610.82142857142867</v>
      </c>
      <c r="I5" s="8">
        <v>-103.06739196017197</v>
      </c>
      <c r="J5" s="7">
        <v>221.34464285714284</v>
      </c>
      <c r="K5" s="8">
        <v>-53.788122114270074</v>
      </c>
      <c r="L5" s="7">
        <v>1240.7963511315095</v>
      </c>
      <c r="M5" s="8">
        <v>272.32252671793509</v>
      </c>
      <c r="N5" s="7">
        <v>453.81212231056799</v>
      </c>
      <c r="O5" s="8">
        <v>-19.748368092378289</v>
      </c>
      <c r="P5" s="7">
        <v>143.83785853607233</v>
      </c>
      <c r="Q5" s="8">
        <v>12.121233085261993</v>
      </c>
      <c r="R5" s="7">
        <v>136.67806225368744</v>
      </c>
      <c r="S5" s="8">
        <v>-7.1477934227199498</v>
      </c>
      <c r="T5" s="7">
        <v>6031.6066581632667</v>
      </c>
      <c r="U5" s="8">
        <v>-1397.8687660361963</v>
      </c>
      <c r="V5" s="7">
        <v>2181.7540880102042</v>
      </c>
      <c r="W5" s="8">
        <v>-732.46815525101863</v>
      </c>
      <c r="X5" s="7">
        <v>12223.906526742274</v>
      </c>
      <c r="Y5" s="8">
        <v>1036.9416895004456</v>
      </c>
      <c r="Z5" s="7">
        <v>4436.9615536325146</v>
      </c>
      <c r="AA5" s="8">
        <v>-375.82092911250982</v>
      </c>
      <c r="AB5" s="7">
        <v>1416.7885267289221</v>
      </c>
      <c r="AC5" s="8">
        <v>-20.057664589622465</v>
      </c>
      <c r="AD5" s="7">
        <v>1339.6850232693155</v>
      </c>
      <c r="AE5" s="8">
        <v>-126.31526766335813</v>
      </c>
      <c r="AF5" s="7">
        <v>6919.7642474489785</v>
      </c>
      <c r="AG5" s="8">
        <v>-1769.9409929845065</v>
      </c>
      <c r="AH5" s="7">
        <v>37507.831814525234</v>
      </c>
      <c r="AI5" s="8">
        <v>5892.0755265722682</v>
      </c>
      <c r="AJ5" s="7">
        <v>13556.514921730735</v>
      </c>
      <c r="AK5" s="8">
        <v>-747.116193027299</v>
      </c>
      <c r="AL5" s="7">
        <v>4431.7885210387003</v>
      </c>
      <c r="AM5" s="8">
        <v>234.10333338264246</v>
      </c>
      <c r="AN5" s="7">
        <v>4175.152779097144</v>
      </c>
      <c r="AO5" s="8">
        <v>-266.42264924331027</v>
      </c>
      <c r="AP5" s="7">
        <v>13500.40369155084</v>
      </c>
      <c r="AQ5" s="8">
        <v>-432.97294783962235</v>
      </c>
      <c r="AR5" s="7">
        <v>4931.4591787062245</v>
      </c>
      <c r="AS5" s="8">
        <v>-585.58884959361501</v>
      </c>
      <c r="AT5" s="7">
        <v>1634.70102815981</v>
      </c>
      <c r="AU5" s="8">
        <v>-86.393252898653742</v>
      </c>
      <c r="AV5" s="7">
        <v>1541.1267696194022</v>
      </c>
      <c r="AW5" s="8">
        <v>-184.97268728090685</v>
      </c>
      <c r="AX5" s="7">
        <v>29107.316906951852</v>
      </c>
      <c r="AY5" s="8">
        <v>-254.51890451808697</v>
      </c>
      <c r="AZ5" s="7">
        <v>8941.4120617837234</v>
      </c>
      <c r="BA5" s="8">
        <v>1103.3801624741384</v>
      </c>
      <c r="BB5" s="7">
        <v>8593.2184274327083</v>
      </c>
      <c r="BC5" s="8">
        <v>-73.144648510595744</v>
      </c>
      <c r="BD5" s="7">
        <v>3304.9091128709383</v>
      </c>
      <c r="BE5" s="8">
        <v>-96.997848129745464</v>
      </c>
      <c r="BF5" s="7">
        <v>3303.9513495720153</v>
      </c>
      <c r="BG5" s="8">
        <v>-303.94123485515007</v>
      </c>
      <c r="BH5" s="7">
        <v>1005.4227225746233</v>
      </c>
      <c r="BI5" s="8">
        <v>-23.772380472975254</v>
      </c>
    </row>
    <row r="6" spans="1:61" x14ac:dyDescent="0.25">
      <c r="A6" s="8" t="s">
        <v>47</v>
      </c>
      <c r="B6" s="9">
        <v>3099</v>
      </c>
      <c r="C6" s="9">
        <f t="shared" si="0"/>
        <v>2465.5808204388341</v>
      </c>
      <c r="D6" s="10">
        <f t="shared" si="1"/>
        <v>20.439470137501324</v>
      </c>
      <c r="E6" s="8">
        <v>5</v>
      </c>
      <c r="F6" s="7">
        <v>191.28214285714287</v>
      </c>
      <c r="G6" s="8">
        <v>-35.234785762732287</v>
      </c>
      <c r="H6" s="7">
        <v>596.34464285714284</v>
      </c>
      <c r="I6" s="8">
        <v>-99.441725970113765</v>
      </c>
      <c r="J6" s="7">
        <v>244.25892857142856</v>
      </c>
      <c r="K6" s="8">
        <v>-58.530822918391848</v>
      </c>
      <c r="L6" s="7">
        <v>1401.4091018190563</v>
      </c>
      <c r="M6" s="8">
        <v>309.3728281119017</v>
      </c>
      <c r="N6" s="7">
        <v>563.7725632951973</v>
      </c>
      <c r="O6" s="8">
        <v>-20.520109280974005</v>
      </c>
      <c r="P6" s="7">
        <v>181.53951904420126</v>
      </c>
      <c r="Q6" s="8">
        <v>15.721294053063605</v>
      </c>
      <c r="R6" s="7">
        <v>203.78708137847443</v>
      </c>
      <c r="S6" s="8">
        <v>-8.3088703360602114</v>
      </c>
      <c r="T6" s="7">
        <v>5721.2184885204097</v>
      </c>
      <c r="U6" s="8">
        <v>-1254.0673598853773</v>
      </c>
      <c r="V6" s="7">
        <v>2329.5048660714283</v>
      </c>
      <c r="W6" s="8">
        <v>-781.42220965493698</v>
      </c>
      <c r="X6" s="7">
        <v>13455.200283710517</v>
      </c>
      <c r="Y6" s="8">
        <v>1190.7030539009647</v>
      </c>
      <c r="Z6" s="7">
        <v>5339.3483088919911</v>
      </c>
      <c r="AA6" s="8">
        <v>-480.86996854952389</v>
      </c>
      <c r="AB6" s="7">
        <v>1742.1556317662066</v>
      </c>
      <c r="AC6" s="8">
        <v>-30.696796100954607</v>
      </c>
      <c r="AD6" s="7">
        <v>1934.4063955214006</v>
      </c>
      <c r="AE6" s="8">
        <v>-183.13812575400129</v>
      </c>
      <c r="AF6" s="7">
        <v>7401.0931919642862</v>
      </c>
      <c r="AG6" s="8">
        <v>-1867.4744456750821</v>
      </c>
      <c r="AH6" s="7">
        <v>41615.716386658096</v>
      </c>
      <c r="AI6" s="8">
        <v>6478.5078901223733</v>
      </c>
      <c r="AJ6" s="7">
        <v>16804.204687053749</v>
      </c>
      <c r="AK6" s="8">
        <v>-817.83229430957317</v>
      </c>
      <c r="AL6" s="7">
        <v>5467.9596782297349</v>
      </c>
      <c r="AM6" s="8">
        <v>263.35495158779941</v>
      </c>
      <c r="AN6" s="7">
        <v>6042.3693496231626</v>
      </c>
      <c r="AO6" s="8">
        <v>-363.08725699556868</v>
      </c>
      <c r="AP6" s="7">
        <v>16911.502580012915</v>
      </c>
      <c r="AQ6" s="8">
        <v>-429.29597237134919</v>
      </c>
      <c r="AR6" s="7">
        <v>6906.2446618405793</v>
      </c>
      <c r="AS6" s="8">
        <v>-701.672053592986</v>
      </c>
      <c r="AT6" s="7">
        <v>2283.2088942116438</v>
      </c>
      <c r="AU6" s="8">
        <v>-111.16251160182905</v>
      </c>
      <c r="AV6" s="7">
        <v>2526.0178303467419</v>
      </c>
      <c r="AW6" s="8">
        <v>-251.57452840520352</v>
      </c>
      <c r="AX6" s="7">
        <v>39343.616204776234</v>
      </c>
      <c r="AY6" s="8">
        <v>-80.434480754043619</v>
      </c>
      <c r="AZ6" s="7">
        <v>12840.259322131315</v>
      </c>
      <c r="BA6" s="8">
        <v>1692.4013337853587</v>
      </c>
      <c r="BB6" s="7">
        <v>14627.891734822586</v>
      </c>
      <c r="BC6" s="8">
        <v>225.23151900447183</v>
      </c>
      <c r="BD6" s="7">
        <v>5086.2906641571508</v>
      </c>
      <c r="BE6" s="8">
        <v>-113.53507719866244</v>
      </c>
      <c r="BF6" s="7">
        <v>5662.356119230355</v>
      </c>
      <c r="BG6" s="8">
        <v>-475.56312261578177</v>
      </c>
      <c r="BH6" s="7">
        <v>1940.5874577809345</v>
      </c>
      <c r="BI6" s="8">
        <v>3.8372403355182971</v>
      </c>
    </row>
    <row r="7" spans="1:61" x14ac:dyDescent="0.25">
      <c r="A7" s="8" t="s">
        <v>48</v>
      </c>
      <c r="B7" s="9">
        <v>2401</v>
      </c>
      <c r="C7" s="9">
        <f t="shared" si="0"/>
        <v>2481.8412084362344</v>
      </c>
      <c r="D7" s="10">
        <f t="shared" si="1"/>
        <v>-3.3669807761863559</v>
      </c>
      <c r="E7" s="8">
        <v>6</v>
      </c>
      <c r="F7" s="7">
        <v>190.50535714285715</v>
      </c>
      <c r="G7" s="8">
        <v>-36.551125952483382</v>
      </c>
      <c r="H7" s="7">
        <v>581.96785714285716</v>
      </c>
      <c r="I7" s="8">
        <v>-100.07014328947957</v>
      </c>
      <c r="J7" s="7">
        <v>236.68214285714291</v>
      </c>
      <c r="K7" s="8">
        <v>-58.173058498545046</v>
      </c>
      <c r="L7" s="7">
        <v>1484.4897594763454</v>
      </c>
      <c r="M7" s="8">
        <v>309.20750151809864</v>
      </c>
      <c r="N7" s="7">
        <v>737.12347256388307</v>
      </c>
      <c r="O7" s="8">
        <v>-19.489509347541897</v>
      </c>
      <c r="P7" s="7">
        <v>184.27127752545499</v>
      </c>
      <c r="Q7" s="8">
        <v>16.097369625814725</v>
      </c>
      <c r="R7" s="7">
        <v>222.91401918900831</v>
      </c>
      <c r="S7" s="8">
        <v>-7.9455254233324988</v>
      </c>
      <c r="T7" s="7">
        <v>5568.7657716836729</v>
      </c>
      <c r="U7" s="8">
        <v>-1293.5889841122382</v>
      </c>
      <c r="V7" s="7">
        <v>2272.1090880102038</v>
      </c>
      <c r="W7" s="8">
        <v>-768.06568962260405</v>
      </c>
      <c r="X7" s="7">
        <v>14175.305887478948</v>
      </c>
      <c r="Y7" s="8">
        <v>993.6769718038463</v>
      </c>
      <c r="Z7" s="7">
        <v>7055.1531443737549</v>
      </c>
      <c r="AA7" s="8">
        <v>-546.46263323425774</v>
      </c>
      <c r="AB7" s="7">
        <v>1770.1454497452</v>
      </c>
      <c r="AC7" s="8">
        <v>-29.086417012533087</v>
      </c>
      <c r="AD7" s="7">
        <v>2145.2358966323886</v>
      </c>
      <c r="AE7" s="8">
        <v>-192.20143932373205</v>
      </c>
      <c r="AF7" s="7">
        <v>7079.2751147959198</v>
      </c>
      <c r="AG7" s="8">
        <v>-1869.4545112738519</v>
      </c>
      <c r="AH7" s="7">
        <v>43335.678384590166</v>
      </c>
      <c r="AI7" s="8">
        <v>6525.8758704660504</v>
      </c>
      <c r="AJ7" s="7">
        <v>21527.27576041346</v>
      </c>
      <c r="AK7" s="8">
        <v>-737.82996260911364</v>
      </c>
      <c r="AL7" s="7">
        <v>5471.5999901121995</v>
      </c>
      <c r="AM7" s="8">
        <v>329.81385192238707</v>
      </c>
      <c r="AN7" s="7">
        <v>6608.4039042164814</v>
      </c>
      <c r="AO7" s="8">
        <v>-292.57798457581555</v>
      </c>
      <c r="AP7" s="7">
        <v>17875.188621148081</v>
      </c>
      <c r="AQ7" s="8">
        <v>-494.14116012140266</v>
      </c>
      <c r="AR7" s="7">
        <v>9067.3917956599707</v>
      </c>
      <c r="AS7" s="8">
        <v>-874.73692553229841</v>
      </c>
      <c r="AT7" s="7">
        <v>2320.4565446144593</v>
      </c>
      <c r="AU7" s="8">
        <v>-108.26966520515411</v>
      </c>
      <c r="AV7" s="7">
        <v>2834.3905667875538</v>
      </c>
      <c r="AW7" s="8">
        <v>-290.31399139932876</v>
      </c>
      <c r="AX7" s="7">
        <v>58418.768568289364</v>
      </c>
      <c r="AY7" s="8">
        <v>1072.8794710800378</v>
      </c>
      <c r="AZ7" s="7">
        <v>14116.482345928169</v>
      </c>
      <c r="BA7" s="8">
        <v>1710.7174827772499</v>
      </c>
      <c r="BB7" s="7">
        <v>17599.221717067161</v>
      </c>
      <c r="BC7" s="8">
        <v>262.94397403080018</v>
      </c>
      <c r="BD7" s="7">
        <v>7247.7683625019408</v>
      </c>
      <c r="BE7" s="8">
        <v>-8.3555816138382362</v>
      </c>
      <c r="BF7" s="7">
        <v>9672.3974324053543</v>
      </c>
      <c r="BG7" s="8">
        <v>-508.48087084062109</v>
      </c>
      <c r="BH7" s="7">
        <v>2247.5768675398617</v>
      </c>
      <c r="BI7" s="8">
        <v>5.0308558327701842</v>
      </c>
    </row>
    <row r="8" spans="1:61" x14ac:dyDescent="0.25">
      <c r="A8" s="8" t="s">
        <v>49</v>
      </c>
      <c r="B8" s="9">
        <v>2607</v>
      </c>
      <c r="C8" s="9">
        <f t="shared" si="0"/>
        <v>2501.4253065230746</v>
      </c>
      <c r="D8" s="10">
        <f t="shared" si="1"/>
        <v>4.0496621970435518</v>
      </c>
      <c r="E8" s="8">
        <v>7</v>
      </c>
      <c r="F8" s="7">
        <v>186.28571428571428</v>
      </c>
      <c r="G8" s="8">
        <v>-35.920244383716302</v>
      </c>
      <c r="H8" s="7">
        <v>607.90000000000009</v>
      </c>
      <c r="I8" s="8">
        <v>-102.66396706055038</v>
      </c>
      <c r="J8" s="7">
        <v>234.3857142857143</v>
      </c>
      <c r="K8" s="8">
        <v>-55.329530962457255</v>
      </c>
      <c r="L8" s="7">
        <v>1439.9945578266668</v>
      </c>
      <c r="M8" s="8">
        <v>312.35048989701068</v>
      </c>
      <c r="N8" s="7">
        <v>583.68814464852221</v>
      </c>
      <c r="O8" s="8">
        <v>-31.94772608477659</v>
      </c>
      <c r="P8" s="7">
        <v>168.91756090224567</v>
      </c>
      <c r="Q8" s="8">
        <v>13.182928931128592</v>
      </c>
      <c r="R8" s="7">
        <v>170.64444384201769</v>
      </c>
      <c r="S8" s="8">
        <v>-10.475787453109071</v>
      </c>
      <c r="T8" s="7">
        <v>5681.6263469387759</v>
      </c>
      <c r="U8" s="8">
        <v>-1294.1576923745099</v>
      </c>
      <c r="V8" s="7">
        <v>2175.5971632653063</v>
      </c>
      <c r="W8" s="8">
        <v>-716.49952297668892</v>
      </c>
      <c r="X8" s="7">
        <v>13321.686884616278</v>
      </c>
      <c r="Y8" s="8">
        <v>1117.8059503938609</v>
      </c>
      <c r="Z8" s="7">
        <v>5320.8212672566151</v>
      </c>
      <c r="AA8" s="8">
        <v>-526.75027042101931</v>
      </c>
      <c r="AB8" s="7">
        <v>1560.7468222849316</v>
      </c>
      <c r="AC8" s="8">
        <v>-32.154800250884136</v>
      </c>
      <c r="AD8" s="7">
        <v>1570.4260212110783</v>
      </c>
      <c r="AE8" s="8">
        <v>-161.95740335080674</v>
      </c>
      <c r="AF8" s="7">
        <v>7295.8618367346926</v>
      </c>
      <c r="AG8" s="8">
        <v>-1820.0200184100561</v>
      </c>
      <c r="AH8" s="7">
        <v>43435.53926849056</v>
      </c>
      <c r="AI8" s="8">
        <v>6636.3105088267703</v>
      </c>
      <c r="AJ8" s="7">
        <v>17415.007784660065</v>
      </c>
      <c r="AK8" s="8">
        <v>-1120.0894040485703</v>
      </c>
      <c r="AL8" s="7">
        <v>5181.8666112946285</v>
      </c>
      <c r="AM8" s="8">
        <v>242.39207332908629</v>
      </c>
      <c r="AN8" s="7">
        <v>5169.5539340467485</v>
      </c>
      <c r="AO8" s="8">
        <v>-360.02446912086907</v>
      </c>
      <c r="AP8" s="7">
        <v>16730.120122266733</v>
      </c>
      <c r="AQ8" s="8">
        <v>-414.09208561854615</v>
      </c>
      <c r="AR8" s="7">
        <v>6749.2777988284051</v>
      </c>
      <c r="AS8" s="8">
        <v>-762.21513407247198</v>
      </c>
      <c r="AT8" s="7">
        <v>2054.0439797090694</v>
      </c>
      <c r="AU8" s="8">
        <v>-101.20546994359617</v>
      </c>
      <c r="AV8" s="7">
        <v>2021.2844922662036</v>
      </c>
      <c r="AW8" s="8">
        <v>-231.40077275796895</v>
      </c>
      <c r="AX8" s="7">
        <v>43358.370689001946</v>
      </c>
      <c r="AY8" s="8">
        <v>-783.40273192641007</v>
      </c>
      <c r="AZ8" s="7">
        <v>12207.044592078373</v>
      </c>
      <c r="BA8" s="8">
        <v>1419.2270100124556</v>
      </c>
      <c r="BB8" s="7">
        <v>12501.549541063368</v>
      </c>
      <c r="BC8" s="8">
        <v>-239.2708535409455</v>
      </c>
      <c r="BD8" s="7">
        <v>5057.0622443368748</v>
      </c>
      <c r="BE8" s="8">
        <v>-240.56309173328057</v>
      </c>
      <c r="BF8" s="7">
        <v>5323.820885040398</v>
      </c>
      <c r="BG8" s="8">
        <v>-627.55047680095095</v>
      </c>
      <c r="BH8" s="7">
        <v>1487.0207438187645</v>
      </c>
      <c r="BI8" s="8">
        <v>-57.066957383631674</v>
      </c>
    </row>
    <row r="9" spans="1:61" x14ac:dyDescent="0.25">
      <c r="A9" s="8" t="s">
        <v>50</v>
      </c>
      <c r="B9" s="9">
        <v>2143</v>
      </c>
      <c r="C9" s="9">
        <f t="shared" si="0"/>
        <v>2268.425860912319</v>
      </c>
      <c r="D9" s="10">
        <f t="shared" si="1"/>
        <v>-5.8528166547978984</v>
      </c>
      <c r="E9" s="8">
        <v>8</v>
      </c>
      <c r="F9" s="7">
        <v>186.31904761904764</v>
      </c>
      <c r="G9" s="8">
        <v>-35.941557031093559</v>
      </c>
      <c r="H9" s="7">
        <v>601.19821428571436</v>
      </c>
      <c r="I9" s="8">
        <v>-103.97184198107396</v>
      </c>
      <c r="J9" s="7">
        <v>245.10000000000002</v>
      </c>
      <c r="K9" s="8">
        <v>-61.940387211295516</v>
      </c>
      <c r="L9" s="7">
        <v>1529.7596296011354</v>
      </c>
      <c r="M9" s="8">
        <v>322.70262865153018</v>
      </c>
      <c r="N9" s="7">
        <v>822.53568315893858</v>
      </c>
      <c r="O9" s="8">
        <v>-85.869398709671543</v>
      </c>
      <c r="P9" s="7">
        <v>192.37581639368346</v>
      </c>
      <c r="Q9" s="8">
        <v>12.953552960484368</v>
      </c>
      <c r="R9" s="7">
        <v>233.49905165747782</v>
      </c>
      <c r="S9" s="8">
        <v>-26.885112918638558</v>
      </c>
      <c r="T9" s="7">
        <v>5636.7601360544222</v>
      </c>
      <c r="U9" s="8">
        <v>-1324.4830381012694</v>
      </c>
      <c r="V9" s="7">
        <v>2298.1620408163267</v>
      </c>
      <c r="W9" s="8">
        <v>-783.97877616820927</v>
      </c>
      <c r="X9" s="7">
        <v>14140.611358829605</v>
      </c>
      <c r="Y9" s="8">
        <v>1137.8206963031871</v>
      </c>
      <c r="Z9" s="7">
        <v>7398.7614144939589</v>
      </c>
      <c r="AA9" s="8">
        <v>-1022.855773828457</v>
      </c>
      <c r="AB9" s="7">
        <v>1789.541564054002</v>
      </c>
      <c r="AC9" s="8">
        <v>-36.479678570647408</v>
      </c>
      <c r="AD9" s="7">
        <v>2120.9687016487005</v>
      </c>
      <c r="AE9" s="8">
        <v>-310.92786456052289</v>
      </c>
      <c r="AF9" s="7">
        <v>7479.0366326530602</v>
      </c>
      <c r="AG9" s="8">
        <v>-1985.6686576003615</v>
      </c>
      <c r="AH9" s="7">
        <v>45407.831784261172</v>
      </c>
      <c r="AI9" s="8">
        <v>6776.7824820796332</v>
      </c>
      <c r="AJ9" s="7">
        <v>23336.89923946447</v>
      </c>
      <c r="AK9" s="8">
        <v>-2733.3862723372799</v>
      </c>
      <c r="AL9" s="7">
        <v>5786.496503288241</v>
      </c>
      <c r="AM9" s="8">
        <v>202.09023148498727</v>
      </c>
      <c r="AN9" s="7">
        <v>6765.4207310207121</v>
      </c>
      <c r="AO9" s="8">
        <v>-859.61511926053049</v>
      </c>
      <c r="AP9" s="7">
        <v>18328.343904532008</v>
      </c>
      <c r="AQ9" s="8">
        <v>-750.62924842637858</v>
      </c>
      <c r="AR9" s="7">
        <v>9234.9899610472694</v>
      </c>
      <c r="AS9" s="8">
        <v>-1728.1475577618778</v>
      </c>
      <c r="AT9" s="7">
        <v>2377.3270052228099</v>
      </c>
      <c r="AU9" s="8">
        <v>-184.04580357358867</v>
      </c>
      <c r="AV9" s="7">
        <v>2682.3756926120923</v>
      </c>
      <c r="AW9" s="8">
        <v>-496.61735314480831</v>
      </c>
      <c r="AX9" s="7">
        <v>68313.786384518549</v>
      </c>
      <c r="AY9" s="8">
        <v>-5155.7377579886652</v>
      </c>
      <c r="AZ9" s="7">
        <v>14775.969254130234</v>
      </c>
      <c r="BA9" s="8">
        <v>1473.4740905666658</v>
      </c>
      <c r="BB9" s="7">
        <v>19110.10935226714</v>
      </c>
      <c r="BC9" s="8">
        <v>-1531.6272380854546</v>
      </c>
      <c r="BD9" s="7">
        <v>8032.900904120258</v>
      </c>
      <c r="BE9" s="8">
        <v>-925.06415485531147</v>
      </c>
      <c r="BF9" s="7">
        <v>13881.362135846512</v>
      </c>
      <c r="BG9" s="8">
        <v>-2687.3313124745691</v>
      </c>
      <c r="BH9" s="7">
        <v>2288.3155084016885</v>
      </c>
      <c r="BI9" s="8">
        <v>-242.84711735417682</v>
      </c>
    </row>
    <row r="10" spans="1:61" x14ac:dyDescent="0.25">
      <c r="A10" s="8" t="s">
        <v>51</v>
      </c>
      <c r="B10" s="9">
        <v>2238</v>
      </c>
      <c r="C10" s="9">
        <f t="shared" si="0"/>
        <v>2437.3527139442713</v>
      </c>
      <c r="D10" s="10">
        <f t="shared" si="1"/>
        <v>-8.9076279689129247</v>
      </c>
      <c r="E10" s="8">
        <v>9</v>
      </c>
      <c r="F10" s="7">
        <v>177.92142857142858</v>
      </c>
      <c r="G10" s="8">
        <v>-34.875360644464621</v>
      </c>
      <c r="H10" s="7">
        <v>618.2696428571428</v>
      </c>
      <c r="I10" s="8">
        <v>-104.86072980300692</v>
      </c>
      <c r="J10" s="7">
        <v>242.18749999999997</v>
      </c>
      <c r="K10" s="8">
        <v>-58.549603217758808</v>
      </c>
      <c r="L10" s="7">
        <v>1623.0448328927528</v>
      </c>
      <c r="M10" s="8">
        <v>342.74882690785313</v>
      </c>
      <c r="N10" s="7">
        <v>1262.5227211146184</v>
      </c>
      <c r="O10" s="8">
        <v>-81.162209272172632</v>
      </c>
      <c r="P10" s="7">
        <v>204.88178130617669</v>
      </c>
      <c r="Q10" s="8">
        <v>15.729106672959086</v>
      </c>
      <c r="R10" s="7">
        <v>388.71956288481954</v>
      </c>
      <c r="S10" s="8">
        <v>-23.914837707156344</v>
      </c>
      <c r="T10" s="7">
        <v>5515.91618622449</v>
      </c>
      <c r="U10" s="8">
        <v>-1286.468862241953</v>
      </c>
      <c r="V10" s="7">
        <v>2145.3539158163267</v>
      </c>
      <c r="W10" s="8">
        <v>-728.14274552010238</v>
      </c>
      <c r="X10" s="7">
        <v>14262.628490918767</v>
      </c>
      <c r="Y10" s="8">
        <v>1211.0947587765577</v>
      </c>
      <c r="Z10" s="7">
        <v>11003.166950466497</v>
      </c>
      <c r="AA10" s="8">
        <v>-1159.9870347884839</v>
      </c>
      <c r="AB10" s="7">
        <v>1804.1163048297733</v>
      </c>
      <c r="AC10" s="8">
        <v>-25.867146717432693</v>
      </c>
      <c r="AD10" s="7">
        <v>3423.7971870086135</v>
      </c>
      <c r="AE10" s="8">
        <v>-352.89587984779274</v>
      </c>
      <c r="AF10" s="7">
        <v>7637.6098692602045</v>
      </c>
      <c r="AG10" s="8">
        <v>-1942.9391372186767</v>
      </c>
      <c r="AH10" s="7">
        <v>49639.630528831505</v>
      </c>
      <c r="AI10" s="8">
        <v>7285.5993742312967</v>
      </c>
      <c r="AJ10" s="7">
        <v>38209.533990501011</v>
      </c>
      <c r="AK10" s="8">
        <v>-2947.625147844763</v>
      </c>
      <c r="AL10" s="7">
        <v>6388.8651235913467</v>
      </c>
      <c r="AM10" s="8">
        <v>274.56840840849122</v>
      </c>
      <c r="AN10" s="7">
        <v>11952.36767875747</v>
      </c>
      <c r="AO10" s="8">
        <v>-891.486441843938</v>
      </c>
      <c r="AP10" s="7">
        <v>19311.197840460845</v>
      </c>
      <c r="AQ10" s="8">
        <v>-692.16465796933005</v>
      </c>
      <c r="AR10" s="7">
        <v>14854.079802582444</v>
      </c>
      <c r="AS10" s="8">
        <v>-1878.827864225457</v>
      </c>
      <c r="AT10" s="7">
        <v>2588.57123044218</v>
      </c>
      <c r="AU10" s="8">
        <v>-147.1322412883722</v>
      </c>
      <c r="AV10" s="7">
        <v>4688.5777235485284</v>
      </c>
      <c r="AW10" s="8">
        <v>-529.91023016115912</v>
      </c>
      <c r="AX10" s="7">
        <v>105807.35402682803</v>
      </c>
      <c r="AY10" s="8">
        <v>-3768.7697316123076</v>
      </c>
      <c r="AZ10" s="7">
        <v>16696.958968022696</v>
      </c>
      <c r="BA10" s="8">
        <v>1813.5513342968331</v>
      </c>
      <c r="BB10" s="7">
        <v>32003.323549377423</v>
      </c>
      <c r="BC10" s="8">
        <v>-866.77354158399851</v>
      </c>
      <c r="BD10" s="7">
        <v>12933.773987402386</v>
      </c>
      <c r="BE10" s="8">
        <v>-697.9893460495216</v>
      </c>
      <c r="BF10" s="7">
        <v>25984.301332127568</v>
      </c>
      <c r="BG10" s="8">
        <v>-3053.0180555357765</v>
      </c>
      <c r="BH10" s="7">
        <v>4013.5570354770975</v>
      </c>
      <c r="BI10" s="8">
        <v>-145.89208047627216</v>
      </c>
    </row>
    <row r="11" spans="1:61" x14ac:dyDescent="0.25">
      <c r="A11" s="8" t="s">
        <v>52</v>
      </c>
      <c r="B11" s="9">
        <v>3473</v>
      </c>
      <c r="C11" s="9">
        <f t="shared" si="0"/>
        <v>3246.4455549764884</v>
      </c>
      <c r="D11" s="10">
        <f t="shared" si="1"/>
        <v>6.5233067959548388</v>
      </c>
      <c r="E11" s="8">
        <v>10</v>
      </c>
      <c r="F11" s="7">
        <v>163.52678571428575</v>
      </c>
      <c r="G11" s="8">
        <v>-29.870388586475968</v>
      </c>
      <c r="H11" s="7">
        <v>585.54821428571427</v>
      </c>
      <c r="I11" s="8">
        <v>-98.202411418330044</v>
      </c>
      <c r="J11" s="7">
        <v>214.94107142857143</v>
      </c>
      <c r="K11" s="8">
        <v>-50.118291743775174</v>
      </c>
      <c r="L11" s="7">
        <v>1427.1707321627152</v>
      </c>
      <c r="M11" s="8">
        <v>323.07089641579523</v>
      </c>
      <c r="N11" s="7">
        <v>542.799212059512</v>
      </c>
      <c r="O11" s="8">
        <v>-15.801512150314226</v>
      </c>
      <c r="P11" s="7">
        <v>175.5005325752457</v>
      </c>
      <c r="Q11" s="8">
        <v>18.855426276962255</v>
      </c>
      <c r="R11" s="7">
        <v>158.03005613767249</v>
      </c>
      <c r="S11" s="8">
        <v>-3.6904958949797386</v>
      </c>
      <c r="T11" s="7">
        <v>4802.7098118622453</v>
      </c>
      <c r="U11" s="8">
        <v>-1052.5619319990333</v>
      </c>
      <c r="V11" s="7">
        <v>1757.2637276785713</v>
      </c>
      <c r="W11" s="8">
        <v>-572.8624009008829</v>
      </c>
      <c r="X11" s="7">
        <v>11686.432562889679</v>
      </c>
      <c r="Y11" s="8">
        <v>1054.0575454696495</v>
      </c>
      <c r="Z11" s="7">
        <v>4439.9741903929025</v>
      </c>
      <c r="AA11" s="8">
        <v>-308.67679398863083</v>
      </c>
      <c r="AB11" s="7">
        <v>1438.6722056208284</v>
      </c>
      <c r="AC11" s="8">
        <v>7.7297514742444564</v>
      </c>
      <c r="AD11" s="7">
        <v>1299.8028199938922</v>
      </c>
      <c r="AE11" s="8">
        <v>-95.879268398809032</v>
      </c>
      <c r="AF11" s="7">
        <v>6413.616699617347</v>
      </c>
      <c r="AG11" s="8">
        <v>-1559.9648304724426</v>
      </c>
      <c r="AH11" s="7">
        <v>41549.197841024426</v>
      </c>
      <c r="AI11" s="8">
        <v>6871.9498478266605</v>
      </c>
      <c r="AJ11" s="7">
        <v>15889.418250035564</v>
      </c>
      <c r="AK11" s="8">
        <v>-552.78643539834684</v>
      </c>
      <c r="AL11" s="7">
        <v>5235.9941940480867</v>
      </c>
      <c r="AM11" s="8">
        <v>428.85168753063107</v>
      </c>
      <c r="AN11" s="7">
        <v>4709.2617591684157</v>
      </c>
      <c r="AO11" s="8">
        <v>-134.57468553947768</v>
      </c>
      <c r="AP11" s="7">
        <v>15017.089942054601</v>
      </c>
      <c r="AQ11" s="8">
        <v>-86.610163207067117</v>
      </c>
      <c r="AR11" s="7">
        <v>5822.7692543019139</v>
      </c>
      <c r="AS11" s="8">
        <v>-529.99574891786108</v>
      </c>
      <c r="AT11" s="7">
        <v>1953.0707098737535</v>
      </c>
      <c r="AU11" s="8">
        <v>-20.520564454883335</v>
      </c>
      <c r="AV11" s="7">
        <v>1749.1446684023806</v>
      </c>
      <c r="AW11" s="8">
        <v>-122.68271746046561</v>
      </c>
      <c r="AX11" s="7">
        <v>39340.923530386986</v>
      </c>
      <c r="AY11" s="8">
        <v>813.46569869294513</v>
      </c>
      <c r="AZ11" s="7">
        <v>12547.435468874581</v>
      </c>
      <c r="BA11" s="8">
        <v>1908.5447589732667</v>
      </c>
      <c r="BB11" s="7">
        <v>11344.205769169277</v>
      </c>
      <c r="BC11" s="8">
        <v>336.22771783241791</v>
      </c>
      <c r="BD11" s="7">
        <v>4841.0178876395021</v>
      </c>
      <c r="BE11" s="8">
        <v>67.555775783451224</v>
      </c>
      <c r="BF11" s="7">
        <v>4419.7649630162487</v>
      </c>
      <c r="BG11" s="8">
        <v>-204.96670874295117</v>
      </c>
      <c r="BH11" s="7">
        <v>1453.1020715859202</v>
      </c>
      <c r="BI11" s="8">
        <v>50.280022397978129</v>
      </c>
    </row>
    <row r="12" spans="1:61" x14ac:dyDescent="0.25">
      <c r="A12" s="8" t="s">
        <v>53</v>
      </c>
      <c r="B12" s="9">
        <v>2339</v>
      </c>
      <c r="C12" s="9">
        <f t="shared" si="0"/>
        <v>2250.8427259973655</v>
      </c>
      <c r="D12" s="10">
        <f t="shared" si="1"/>
        <v>3.7690155623187045</v>
      </c>
      <c r="E12" s="8">
        <v>11</v>
      </c>
      <c r="F12" s="7">
        <v>178.16964285714286</v>
      </c>
      <c r="G12" s="8">
        <v>-34.479433913009494</v>
      </c>
      <c r="H12" s="7">
        <v>599.14285714285722</v>
      </c>
      <c r="I12" s="8">
        <v>-102.17336473772617</v>
      </c>
      <c r="J12" s="7">
        <v>252.45714285714283</v>
      </c>
      <c r="K12" s="8">
        <v>-64.294182318404879</v>
      </c>
      <c r="L12" s="7">
        <v>1385.3913089467587</v>
      </c>
      <c r="M12" s="8">
        <v>299.40676354815963</v>
      </c>
      <c r="N12" s="7">
        <v>477.7426579540118</v>
      </c>
      <c r="O12" s="8">
        <v>-27.924392131771036</v>
      </c>
      <c r="P12" s="7">
        <v>169.20651084619021</v>
      </c>
      <c r="Q12" s="8">
        <v>12.389103915298149</v>
      </c>
      <c r="R12" s="7">
        <v>145.31792805951173</v>
      </c>
      <c r="S12" s="8">
        <v>-8.1604187652410136</v>
      </c>
      <c r="T12" s="7">
        <v>5338.5220408163268</v>
      </c>
      <c r="U12" s="8">
        <v>-1252.4883553621892</v>
      </c>
      <c r="V12" s="7">
        <v>2240.5304336734694</v>
      </c>
      <c r="W12" s="8">
        <v>-769.97180760370168</v>
      </c>
      <c r="X12" s="7">
        <v>12339.681719920965</v>
      </c>
      <c r="Y12" s="8">
        <v>1012.3267053189639</v>
      </c>
      <c r="Z12" s="7">
        <v>4232.0494546037135</v>
      </c>
      <c r="AA12" s="8">
        <v>-435.35855579568215</v>
      </c>
      <c r="AB12" s="7">
        <v>1502.5028647797815</v>
      </c>
      <c r="AC12" s="8">
        <v>-32.201656439097768</v>
      </c>
      <c r="AD12" s="7">
        <v>1289.6472611643546</v>
      </c>
      <c r="AE12" s="8">
        <v>-131.45059586100098</v>
      </c>
      <c r="AF12" s="7">
        <v>7705.0487755102049</v>
      </c>
      <c r="AG12" s="8">
        <v>-2045.812936558347</v>
      </c>
      <c r="AH12" s="7">
        <v>41195.038308104078</v>
      </c>
      <c r="AI12" s="8">
        <v>6418.4710068095083</v>
      </c>
      <c r="AJ12" s="7">
        <v>14007.316290104296</v>
      </c>
      <c r="AK12" s="8">
        <v>-997.85754790463693</v>
      </c>
      <c r="AL12" s="7">
        <v>5115.1161122762842</v>
      </c>
      <c r="AM12" s="8">
        <v>214.50947288923447</v>
      </c>
      <c r="AN12" s="7">
        <v>4344.5562634226662</v>
      </c>
      <c r="AO12" s="8">
        <v>-301.81990379806643</v>
      </c>
      <c r="AP12" s="7">
        <v>17237.478855279474</v>
      </c>
      <c r="AQ12" s="8">
        <v>-735.41667001262351</v>
      </c>
      <c r="AR12" s="7">
        <v>5956.8874386642719</v>
      </c>
      <c r="AS12" s="8">
        <v>-902.09745003502462</v>
      </c>
      <c r="AT12" s="7">
        <v>2187.4051238691904</v>
      </c>
      <c r="AU12" s="8">
        <v>-165.08042679852704</v>
      </c>
      <c r="AV12" s="7">
        <v>1860.4365433113217</v>
      </c>
      <c r="AW12" s="8">
        <v>-250.31177510793745</v>
      </c>
      <c r="AX12" s="7">
        <v>33742.789300431614</v>
      </c>
      <c r="AY12" s="8">
        <v>-877.77251418328308</v>
      </c>
      <c r="AZ12" s="7">
        <v>11760.412200065006</v>
      </c>
      <c r="BA12" s="8">
        <v>1297.3393867605562</v>
      </c>
      <c r="BB12" s="7">
        <v>10145.623308678432</v>
      </c>
      <c r="BC12" s="8">
        <v>-103.66909065961474</v>
      </c>
      <c r="BD12" s="7">
        <v>4069.9849170751449</v>
      </c>
      <c r="BE12" s="8">
        <v>-237.53140105773241</v>
      </c>
      <c r="BF12" s="7">
        <v>3616.2525122460765</v>
      </c>
      <c r="BG12" s="8">
        <v>-375.4669999816993</v>
      </c>
      <c r="BH12" s="7">
        <v>1252.0059008741896</v>
      </c>
      <c r="BI12" s="8">
        <v>-42.691827962646165</v>
      </c>
    </row>
    <row r="13" spans="1:61" x14ac:dyDescent="0.25">
      <c r="A13" s="8" t="s">
        <v>54</v>
      </c>
      <c r="B13" s="9">
        <v>2595</v>
      </c>
      <c r="C13" s="9">
        <f t="shared" si="0"/>
        <v>2916.8443472205431</v>
      </c>
      <c r="D13" s="10">
        <f t="shared" si="1"/>
        <v>-12.402479661677962</v>
      </c>
      <c r="E13" s="8">
        <v>12</v>
      </c>
      <c r="F13" s="7">
        <v>171.48035714285714</v>
      </c>
      <c r="G13" s="8">
        <v>-32.822833534503971</v>
      </c>
      <c r="H13" s="7">
        <v>603.74285714285725</v>
      </c>
      <c r="I13" s="8">
        <v>-102.50675051520869</v>
      </c>
      <c r="J13" s="7">
        <v>223.47321428571431</v>
      </c>
      <c r="K13" s="8">
        <v>-53.322377092885098</v>
      </c>
      <c r="L13" s="7">
        <v>1322.83773060163</v>
      </c>
      <c r="M13" s="8">
        <v>293.57597017150925</v>
      </c>
      <c r="N13" s="7">
        <v>517.80466398416468</v>
      </c>
      <c r="O13" s="8">
        <v>-23.827498789724164</v>
      </c>
      <c r="P13" s="7">
        <v>151.63337603671314</v>
      </c>
      <c r="Q13" s="8">
        <v>14.656859967465319</v>
      </c>
      <c r="R13" s="7">
        <v>155.54305929043417</v>
      </c>
      <c r="S13" s="8">
        <v>-7.7580060434771507</v>
      </c>
      <c r="T13" s="7">
        <v>5174.8241071428565</v>
      </c>
      <c r="U13" s="8">
        <v>-1186.8910885593496</v>
      </c>
      <c r="V13" s="7">
        <v>1906.9250414540816</v>
      </c>
      <c r="W13" s="8">
        <v>-640.48895986152399</v>
      </c>
      <c r="X13" s="7">
        <v>11347.24848548686</v>
      </c>
      <c r="Y13" s="8">
        <v>979.46321057083151</v>
      </c>
      <c r="Z13" s="7">
        <v>4421.2731888276503</v>
      </c>
      <c r="AA13" s="8">
        <v>-374.88408527190944</v>
      </c>
      <c r="AB13" s="7">
        <v>1296.6823429598921</v>
      </c>
      <c r="AC13" s="8">
        <v>-1.7774266958977005</v>
      </c>
      <c r="AD13" s="7">
        <v>1328.2281513024948</v>
      </c>
      <c r="AE13" s="8">
        <v>-117.50010118745435</v>
      </c>
      <c r="AF13" s="7">
        <v>6916.6005357142867</v>
      </c>
      <c r="AG13" s="8">
        <v>-1759.2219606654403</v>
      </c>
      <c r="AH13" s="7">
        <v>39772.727454304812</v>
      </c>
      <c r="AI13" s="8">
        <v>6401.2967165796545</v>
      </c>
      <c r="AJ13" s="7">
        <v>15342.133854790829</v>
      </c>
      <c r="AK13" s="8">
        <v>-855.37953937443092</v>
      </c>
      <c r="AL13" s="7">
        <v>4651.6899831163346</v>
      </c>
      <c r="AM13" s="8">
        <v>288.11670734723123</v>
      </c>
      <c r="AN13" s="7">
        <v>4685.5617599892948</v>
      </c>
      <c r="AO13" s="8">
        <v>-278.30616980379773</v>
      </c>
      <c r="AP13" s="7">
        <v>14680.586549171485</v>
      </c>
      <c r="AQ13" s="8">
        <v>-170.78146444334322</v>
      </c>
      <c r="AR13" s="7">
        <v>5685.0396611308752</v>
      </c>
      <c r="AS13" s="8">
        <v>-565.03862558791252</v>
      </c>
      <c r="AT13" s="7">
        <v>1801.4563170786009</v>
      </c>
      <c r="AU13" s="8">
        <v>-56.305352011606445</v>
      </c>
      <c r="AV13" s="7">
        <v>1778.3874159891382</v>
      </c>
      <c r="AW13" s="8">
        <v>-169.02550378358373</v>
      </c>
      <c r="AX13" s="7">
        <v>35016.864192090812</v>
      </c>
      <c r="AY13" s="8">
        <v>-369.89316191679893</v>
      </c>
      <c r="AZ13" s="7">
        <v>10041.892939479882</v>
      </c>
      <c r="BA13" s="8">
        <v>1412.1318591192046</v>
      </c>
      <c r="BB13" s="7">
        <v>10419.856392890377</v>
      </c>
      <c r="BC13" s="8">
        <v>-49.495275125936637</v>
      </c>
      <c r="BD13" s="7">
        <v>3956.319327952307</v>
      </c>
      <c r="BE13" s="8">
        <v>-94.990514275329602</v>
      </c>
      <c r="BF13" s="7">
        <v>4424.9685781421376</v>
      </c>
      <c r="BG13" s="8">
        <v>-470.12824220673963</v>
      </c>
      <c r="BH13" s="7">
        <v>1216.8215485994465</v>
      </c>
      <c r="BI13" s="8">
        <v>-10.91850506578181</v>
      </c>
    </row>
    <row r="14" spans="1:61" x14ac:dyDescent="0.25">
      <c r="A14" s="8" t="s">
        <v>55</v>
      </c>
      <c r="B14" s="9">
        <v>2574</v>
      </c>
      <c r="C14" s="9">
        <f t="shared" si="0"/>
        <v>2755.2939892530699</v>
      </c>
      <c r="D14" s="10">
        <f t="shared" si="1"/>
        <v>-7.0432785257602895</v>
      </c>
      <c r="E14" s="8">
        <v>13</v>
      </c>
      <c r="F14" s="7">
        <v>169.20714285714288</v>
      </c>
      <c r="G14" s="8">
        <v>-32.479675006586838</v>
      </c>
      <c r="H14" s="7">
        <v>571.17678571428576</v>
      </c>
      <c r="I14" s="8">
        <v>-97.355059049953098</v>
      </c>
      <c r="J14" s="7">
        <v>245.76249999999999</v>
      </c>
      <c r="K14" s="8">
        <v>-58.561930250974996</v>
      </c>
      <c r="L14" s="7">
        <v>1437.9601571388866</v>
      </c>
      <c r="M14" s="8">
        <v>319.30773759383754</v>
      </c>
      <c r="N14" s="7">
        <v>561.72475099176199</v>
      </c>
      <c r="O14" s="8">
        <v>-9.3917699852417371</v>
      </c>
      <c r="P14" s="7">
        <v>175.87071149235265</v>
      </c>
      <c r="Q14" s="8">
        <v>18.292008040137635</v>
      </c>
      <c r="R14" s="7">
        <v>164.82376322831314</v>
      </c>
      <c r="S14" s="8">
        <v>-4.1650470050262696</v>
      </c>
      <c r="T14" s="7">
        <v>4836.1965688775517</v>
      </c>
      <c r="U14" s="8">
        <v>-1116.6646109718608</v>
      </c>
      <c r="V14" s="7">
        <v>2060.4610586734693</v>
      </c>
      <c r="W14" s="8">
        <v>-699.60223535637306</v>
      </c>
      <c r="X14" s="7">
        <v>12103.300358834282</v>
      </c>
      <c r="Y14" s="8">
        <v>972.21622093574706</v>
      </c>
      <c r="Z14" s="7">
        <v>4659.8964223308321</v>
      </c>
      <c r="AA14" s="8">
        <v>-378.73673747809818</v>
      </c>
      <c r="AB14" s="7">
        <v>1469.4086845418169</v>
      </c>
      <c r="AC14" s="8">
        <v>-9.7234720998876156</v>
      </c>
      <c r="AD14" s="7">
        <v>1372.4599383879111</v>
      </c>
      <c r="AE14" s="8">
        <v>-120.53819253933825</v>
      </c>
      <c r="AF14" s="7">
        <v>7180.4208960459173</v>
      </c>
      <c r="AG14" s="8">
        <v>-1822.8817724397359</v>
      </c>
      <c r="AH14" s="7">
        <v>40998.221650798769</v>
      </c>
      <c r="AI14" s="8">
        <v>6653.4614162284852</v>
      </c>
      <c r="AJ14" s="7">
        <v>16189.883173021428</v>
      </c>
      <c r="AK14" s="8">
        <v>-490.67080210900849</v>
      </c>
      <c r="AL14" s="7">
        <v>5109.8664484777264</v>
      </c>
      <c r="AM14" s="8">
        <v>373.93198445839494</v>
      </c>
      <c r="AN14" s="7">
        <v>4815.3657392985206</v>
      </c>
      <c r="AO14" s="8">
        <v>-182.07174418600442</v>
      </c>
      <c r="AP14" s="7">
        <v>17625.84262442173</v>
      </c>
      <c r="AQ14" s="8">
        <v>-104.58244547210877</v>
      </c>
      <c r="AR14" s="7">
        <v>7267.6655395043417</v>
      </c>
      <c r="AS14" s="8">
        <v>-530.72969565584503</v>
      </c>
      <c r="AT14" s="7">
        <v>2307.6514881220369</v>
      </c>
      <c r="AU14" s="8">
        <v>-32.036734919204143</v>
      </c>
      <c r="AV14" s="7">
        <v>2210.1594940146497</v>
      </c>
      <c r="AW14" s="8">
        <v>-157.77618184558298</v>
      </c>
      <c r="AX14" s="7">
        <v>40778.624730293937</v>
      </c>
      <c r="AY14" s="8">
        <v>1463.7782916602173</v>
      </c>
      <c r="AZ14" s="7">
        <v>12728.048401305354</v>
      </c>
      <c r="BA14" s="8">
        <v>1893.4418481139764</v>
      </c>
      <c r="BB14" s="7">
        <v>11913.024424916532</v>
      </c>
      <c r="BC14" s="8">
        <v>382.48845358797496</v>
      </c>
      <c r="BD14" s="7">
        <v>5195.733073357399</v>
      </c>
      <c r="BE14" s="8">
        <v>138.38398423812632</v>
      </c>
      <c r="BF14" s="7">
        <v>5023.223800481278</v>
      </c>
      <c r="BG14" s="8">
        <v>-174.66613536503272</v>
      </c>
      <c r="BH14" s="7">
        <v>1565.7225933738948</v>
      </c>
      <c r="BI14" s="8">
        <v>48.613828412566043</v>
      </c>
    </row>
    <row r="15" spans="1:61" x14ac:dyDescent="0.25">
      <c r="A15" s="8" t="s">
        <v>56</v>
      </c>
      <c r="B15" s="9">
        <v>2641</v>
      </c>
      <c r="C15" s="9">
        <f t="shared" si="0"/>
        <v>2698.1947836576237</v>
      </c>
      <c r="D15" s="10">
        <f t="shared" si="1"/>
        <v>-2.1656487564416396</v>
      </c>
      <c r="E15" s="8">
        <v>14</v>
      </c>
      <c r="F15" s="7">
        <v>176.14285714285714</v>
      </c>
      <c r="G15" s="8">
        <v>-33.497774696962374</v>
      </c>
      <c r="H15" s="7">
        <v>612.71964285714284</v>
      </c>
      <c r="I15" s="8">
        <v>-102.62448388022439</v>
      </c>
      <c r="J15" s="7">
        <v>242.26071428571427</v>
      </c>
      <c r="K15" s="8">
        <v>-57.220202538358038</v>
      </c>
      <c r="L15" s="7">
        <v>1455.7441497049199</v>
      </c>
      <c r="M15" s="8">
        <v>312.13360781290476</v>
      </c>
      <c r="N15" s="7">
        <v>526.35290466880542</v>
      </c>
      <c r="O15" s="8">
        <v>-17.262190299968747</v>
      </c>
      <c r="P15" s="7">
        <v>176.59212838137123</v>
      </c>
      <c r="Q15" s="8">
        <v>17.666051165710968</v>
      </c>
      <c r="R15" s="7">
        <v>164.97918069186963</v>
      </c>
      <c r="S15" s="8">
        <v>-4.9865744855040059</v>
      </c>
      <c r="T15" s="7">
        <v>5396.7379081632653</v>
      </c>
      <c r="U15" s="8">
        <v>-1237.2520206171903</v>
      </c>
      <c r="V15" s="7">
        <v>2132.1180612244893</v>
      </c>
      <c r="W15" s="8">
        <v>-729.99773296321086</v>
      </c>
      <c r="X15" s="7">
        <v>12761.418818046055</v>
      </c>
      <c r="Y15" s="8">
        <v>1047.3824851804527</v>
      </c>
      <c r="Z15" s="7">
        <v>4607.0410771779279</v>
      </c>
      <c r="AA15" s="8">
        <v>-399.44553646564776</v>
      </c>
      <c r="AB15" s="7">
        <v>1546.5381531088342</v>
      </c>
      <c r="AC15" s="8">
        <v>-7.9873209949866606</v>
      </c>
      <c r="AD15" s="7">
        <v>1441.7799176023025</v>
      </c>
      <c r="AE15" s="8">
        <v>-125.01394039140737</v>
      </c>
      <c r="AF15" s="7">
        <v>7604.3842793367348</v>
      </c>
      <c r="AG15" s="8">
        <v>-1892.4074644664743</v>
      </c>
      <c r="AH15" s="7">
        <v>44243.363361577685</v>
      </c>
      <c r="AI15" s="8">
        <v>6974.7601197576323</v>
      </c>
      <c r="AJ15" s="7">
        <v>15861.408277509994</v>
      </c>
      <c r="AK15" s="8">
        <v>-688.27132104138343</v>
      </c>
      <c r="AL15" s="7">
        <v>5477.0015443538405</v>
      </c>
      <c r="AM15" s="8">
        <v>386.82734731919516</v>
      </c>
      <c r="AN15" s="7">
        <v>5063.379008611465</v>
      </c>
      <c r="AO15" s="8">
        <v>-188.21600958836891</v>
      </c>
      <c r="AP15" s="7">
        <v>17353.918091450148</v>
      </c>
      <c r="AQ15" s="8">
        <v>-249.14739349950321</v>
      </c>
      <c r="AR15" s="7">
        <v>6342.6805576288325</v>
      </c>
      <c r="AS15" s="8">
        <v>-569.30675524332833</v>
      </c>
      <c r="AT15" s="7">
        <v>2246.2027455273383</v>
      </c>
      <c r="AU15" s="8">
        <v>-28.843590935401679</v>
      </c>
      <c r="AV15" s="7">
        <v>2063.8111370408637</v>
      </c>
      <c r="AW15" s="8">
        <v>-145.77198823039231</v>
      </c>
      <c r="AX15" s="7">
        <v>39341.067583842363</v>
      </c>
      <c r="AY15" s="8">
        <v>498.80447194100083</v>
      </c>
      <c r="AZ15" s="7">
        <v>12918.37528023782</v>
      </c>
      <c r="BA15" s="8">
        <v>1739.1705309631691</v>
      </c>
      <c r="BB15" s="7">
        <v>12245.882277347282</v>
      </c>
      <c r="BC15" s="8">
        <v>261.30360277984562</v>
      </c>
      <c r="BD15" s="7">
        <v>4777.9008366916969</v>
      </c>
      <c r="BE15" s="8">
        <v>29.216075098868146</v>
      </c>
      <c r="BF15" s="7">
        <v>4670.3214569967477</v>
      </c>
      <c r="BG15" s="8">
        <v>-261.81040957328702</v>
      </c>
      <c r="BH15" s="7">
        <v>1536.803068319321</v>
      </c>
      <c r="BI15" s="8">
        <v>45.142688244188548</v>
      </c>
    </row>
    <row r="16" spans="1:61" x14ac:dyDescent="0.25">
      <c r="A16" s="8" t="s">
        <v>57</v>
      </c>
      <c r="B16" s="9">
        <v>2205</v>
      </c>
      <c r="C16" s="9">
        <f t="shared" si="0"/>
        <v>2463.3079137735076</v>
      </c>
      <c r="D16" s="10">
        <f t="shared" si="1"/>
        <v>-11.714644615578576</v>
      </c>
      <c r="E16" s="8">
        <v>15</v>
      </c>
      <c r="F16" s="7">
        <v>179.05</v>
      </c>
      <c r="G16" s="8">
        <v>-34.346892916386025</v>
      </c>
      <c r="H16" s="7">
        <v>609.107142857143</v>
      </c>
      <c r="I16" s="8">
        <v>-102.54243457352852</v>
      </c>
      <c r="J16" s="7">
        <v>238.48928571428564</v>
      </c>
      <c r="K16" s="8">
        <v>-57.974611497736007</v>
      </c>
      <c r="L16" s="7">
        <v>1386.4494310307532</v>
      </c>
      <c r="M16" s="8">
        <v>295.39785108597971</v>
      </c>
      <c r="N16" s="7">
        <v>580.05856144699271</v>
      </c>
      <c r="O16" s="8">
        <v>-28.056638868541253</v>
      </c>
      <c r="P16" s="7">
        <v>164.76107591457395</v>
      </c>
      <c r="Q16" s="8">
        <v>14.482848800810999</v>
      </c>
      <c r="R16" s="7">
        <v>185.10658899551902</v>
      </c>
      <c r="S16" s="8">
        <v>-7.9468731100051198</v>
      </c>
      <c r="T16" s="7">
        <v>5448.1437244897952</v>
      </c>
      <c r="U16" s="8">
        <v>-1233.5076391091777</v>
      </c>
      <c r="V16" s="7">
        <v>2125.3434438775512</v>
      </c>
      <c r="W16" s="8">
        <v>-720.830580485979</v>
      </c>
      <c r="X16" s="7">
        <v>12421.70529410093</v>
      </c>
      <c r="Y16" s="8">
        <v>852.39177835592147</v>
      </c>
      <c r="Z16" s="7">
        <v>5161.0886264694882</v>
      </c>
      <c r="AA16" s="8">
        <v>-509.903734644108</v>
      </c>
      <c r="AB16" s="7">
        <v>1469.2707098492979</v>
      </c>
      <c r="AC16" s="8">
        <v>-29.263344297692374</v>
      </c>
      <c r="AD16" s="7">
        <v>1648.0698405472622</v>
      </c>
      <c r="AE16" s="8">
        <v>-156.27760575352599</v>
      </c>
      <c r="AF16" s="7">
        <v>7363.9135459183663</v>
      </c>
      <c r="AG16" s="8">
        <v>-1884.3594563493486</v>
      </c>
      <c r="AH16" s="7">
        <v>42315.144141760407</v>
      </c>
      <c r="AI16" s="8">
        <v>6530.1485157480965</v>
      </c>
      <c r="AJ16" s="7">
        <v>17579.496725893689</v>
      </c>
      <c r="AK16" s="8">
        <v>-1067.1504353179628</v>
      </c>
      <c r="AL16" s="7">
        <v>5095.6569135903674</v>
      </c>
      <c r="AM16" s="8">
        <v>312.09674398679078</v>
      </c>
      <c r="AN16" s="7">
        <v>5693.2268738816092</v>
      </c>
      <c r="AO16" s="8">
        <v>-307.27638317009206</v>
      </c>
      <c r="AP16" s="7">
        <v>16507.401638526509</v>
      </c>
      <c r="AQ16" s="8">
        <v>-292.33616863459707</v>
      </c>
      <c r="AR16" s="7">
        <v>6842.8862275299371</v>
      </c>
      <c r="AS16" s="8">
        <v>-800.61942243751139</v>
      </c>
      <c r="AT16" s="7">
        <v>2026.123629964377</v>
      </c>
      <c r="AU16" s="8">
        <v>-71.941826182439826</v>
      </c>
      <c r="AV16" s="7">
        <v>2238.437111797743</v>
      </c>
      <c r="AW16" s="8">
        <v>-220.29768803927095</v>
      </c>
      <c r="AX16" s="7">
        <v>40585.910062815099</v>
      </c>
      <c r="AY16" s="8">
        <v>-186.4027844636849</v>
      </c>
      <c r="AZ16" s="7">
        <v>11660.031053985644</v>
      </c>
      <c r="BA16" s="8">
        <v>1459.6023191505105</v>
      </c>
      <c r="BB16" s="7">
        <v>12983.698864966738</v>
      </c>
      <c r="BC16" s="8">
        <v>132.21820650826797</v>
      </c>
      <c r="BD16" s="7">
        <v>4789.9267029842977</v>
      </c>
      <c r="BE16" s="8">
        <v>-146.27245904851981</v>
      </c>
      <c r="BF16" s="7">
        <v>5422.2385129521699</v>
      </c>
      <c r="BG16" s="8">
        <v>-479.71780172709055</v>
      </c>
      <c r="BH16" s="7">
        <v>1567.6481300689622</v>
      </c>
      <c r="BI16" s="8">
        <v>-0.66632865103117211</v>
      </c>
    </row>
    <row r="17" spans="1:61" x14ac:dyDescent="0.25">
      <c r="A17" s="8" t="s">
        <v>58</v>
      </c>
      <c r="B17" s="9">
        <v>2523</v>
      </c>
      <c r="C17" s="9">
        <f t="shared" si="0"/>
        <v>2699.200529937043</v>
      </c>
      <c r="D17" s="10">
        <f t="shared" si="1"/>
        <v>-6.9837705088007542</v>
      </c>
      <c r="E17" s="8">
        <v>16</v>
      </c>
      <c r="F17" s="7">
        <v>180.72321428571428</v>
      </c>
      <c r="G17" s="8">
        <v>-34.883229615397688</v>
      </c>
      <c r="H17" s="7">
        <v>623.80178571428576</v>
      </c>
      <c r="I17" s="8">
        <v>-105.76949620549549</v>
      </c>
      <c r="J17" s="7">
        <v>231.15</v>
      </c>
      <c r="K17" s="8">
        <v>-55.176972117701027</v>
      </c>
      <c r="L17" s="7">
        <v>1234.0225254477339</v>
      </c>
      <c r="M17" s="8">
        <v>271.77896855488837</v>
      </c>
      <c r="N17" s="7">
        <v>437.28940557934135</v>
      </c>
      <c r="O17" s="8">
        <v>-14.478970099450597</v>
      </c>
      <c r="P17" s="7">
        <v>143.98760255058838</v>
      </c>
      <c r="Q17" s="8">
        <v>13.332742250332855</v>
      </c>
      <c r="R17" s="7">
        <v>145.29264977035567</v>
      </c>
      <c r="S17" s="8">
        <v>-5.6758541339992679</v>
      </c>
      <c r="T17" s="7">
        <v>5654.4832302295918</v>
      </c>
      <c r="U17" s="8">
        <v>-1307.6286638726785</v>
      </c>
      <c r="V17" s="7">
        <v>2105.5968239795916</v>
      </c>
      <c r="W17" s="8">
        <v>-719.55825477252392</v>
      </c>
      <c r="X17" s="7">
        <v>11114.510084787131</v>
      </c>
      <c r="Y17" s="8">
        <v>977.58560273025535</v>
      </c>
      <c r="Z17" s="7">
        <v>3930.1534326550318</v>
      </c>
      <c r="AA17" s="8">
        <v>-301.49746008101971</v>
      </c>
      <c r="AB17" s="7">
        <v>1304.1656912616172</v>
      </c>
      <c r="AC17" s="8">
        <v>-11.075508337544614</v>
      </c>
      <c r="AD17" s="7">
        <v>1312.3411680145971</v>
      </c>
      <c r="AE17" s="8">
        <v>-106.49538071703012</v>
      </c>
      <c r="AF17" s="7">
        <v>7388.8744260204094</v>
      </c>
      <c r="AG17" s="8">
        <v>-1859.5444267208204</v>
      </c>
      <c r="AH17" s="7">
        <v>38300.441345529573</v>
      </c>
      <c r="AI17" s="8">
        <v>6144.6288786335126</v>
      </c>
      <c r="AJ17" s="7">
        <v>13613.08353023617</v>
      </c>
      <c r="AK17" s="8">
        <v>-581.99912627407832</v>
      </c>
      <c r="AL17" s="7">
        <v>4567.8237782947726</v>
      </c>
      <c r="AM17" s="8">
        <v>287.11693148828351</v>
      </c>
      <c r="AN17" s="7">
        <v>4595.4634402481452</v>
      </c>
      <c r="AO17" s="8">
        <v>-226.3737853947988</v>
      </c>
      <c r="AP17" s="7">
        <v>13987.872175658518</v>
      </c>
      <c r="AQ17" s="8">
        <v>-348.77666418985655</v>
      </c>
      <c r="AR17" s="7">
        <v>5022.6434762008557</v>
      </c>
      <c r="AS17" s="8">
        <v>-543.3743574833461</v>
      </c>
      <c r="AT17" s="7">
        <v>1744.6845368190766</v>
      </c>
      <c r="AU17" s="8">
        <v>-61.429905936488325</v>
      </c>
      <c r="AV17" s="7">
        <v>1734.8106550683128</v>
      </c>
      <c r="AW17" s="8">
        <v>-168.8505296285305</v>
      </c>
      <c r="AX17" s="7">
        <v>28064.075166301394</v>
      </c>
      <c r="AY17" s="8">
        <v>222.80861178614785</v>
      </c>
      <c r="AZ17" s="7">
        <v>9003.0686518668081</v>
      </c>
      <c r="BA17" s="8">
        <v>1187.4263496316589</v>
      </c>
      <c r="BB17" s="7">
        <v>9255.8771562878446</v>
      </c>
      <c r="BC17" s="8">
        <v>138.72053228260631</v>
      </c>
      <c r="BD17" s="7">
        <v>3290.8331950221836</v>
      </c>
      <c r="BE17" s="8">
        <v>-60.783188050675669</v>
      </c>
      <c r="BF17" s="7">
        <v>3750.2610315728434</v>
      </c>
      <c r="BG17" s="8">
        <v>-209.67308349350211</v>
      </c>
      <c r="BH17" s="7">
        <v>1123.0543305770382</v>
      </c>
      <c r="BI17" s="8">
        <v>-3.0698802472867124</v>
      </c>
    </row>
    <row r="18" spans="1:61" x14ac:dyDescent="0.25">
      <c r="A18" s="8" t="s">
        <v>59</v>
      </c>
      <c r="B18" s="9">
        <v>2700</v>
      </c>
      <c r="C18" s="9">
        <f t="shared" si="0"/>
        <v>2568.6047908047108</v>
      </c>
      <c r="D18" s="10">
        <f t="shared" si="1"/>
        <v>4.8664892294551567</v>
      </c>
      <c r="E18" s="8">
        <v>17</v>
      </c>
      <c r="F18" s="7">
        <v>169.41587301587299</v>
      </c>
      <c r="G18" s="8">
        <v>-33.428433476088962</v>
      </c>
      <c r="H18" s="7">
        <v>610.10317460317458</v>
      </c>
      <c r="I18" s="8">
        <v>-103.09869584338965</v>
      </c>
      <c r="J18" s="7">
        <v>236.27936507936505</v>
      </c>
      <c r="K18" s="8">
        <v>-59.028256236153148</v>
      </c>
      <c r="L18" s="7">
        <v>1301.1669081386472</v>
      </c>
      <c r="M18" s="8">
        <v>292.94398000725943</v>
      </c>
      <c r="N18" s="7">
        <v>435.43800462520289</v>
      </c>
      <c r="O18" s="8">
        <v>-26.81809757595336</v>
      </c>
      <c r="P18" s="7">
        <v>155.61379584325897</v>
      </c>
      <c r="Q18" s="8">
        <v>14.088746896859133</v>
      </c>
      <c r="R18" s="7">
        <v>141.28896135743474</v>
      </c>
      <c r="S18" s="8">
        <v>-7.2871438440172023</v>
      </c>
      <c r="T18" s="7">
        <v>5193.1663315696651</v>
      </c>
      <c r="U18" s="8">
        <v>-1229.5695503664786</v>
      </c>
      <c r="V18" s="7">
        <v>2015.1404887881081</v>
      </c>
      <c r="W18" s="8">
        <v>-705.61764981858937</v>
      </c>
      <c r="X18" s="7">
        <v>11053.420770144661</v>
      </c>
      <c r="Y18" s="8">
        <v>966.95492468271107</v>
      </c>
      <c r="Z18" s="7">
        <v>3669.2592261459708</v>
      </c>
      <c r="AA18" s="8">
        <v>-407.67538343261185</v>
      </c>
      <c r="AB18" s="7">
        <v>1328.4961000797757</v>
      </c>
      <c r="AC18" s="8">
        <v>-12.88838741873619</v>
      </c>
      <c r="AD18" s="7">
        <v>1199.6965723873036</v>
      </c>
      <c r="AE18" s="8">
        <v>-120.02238237299281</v>
      </c>
      <c r="AF18" s="7">
        <v>7411.9189821113614</v>
      </c>
      <c r="AG18" s="8">
        <v>-1958.7145970488461</v>
      </c>
      <c r="AH18" s="7">
        <v>39813.618031005019</v>
      </c>
      <c r="AI18" s="8">
        <v>6659.0894198763226</v>
      </c>
      <c r="AJ18" s="7">
        <v>13183.649841836521</v>
      </c>
      <c r="AK18" s="8">
        <v>-979.12280130829106</v>
      </c>
      <c r="AL18" s="7">
        <v>4861.7767788727278</v>
      </c>
      <c r="AM18" s="8">
        <v>300.1392664148118</v>
      </c>
      <c r="AN18" s="7">
        <v>4373.6195047370848</v>
      </c>
      <c r="AO18" s="8">
        <v>-272.70933355578052</v>
      </c>
      <c r="AP18" s="7">
        <v>15409.660509059015</v>
      </c>
      <c r="AQ18" s="8">
        <v>-365.19650535251702</v>
      </c>
      <c r="AR18" s="7">
        <v>5126.2505960967546</v>
      </c>
      <c r="AS18" s="8">
        <v>-727.13711028420039</v>
      </c>
      <c r="AT18" s="7">
        <v>1947.6482828711378</v>
      </c>
      <c r="AU18" s="8">
        <v>-91.777461007483069</v>
      </c>
      <c r="AV18" s="7">
        <v>1742.3195649476263</v>
      </c>
      <c r="AW18" s="8">
        <v>-205.3570752104348</v>
      </c>
      <c r="AX18" s="7">
        <v>28477.243641980345</v>
      </c>
      <c r="AY18" s="8">
        <v>-378.35931044431032</v>
      </c>
      <c r="AZ18" s="7">
        <v>10219.080576366476</v>
      </c>
      <c r="BA18" s="8">
        <v>1427.4632233430361</v>
      </c>
      <c r="BB18" s="7">
        <v>9267.9645697170854</v>
      </c>
      <c r="BC18" s="8">
        <v>84.616794593147006</v>
      </c>
      <c r="BD18" s="7">
        <v>3389.0012895930467</v>
      </c>
      <c r="BE18" s="8">
        <v>-146.50779269478613</v>
      </c>
      <c r="BF18" s="7">
        <v>3169.8152419473181</v>
      </c>
      <c r="BG18" s="8">
        <v>-324.80759027346818</v>
      </c>
      <c r="BH18" s="7">
        <v>1142.9080859964351</v>
      </c>
      <c r="BI18" s="8">
        <v>-11.300754306343734</v>
      </c>
    </row>
    <row r="19" spans="1:61" x14ac:dyDescent="0.25">
      <c r="A19" s="8" t="s">
        <v>60</v>
      </c>
      <c r="B19" s="9">
        <v>2130</v>
      </c>
      <c r="C19" s="9">
        <f t="shared" si="0"/>
        <v>2166.4239202276767</v>
      </c>
      <c r="D19" s="10">
        <f t="shared" si="1"/>
        <v>-1.7100432031773107</v>
      </c>
      <c r="E19" s="8">
        <v>18</v>
      </c>
      <c r="F19" s="7">
        <v>168.68571428571431</v>
      </c>
      <c r="G19" s="8">
        <v>-32.520579593530456</v>
      </c>
      <c r="H19" s="7">
        <v>619.28392857142876</v>
      </c>
      <c r="I19" s="8">
        <v>-105.32623857581207</v>
      </c>
      <c r="J19" s="7">
        <v>268.64464285714291</v>
      </c>
      <c r="K19" s="8">
        <v>-66.005586724318334</v>
      </c>
      <c r="L19" s="7">
        <v>1207.8478596530626</v>
      </c>
      <c r="M19" s="8">
        <v>257.27214004348707</v>
      </c>
      <c r="N19" s="7">
        <v>445.80473912716815</v>
      </c>
      <c r="O19" s="8">
        <v>-21.422413519494771</v>
      </c>
      <c r="P19" s="7">
        <v>157.02897800921173</v>
      </c>
      <c r="Q19" s="8">
        <v>13.039783107853401</v>
      </c>
      <c r="R19" s="7">
        <v>142.66178677290523</v>
      </c>
      <c r="S19" s="8">
        <v>-6.2506842959476243</v>
      </c>
      <c r="T19" s="7">
        <v>5227.0862500000012</v>
      </c>
      <c r="U19" s="8">
        <v>-1217.1769874820161</v>
      </c>
      <c r="V19" s="7">
        <v>2267.7233418367355</v>
      </c>
      <c r="W19" s="8">
        <v>-775.87353022938169</v>
      </c>
      <c r="X19" s="7">
        <v>10134.247470090646</v>
      </c>
      <c r="Y19" s="8">
        <v>745.27226027908728</v>
      </c>
      <c r="Z19" s="7">
        <v>3714.259739508173</v>
      </c>
      <c r="AA19" s="8">
        <v>-361.32659024344599</v>
      </c>
      <c r="AB19" s="7">
        <v>1317.2896031065723</v>
      </c>
      <c r="AC19" s="8">
        <v>-27.597057667968272</v>
      </c>
      <c r="AD19" s="7">
        <v>1192.9067298213442</v>
      </c>
      <c r="AE19" s="8">
        <v>-113.00411192040707</v>
      </c>
      <c r="AF19" s="7">
        <v>8403.9001753826524</v>
      </c>
      <c r="AG19" s="8">
        <v>-2169.6895100852694</v>
      </c>
      <c r="AH19" s="7">
        <v>37163.508716061879</v>
      </c>
      <c r="AI19" s="8">
        <v>5639.9955616274556</v>
      </c>
      <c r="AJ19" s="7">
        <v>13560.958029116979</v>
      </c>
      <c r="AK19" s="8">
        <v>-795.6008670049597</v>
      </c>
      <c r="AL19" s="7">
        <v>4886.2966808956771</v>
      </c>
      <c r="AM19" s="8">
        <v>234.63334334030216</v>
      </c>
      <c r="AN19" s="7">
        <v>4416.2282473169162</v>
      </c>
      <c r="AO19" s="8">
        <v>-243.39251181029547</v>
      </c>
      <c r="AP19" s="7">
        <v>16128.283376809974</v>
      </c>
      <c r="AQ19" s="8">
        <v>-577.4380549895028</v>
      </c>
      <c r="AR19" s="7">
        <v>5944.5980375632753</v>
      </c>
      <c r="AS19" s="8">
        <v>-766.07747970454261</v>
      </c>
      <c r="AT19" s="7">
        <v>2158.6898327040858</v>
      </c>
      <c r="AU19" s="8">
        <v>-127.53672209829294</v>
      </c>
      <c r="AV19" s="7">
        <v>1935.7358626711141</v>
      </c>
      <c r="AW19" s="8">
        <v>-212.60655866829248</v>
      </c>
      <c r="AX19" s="7">
        <v>27742.819248317901</v>
      </c>
      <c r="AY19" s="8">
        <v>-405.52264078405472</v>
      </c>
      <c r="AZ19" s="7">
        <v>9628.9626654054991</v>
      </c>
      <c r="BA19" s="8">
        <v>1167.7113941298153</v>
      </c>
      <c r="BB19" s="7">
        <v>8773.9061648763327</v>
      </c>
      <c r="BC19" s="8">
        <v>22.489879812675255</v>
      </c>
      <c r="BD19" s="7">
        <v>3574.1824614629209</v>
      </c>
      <c r="BE19" s="8">
        <v>-153.94237979034335</v>
      </c>
      <c r="BF19" s="7">
        <v>3299.6676662104978</v>
      </c>
      <c r="BG19" s="8">
        <v>-304.54655598895147</v>
      </c>
      <c r="BH19" s="7">
        <v>1151.9124192292541</v>
      </c>
      <c r="BI19" s="8">
        <v>-12.27528356142396</v>
      </c>
    </row>
    <row r="20" spans="1:61" x14ac:dyDescent="0.25">
      <c r="A20" s="8" t="s">
        <v>61</v>
      </c>
      <c r="B20" s="9">
        <v>2717</v>
      </c>
      <c r="C20" s="9">
        <f t="shared" si="0"/>
        <v>2616.8894786640849</v>
      </c>
      <c r="D20" s="10">
        <f t="shared" si="1"/>
        <v>3.6845977672401586</v>
      </c>
      <c r="E20" s="8">
        <v>19</v>
      </c>
      <c r="F20" s="7">
        <v>179.8031746031746</v>
      </c>
      <c r="G20" s="8">
        <v>-35.419416829413187</v>
      </c>
      <c r="H20" s="7">
        <v>614.99841269841249</v>
      </c>
      <c r="I20" s="8">
        <v>-105.21162352351901</v>
      </c>
      <c r="J20" s="7">
        <v>238.0063492063492</v>
      </c>
      <c r="K20" s="8">
        <v>-57.709405442096411</v>
      </c>
      <c r="L20" s="7">
        <v>1426.284928488793</v>
      </c>
      <c r="M20" s="8">
        <v>316.52971811555381</v>
      </c>
      <c r="N20" s="7">
        <v>501.16904452121923</v>
      </c>
      <c r="O20" s="8">
        <v>-20.193367240892513</v>
      </c>
      <c r="P20" s="7">
        <v>169.33395066357471</v>
      </c>
      <c r="Q20" s="8">
        <v>15.9022533911793</v>
      </c>
      <c r="R20" s="7">
        <v>162.10856515863156</v>
      </c>
      <c r="S20" s="8">
        <v>-5.8943488211308006</v>
      </c>
      <c r="T20" s="7">
        <v>5559.0798815822636</v>
      </c>
      <c r="U20" s="8">
        <v>-1333.9452942400178</v>
      </c>
      <c r="V20" s="7">
        <v>2155.496233308138</v>
      </c>
      <c r="W20" s="8">
        <v>-736.28470256542266</v>
      </c>
      <c r="X20" s="7">
        <v>12796.493290509918</v>
      </c>
      <c r="Y20" s="8">
        <v>1055.7999928605354</v>
      </c>
      <c r="Z20" s="7">
        <v>4465.2221088651559</v>
      </c>
      <c r="AA20" s="8">
        <v>-377.66295288743811</v>
      </c>
      <c r="AB20" s="7">
        <v>1529.4053132924951</v>
      </c>
      <c r="AC20" s="8">
        <v>-11.396484765777231</v>
      </c>
      <c r="AD20" s="7">
        <v>1458.2467504848901</v>
      </c>
      <c r="AE20" s="8">
        <v>-121.3112328614059</v>
      </c>
      <c r="AF20" s="7">
        <v>7551.3624162257493</v>
      </c>
      <c r="AG20" s="8">
        <v>-1930.550575787835</v>
      </c>
      <c r="AH20" s="7">
        <v>43611.708892684204</v>
      </c>
      <c r="AI20" s="8">
        <v>7203.1865152291439</v>
      </c>
      <c r="AJ20" s="7">
        <v>15226.480781413267</v>
      </c>
      <c r="AK20" s="8">
        <v>-768.58418960166466</v>
      </c>
      <c r="AL20" s="7">
        <v>5305.2005360260391</v>
      </c>
      <c r="AM20" s="8">
        <v>346.41321922376244</v>
      </c>
      <c r="AN20" s="7">
        <v>5062.2840174026405</v>
      </c>
      <c r="AO20" s="8">
        <v>-233.49702659667398</v>
      </c>
      <c r="AP20" s="7">
        <v>16874.420546883473</v>
      </c>
      <c r="AQ20" s="8">
        <v>-273.07254405780577</v>
      </c>
      <c r="AR20" s="7">
        <v>5895.7773121462824</v>
      </c>
      <c r="AS20" s="8">
        <v>-622.7939782851596</v>
      </c>
      <c r="AT20" s="7">
        <v>2107.9444856916466</v>
      </c>
      <c r="AU20" s="8">
        <v>-70.22811677873618</v>
      </c>
      <c r="AV20" s="7">
        <v>1998.168351139363</v>
      </c>
      <c r="AW20" s="8">
        <v>-178.53030605738061</v>
      </c>
      <c r="AX20" s="7">
        <v>36379.986587741856</v>
      </c>
      <c r="AY20" s="8">
        <v>63.677656752190423</v>
      </c>
      <c r="AZ20" s="7">
        <v>12182.988935448953</v>
      </c>
      <c r="BA20" s="8">
        <v>1693.1127990319039</v>
      </c>
      <c r="BB20" s="7">
        <v>11670.215610921949</v>
      </c>
      <c r="BC20" s="8">
        <v>210.17716994005841</v>
      </c>
      <c r="BD20" s="7">
        <v>4287.4836820802775</v>
      </c>
      <c r="BE20" s="8">
        <v>-67.197027544977274</v>
      </c>
      <c r="BF20" s="7">
        <v>4211.2304905037126</v>
      </c>
      <c r="BG20" s="8">
        <v>-328.78785058214021</v>
      </c>
      <c r="BH20" s="7">
        <v>1426.7190978611175</v>
      </c>
      <c r="BI20" s="8">
        <v>13.251977215331577</v>
      </c>
    </row>
    <row r="21" spans="1:61" x14ac:dyDescent="0.25">
      <c r="A21" s="8" t="s">
        <v>62</v>
      </c>
      <c r="B21" s="77">
        <v>2426</v>
      </c>
      <c r="C21" s="9">
        <f t="shared" si="0"/>
        <v>2679.7874162914022</v>
      </c>
      <c r="D21" s="10">
        <f t="shared" si="1"/>
        <v>-10.461146590742054</v>
      </c>
      <c r="E21" s="8">
        <v>20</v>
      </c>
      <c r="F21" s="7">
        <v>168.73571428571427</v>
      </c>
      <c r="G21" s="8">
        <v>-33.182080940858903</v>
      </c>
      <c r="H21" s="7">
        <v>604.19642857142867</v>
      </c>
      <c r="I21" s="8">
        <v>-103.13995466211431</v>
      </c>
      <c r="J21" s="7">
        <v>219.61071428571424</v>
      </c>
      <c r="K21" s="8">
        <v>-52.601634904618152</v>
      </c>
      <c r="L21" s="7">
        <v>1366.1231498918041</v>
      </c>
      <c r="M21" s="8">
        <v>301.48825156227196</v>
      </c>
      <c r="N21" s="7">
        <v>469.53129433646529</v>
      </c>
      <c r="O21" s="8">
        <v>-18.607821801878625</v>
      </c>
      <c r="P21" s="7">
        <v>165.9941431755739</v>
      </c>
      <c r="Q21" s="8">
        <v>15.225687383220055</v>
      </c>
      <c r="R21" s="7">
        <v>146.81211135278639</v>
      </c>
      <c r="S21" s="8">
        <v>-6.1536642768457375</v>
      </c>
      <c r="T21" s="7">
        <v>5104.5477806122444</v>
      </c>
      <c r="U21" s="8">
        <v>-1197.175395986533</v>
      </c>
      <c r="V21" s="7">
        <v>1865.9889030612239</v>
      </c>
      <c r="W21" s="8">
        <v>-638.05281275310585</v>
      </c>
      <c r="X21" s="7">
        <v>11534.853318607138</v>
      </c>
      <c r="Y21" s="8">
        <v>929.59441429760864</v>
      </c>
      <c r="Z21" s="7">
        <v>3936.7302043902132</v>
      </c>
      <c r="AA21" s="8">
        <v>-354.88393106825134</v>
      </c>
      <c r="AB21" s="7">
        <v>1400.5518652029548</v>
      </c>
      <c r="AC21" s="8">
        <v>-25.450112543804202</v>
      </c>
      <c r="AD21" s="7">
        <v>1234.2050932215277</v>
      </c>
      <c r="AE21" s="8">
        <v>-118.00325739173414</v>
      </c>
      <c r="AF21" s="7">
        <v>6799.9307780612235</v>
      </c>
      <c r="AG21" s="8">
        <v>-1728.334203559089</v>
      </c>
      <c r="AH21" s="7">
        <v>41313.367323914092</v>
      </c>
      <c r="AI21" s="8">
        <v>6529.8886881104199</v>
      </c>
      <c r="AJ21" s="7">
        <v>14096.130059089901</v>
      </c>
      <c r="AK21" s="8">
        <v>-705.42631437628893</v>
      </c>
      <c r="AL21" s="7">
        <v>5131.1641186109182</v>
      </c>
      <c r="AM21" s="8">
        <v>288.7515812830913</v>
      </c>
      <c r="AN21" s="7">
        <v>4508.3084397571638</v>
      </c>
      <c r="AO21" s="8">
        <v>-235.04687363463543</v>
      </c>
      <c r="AP21" s="7">
        <v>14981.480664726938</v>
      </c>
      <c r="AQ21" s="8">
        <v>-194.16796763721868</v>
      </c>
      <c r="AR21" s="7">
        <v>4991.1304088350253</v>
      </c>
      <c r="AS21" s="8">
        <v>-514.56199446486301</v>
      </c>
      <c r="AT21" s="7">
        <v>1901.7334408777228</v>
      </c>
      <c r="AU21" s="8">
        <v>-68.717351320705831</v>
      </c>
      <c r="AV21" s="7">
        <v>1633.2951445900237</v>
      </c>
      <c r="AW21" s="8">
        <v>-151.0042865821369</v>
      </c>
      <c r="AX21" s="7">
        <v>32237.843837918233</v>
      </c>
      <c r="AY21" s="8">
        <v>114.07567377755127</v>
      </c>
      <c r="AZ21" s="7">
        <v>11372.887877995485</v>
      </c>
      <c r="BA21" s="8">
        <v>1558.6424337025035</v>
      </c>
      <c r="BB21" s="7">
        <v>10091.162094071786</v>
      </c>
      <c r="BC21" s="8">
        <v>113.85298233996041</v>
      </c>
      <c r="BD21" s="7">
        <v>3904.9364855898079</v>
      </c>
      <c r="BE21" s="8">
        <v>-55.194556633384011</v>
      </c>
      <c r="BF21" s="7">
        <v>3577.5147268157434</v>
      </c>
      <c r="BG21" s="8">
        <v>-278.93062910623473</v>
      </c>
      <c r="BH21" s="7">
        <v>1263.4570573208321</v>
      </c>
      <c r="BI21" s="8">
        <v>-0.59819743034610751</v>
      </c>
    </row>
    <row r="22" spans="1:61" x14ac:dyDescent="0.25">
      <c r="A22" s="8" t="s">
        <v>63</v>
      </c>
      <c r="B22" s="9">
        <v>2658.7473002159827</v>
      </c>
      <c r="C22" s="9">
        <f t="shared" si="0"/>
        <v>2508.3021086386107</v>
      </c>
      <c r="D22" s="10">
        <f t="shared" si="1"/>
        <v>5.6584990820733765</v>
      </c>
      <c r="E22" s="8">
        <v>21</v>
      </c>
      <c r="F22" s="7">
        <v>178.18392857142854</v>
      </c>
      <c r="G22" s="8">
        <v>-34.316418889804865</v>
      </c>
      <c r="H22" s="7">
        <v>619.99642857142862</v>
      </c>
      <c r="I22" s="8">
        <v>-105.55477165267786</v>
      </c>
      <c r="J22" s="7">
        <v>245.3821428571429</v>
      </c>
      <c r="K22" s="8">
        <v>-59.68064645414205</v>
      </c>
      <c r="L22" s="7">
        <v>1412.6214445832002</v>
      </c>
      <c r="M22" s="8">
        <v>312.1819767007662</v>
      </c>
      <c r="N22" s="7">
        <v>521.54864220608408</v>
      </c>
      <c r="O22" s="8">
        <v>-24.743132908878554</v>
      </c>
      <c r="P22" s="7">
        <v>166.57400396059975</v>
      </c>
      <c r="Q22" s="8">
        <v>14.796645547597223</v>
      </c>
      <c r="R22" s="7">
        <v>145.51984513954193</v>
      </c>
      <c r="S22" s="8">
        <v>-4.6790963836101733</v>
      </c>
      <c r="T22" s="7">
        <v>5537.0437308673463</v>
      </c>
      <c r="U22" s="8">
        <v>-1285.9909785420455</v>
      </c>
      <c r="V22" s="7">
        <v>2189.7854910714282</v>
      </c>
      <c r="W22" s="8">
        <v>-748.09723650360115</v>
      </c>
      <c r="X22" s="7">
        <v>12581.65972255126</v>
      </c>
      <c r="Y22" s="8">
        <v>1064.6482996419004</v>
      </c>
      <c r="Z22" s="7">
        <v>4605.4419042135942</v>
      </c>
      <c r="AA22" s="8">
        <v>-420.25905762489299</v>
      </c>
      <c r="AB22" s="7">
        <v>1485.6064834260142</v>
      </c>
      <c r="AC22" s="8">
        <v>-15.81233600458998</v>
      </c>
      <c r="AD22" s="7">
        <v>1294.5653948746044</v>
      </c>
      <c r="AE22" s="8">
        <v>-105.49816447177469</v>
      </c>
      <c r="AF22" s="7">
        <v>7739.6321045918348</v>
      </c>
      <c r="AG22" s="8">
        <v>-1982.9129347393703</v>
      </c>
      <c r="AH22" s="7">
        <v>43715.48540034188</v>
      </c>
      <c r="AI22" s="8">
        <v>7038.7455596309474</v>
      </c>
      <c r="AJ22" s="7">
        <v>15908.355627949453</v>
      </c>
      <c r="AK22" s="8">
        <v>-994.36403555378786</v>
      </c>
      <c r="AL22" s="7">
        <v>5232.4496077574613</v>
      </c>
      <c r="AM22" s="8">
        <v>278.70767496500866</v>
      </c>
      <c r="AN22" s="7">
        <v>4571.8025608976741</v>
      </c>
      <c r="AO22" s="8">
        <v>-223.01102642460489</v>
      </c>
      <c r="AP22" s="7">
        <v>17186.878824766638</v>
      </c>
      <c r="AQ22" s="8">
        <v>-310.58844990711879</v>
      </c>
      <c r="AR22" s="7">
        <v>6334.9172853720183</v>
      </c>
      <c r="AS22" s="8">
        <v>-793.79932155584231</v>
      </c>
      <c r="AT22" s="7">
        <v>2109.8633194966583</v>
      </c>
      <c r="AU22" s="8">
        <v>-97.633061731489121</v>
      </c>
      <c r="AV22" s="7">
        <v>1857.8219113697814</v>
      </c>
      <c r="AW22" s="8">
        <v>-185.71434991482496</v>
      </c>
      <c r="AX22" s="7">
        <v>36743.126399227905</v>
      </c>
      <c r="AY22" s="8">
        <v>-288.99294281828492</v>
      </c>
      <c r="AZ22" s="7">
        <v>11804.248367906184</v>
      </c>
      <c r="BA22" s="8">
        <v>1594.4203404444661</v>
      </c>
      <c r="BB22" s="7">
        <v>10272.596633410616</v>
      </c>
      <c r="BC22" s="8">
        <v>244.51342204415394</v>
      </c>
      <c r="BD22" s="7">
        <v>4296.2706755547924</v>
      </c>
      <c r="BE22" s="8">
        <v>-160.10789362250389</v>
      </c>
      <c r="BF22" s="7">
        <v>3802.7134086684914</v>
      </c>
      <c r="BG22" s="8">
        <v>-297.21693576862776</v>
      </c>
      <c r="BH22" s="7">
        <v>1253.148166595593</v>
      </c>
      <c r="BI22" s="8">
        <v>3.0541359422073198</v>
      </c>
    </row>
    <row r="23" spans="1:61" x14ac:dyDescent="0.25">
      <c r="A23" s="8" t="s">
        <v>64</v>
      </c>
      <c r="B23" s="9">
        <v>2503.6710719530106</v>
      </c>
      <c r="C23" s="9">
        <f t="shared" si="0"/>
        <v>2409.0284377521484</v>
      </c>
      <c r="D23" s="10">
        <f t="shared" si="1"/>
        <v>3.780154480398072</v>
      </c>
      <c r="E23" s="8">
        <v>22</v>
      </c>
      <c r="F23" s="7">
        <v>169.18714285714285</v>
      </c>
      <c r="G23" s="8">
        <v>-33.334793254477688</v>
      </c>
      <c r="H23" s="7">
        <v>601.84285714285727</v>
      </c>
      <c r="I23" s="8">
        <v>-101.58413086514062</v>
      </c>
      <c r="J23" s="7">
        <v>275.24285714285713</v>
      </c>
      <c r="K23" s="8">
        <v>-66.215462897765107</v>
      </c>
      <c r="L23" s="7">
        <v>1399.1236485766929</v>
      </c>
      <c r="M23" s="8">
        <v>304.6561128975826</v>
      </c>
      <c r="N23" s="7">
        <v>546.91923919204271</v>
      </c>
      <c r="O23" s="8">
        <v>-20.063265461338201</v>
      </c>
      <c r="P23" s="7">
        <v>183.48540267356205</v>
      </c>
      <c r="Q23" s="8">
        <v>17.748326796753144</v>
      </c>
      <c r="R23" s="7">
        <v>169.39289872291803</v>
      </c>
      <c r="S23" s="8">
        <v>-6.9072030034742049</v>
      </c>
      <c r="T23" s="7">
        <v>5103.7995102040823</v>
      </c>
      <c r="U23" s="8">
        <v>-1192.326619809324</v>
      </c>
      <c r="V23" s="7">
        <v>2335.4170408163268</v>
      </c>
      <c r="W23" s="8">
        <v>-790.09194907468316</v>
      </c>
      <c r="X23" s="7">
        <v>11834.002071612775</v>
      </c>
      <c r="Y23" s="8">
        <v>929.0699852953768</v>
      </c>
      <c r="Z23" s="7">
        <v>4588.797627884891</v>
      </c>
      <c r="AA23" s="8">
        <v>-406.55161249621801</v>
      </c>
      <c r="AB23" s="7">
        <v>1554.2476475829108</v>
      </c>
      <c r="AC23" s="8">
        <v>-11.199269577174414</v>
      </c>
      <c r="AD23" s="7">
        <v>1429.9992022695897</v>
      </c>
      <c r="AE23" s="8">
        <v>-130.91680122230684</v>
      </c>
      <c r="AF23" s="7">
        <v>8409.2173469387762</v>
      </c>
      <c r="AG23" s="8">
        <v>-2120.2911702218289</v>
      </c>
      <c r="AH23" s="7">
        <v>42057.321119262931</v>
      </c>
      <c r="AI23" s="8">
        <v>6524.7653466166366</v>
      </c>
      <c r="AJ23" s="7">
        <v>16376.71567478376</v>
      </c>
      <c r="AK23" s="8">
        <v>-822.29840464878168</v>
      </c>
      <c r="AL23" s="7">
        <v>5588.9515940558076</v>
      </c>
      <c r="AM23" s="8">
        <v>349.86780016266601</v>
      </c>
      <c r="AN23" s="7">
        <v>5136.4503571991245</v>
      </c>
      <c r="AO23" s="8">
        <v>-271.7855753497883</v>
      </c>
      <c r="AP23" s="7">
        <v>19258.604250139932</v>
      </c>
      <c r="AQ23" s="8">
        <v>-316.94918609840869</v>
      </c>
      <c r="AR23" s="7">
        <v>7509.7624945257267</v>
      </c>
      <c r="AS23" s="8">
        <v>-776.35207702102969</v>
      </c>
      <c r="AT23" s="7">
        <v>2600.8283680023687</v>
      </c>
      <c r="AU23" s="8">
        <v>-90.766642621377542</v>
      </c>
      <c r="AV23" s="7">
        <v>2378.3734325408604</v>
      </c>
      <c r="AW23" s="8">
        <v>-226.99591826486929</v>
      </c>
      <c r="AX23" s="7">
        <v>38914.114035737402</v>
      </c>
      <c r="AY23" s="8">
        <v>336.75346367387408</v>
      </c>
      <c r="AZ23" s="7">
        <v>12996.312890664763</v>
      </c>
      <c r="BA23" s="8">
        <v>1829.4781853755155</v>
      </c>
      <c r="BB23" s="7">
        <v>12007.913046342888</v>
      </c>
      <c r="BC23" s="8">
        <v>152.67537111770494</v>
      </c>
      <c r="BD23" s="7">
        <v>5056.8546725603637</v>
      </c>
      <c r="BE23" s="8">
        <v>-52.483412695228907</v>
      </c>
      <c r="BF23" s="7">
        <v>4742.1252621233198</v>
      </c>
      <c r="BG23" s="8">
        <v>-363.02950000087952</v>
      </c>
      <c r="BH23" s="7">
        <v>1591.3639691565822</v>
      </c>
      <c r="BI23" s="8">
        <v>11.993482991716457</v>
      </c>
    </row>
    <row r="24" spans="1:61" x14ac:dyDescent="0.25">
      <c r="A24" s="8" t="s">
        <v>65</v>
      </c>
      <c r="B24" s="9">
        <v>2855</v>
      </c>
      <c r="C24" s="9">
        <f t="shared" si="0"/>
        <v>2816.0109147552603</v>
      </c>
      <c r="D24" s="10">
        <f t="shared" si="1"/>
        <v>1.3656422152273109</v>
      </c>
      <c r="E24" s="8">
        <v>23</v>
      </c>
      <c r="F24" s="7">
        <v>170.21785714285716</v>
      </c>
      <c r="G24" s="8">
        <v>-34.077287260660079</v>
      </c>
      <c r="H24" s="7">
        <v>588.30357142857144</v>
      </c>
      <c r="I24" s="8">
        <v>-100.85814472199243</v>
      </c>
      <c r="J24" s="7">
        <v>224.33571428571432</v>
      </c>
      <c r="K24" s="8">
        <v>-55.640865757101629</v>
      </c>
      <c r="L24" s="7">
        <v>1499.6103581411926</v>
      </c>
      <c r="M24" s="8">
        <v>339.8220421253435</v>
      </c>
      <c r="N24" s="7">
        <v>418.05789936237682</v>
      </c>
      <c r="O24" s="8">
        <v>-13.829487146737749</v>
      </c>
      <c r="P24" s="7">
        <v>168.12206968321402</v>
      </c>
      <c r="Q24" s="8">
        <v>16.473641236511153</v>
      </c>
      <c r="R24" s="7">
        <v>123.75274482356171</v>
      </c>
      <c r="S24" s="8">
        <v>-3.2716512920427734</v>
      </c>
      <c r="T24" s="7">
        <v>5033.2166007653059</v>
      </c>
      <c r="U24" s="8">
        <v>-1215.4117182666496</v>
      </c>
      <c r="V24" s="7">
        <v>1902.0278698979591</v>
      </c>
      <c r="W24" s="8">
        <v>-653.14124374854032</v>
      </c>
      <c r="X24" s="7">
        <v>12775.634142826728</v>
      </c>
      <c r="Y24" s="8">
        <v>1084.2882315604325</v>
      </c>
      <c r="Z24" s="7">
        <v>3476.8625812303144</v>
      </c>
      <c r="AA24" s="8">
        <v>-286.68129213774671</v>
      </c>
      <c r="AB24" s="7">
        <v>1430.602820684778</v>
      </c>
      <c r="AC24" s="8">
        <v>-7.5482680279000549</v>
      </c>
      <c r="AD24" s="7">
        <v>1041.900209022506</v>
      </c>
      <c r="AE24" s="8">
        <v>-80.763010335636238</v>
      </c>
      <c r="AF24" s="7">
        <v>6856.4536479591834</v>
      </c>
      <c r="AG24" s="8">
        <v>-1790.561779148187</v>
      </c>
      <c r="AH24" s="7">
        <v>44316.487948553389</v>
      </c>
      <c r="AI24" s="8">
        <v>7573.906872442587</v>
      </c>
      <c r="AJ24" s="7">
        <v>12189.845740914234</v>
      </c>
      <c r="AK24" s="8">
        <v>-482.85083001427887</v>
      </c>
      <c r="AL24" s="7">
        <v>5102.786887813405</v>
      </c>
      <c r="AM24" s="8">
        <v>367.79065144262273</v>
      </c>
      <c r="AN24" s="7">
        <v>3731.6864153471611</v>
      </c>
      <c r="AO24" s="8">
        <v>-119.20219703138103</v>
      </c>
      <c r="AP24" s="7">
        <v>16936.478783778519</v>
      </c>
      <c r="AQ24" s="8">
        <v>-384.75717915220451</v>
      </c>
      <c r="AR24" s="7">
        <v>4745.3124804196623</v>
      </c>
      <c r="AS24" s="8">
        <v>-507.67355397577285</v>
      </c>
      <c r="AT24" s="7">
        <v>2021.6593637009942</v>
      </c>
      <c r="AU24" s="8">
        <v>-74.526457026145692</v>
      </c>
      <c r="AV24" s="7">
        <v>1488.0731685995049</v>
      </c>
      <c r="AW24" s="8">
        <v>-128.09372185798804</v>
      </c>
      <c r="AX24" s="7">
        <v>31800.069501171514</v>
      </c>
      <c r="AY24" s="8">
        <v>653.99563583418796</v>
      </c>
      <c r="AZ24" s="7">
        <v>12802.756400527518</v>
      </c>
      <c r="BA24" s="8">
        <v>1890.5892498034391</v>
      </c>
      <c r="BB24" s="7">
        <v>9473.6663697417462</v>
      </c>
      <c r="BC24" s="8">
        <v>346.25959009323208</v>
      </c>
      <c r="BD24" s="7">
        <v>3589.3158539115439</v>
      </c>
      <c r="BE24" s="8">
        <v>10.798826834824133</v>
      </c>
      <c r="BF24" s="7">
        <v>2790.7800066796399</v>
      </c>
      <c r="BG24" s="8">
        <v>-132.07008436525072</v>
      </c>
      <c r="BH24" s="7">
        <v>1116.1107353315747</v>
      </c>
      <c r="BI24" s="8">
        <v>32.161798550780475</v>
      </c>
    </row>
    <row r="25" spans="1:61" x14ac:dyDescent="0.25">
      <c r="A25" s="8" t="s">
        <v>66</v>
      </c>
      <c r="B25" s="9">
        <v>2105</v>
      </c>
      <c r="C25" s="9">
        <f t="shared" si="0"/>
        <v>2147.9879747204927</v>
      </c>
      <c r="D25" s="10">
        <f t="shared" si="1"/>
        <v>-2.0421840722324336</v>
      </c>
      <c r="E25" s="8">
        <v>24</v>
      </c>
      <c r="F25" s="7">
        <v>161.17678571428567</v>
      </c>
      <c r="G25" s="8">
        <v>-35.499036347969685</v>
      </c>
      <c r="H25" s="7">
        <v>621.41249999999991</v>
      </c>
      <c r="I25" s="8">
        <v>-105.32639530342568</v>
      </c>
      <c r="J25" s="7">
        <v>270.21250000000009</v>
      </c>
      <c r="K25" s="8">
        <v>-68.443982095689606</v>
      </c>
      <c r="L25" s="7">
        <v>1472.216368389111</v>
      </c>
      <c r="M25" s="8">
        <v>316.64831113539759</v>
      </c>
      <c r="N25" s="7">
        <v>507.65543123131829</v>
      </c>
      <c r="O25" s="8">
        <v>-20.718194607462415</v>
      </c>
      <c r="P25" s="7">
        <v>190.75780892027913</v>
      </c>
      <c r="Q25" s="8">
        <v>16.046699589303781</v>
      </c>
      <c r="R25" s="7">
        <v>158.71639867879469</v>
      </c>
      <c r="S25" s="8">
        <v>-7.3485886343856111</v>
      </c>
      <c r="T25" s="7">
        <v>5073.2192761479591</v>
      </c>
      <c r="U25" s="8">
        <v>-1297.036305042363</v>
      </c>
      <c r="V25" s="7">
        <v>2214.5004751275515</v>
      </c>
      <c r="W25" s="8">
        <v>-786.74652548481367</v>
      </c>
      <c r="X25" s="7">
        <v>11708.7864673938</v>
      </c>
      <c r="Y25" s="8">
        <v>857.58487513430327</v>
      </c>
      <c r="Z25" s="7">
        <v>3895.0923920250034</v>
      </c>
      <c r="AA25" s="8">
        <v>-369.49939449284147</v>
      </c>
      <c r="AB25" s="7">
        <v>1540.2945079522178</v>
      </c>
      <c r="AC25" s="8">
        <v>-21.855141740273829</v>
      </c>
      <c r="AD25" s="7">
        <v>1247.0375731245654</v>
      </c>
      <c r="AE25" s="8">
        <v>-118.50903620652313</v>
      </c>
      <c r="AF25" s="7">
        <v>8501.8790082908163</v>
      </c>
      <c r="AG25" s="8">
        <v>-2245.7514401698422</v>
      </c>
      <c r="AH25" s="7">
        <v>45569.387835897236</v>
      </c>
      <c r="AI25" s="8">
        <v>7054.7112969063537</v>
      </c>
      <c r="AJ25" s="7">
        <v>15460.736271471276</v>
      </c>
      <c r="AK25" s="8">
        <v>-830.14974124706862</v>
      </c>
      <c r="AL25" s="7">
        <v>5974.7521618979854</v>
      </c>
      <c r="AM25" s="8">
        <v>309.64527505283718</v>
      </c>
      <c r="AN25" s="7">
        <v>4908.8338056197408</v>
      </c>
      <c r="AO25" s="8">
        <v>-282.10048495451622</v>
      </c>
      <c r="AP25" s="7">
        <v>19776.972921081946</v>
      </c>
      <c r="AQ25" s="8">
        <v>-582.33305061611134</v>
      </c>
      <c r="AR25" s="7">
        <v>6915.2672588670303</v>
      </c>
      <c r="AS25" s="8">
        <v>-904.46158403290974</v>
      </c>
      <c r="AT25" s="7">
        <v>2660.0109614035341</v>
      </c>
      <c r="AU25" s="8">
        <v>-167.11736343456226</v>
      </c>
      <c r="AV25" s="7">
        <v>2206.8114357035597</v>
      </c>
      <c r="AW25" s="8">
        <v>-273.85730281767064</v>
      </c>
      <c r="AX25" s="7">
        <v>37984.155263141263</v>
      </c>
      <c r="AY25" s="8">
        <v>81.590148745249735</v>
      </c>
      <c r="AZ25" s="7">
        <v>14109.40030502761</v>
      </c>
      <c r="BA25" s="8">
        <v>1805.5427830243934</v>
      </c>
      <c r="BB25" s="7">
        <v>11814.059981545304</v>
      </c>
      <c r="BC25" s="8">
        <v>119.76654311177857</v>
      </c>
      <c r="BD25" s="7">
        <v>4996.7564129517596</v>
      </c>
      <c r="BE25" s="8">
        <v>-115.53630091750223</v>
      </c>
      <c r="BF25" s="7">
        <v>4391.4621043906018</v>
      </c>
      <c r="BG25" s="8">
        <v>-336.24032728294111</v>
      </c>
      <c r="BH25" s="7">
        <v>1583.6531696739146</v>
      </c>
      <c r="BI25" s="8">
        <v>-14.848007802807416</v>
      </c>
    </row>
    <row r="26" spans="1:61" x14ac:dyDescent="0.25">
      <c r="A26" s="8" t="s">
        <v>67</v>
      </c>
      <c r="B26" s="9">
        <v>2752</v>
      </c>
      <c r="C26" s="9">
        <f t="shared" si="0"/>
        <v>2609.6209056948323</v>
      </c>
      <c r="D26" s="10">
        <f t="shared" si="1"/>
        <v>5.1736589500424293</v>
      </c>
      <c r="E26" s="8">
        <v>25</v>
      </c>
      <c r="F26" s="7">
        <v>164.72837662337662</v>
      </c>
      <c r="G26" s="8">
        <v>-31.805849950746619</v>
      </c>
      <c r="H26" s="7">
        <v>611.55076530612246</v>
      </c>
      <c r="I26" s="8">
        <v>-103.40385775896084</v>
      </c>
      <c r="J26" s="7">
        <v>235.17602040816325</v>
      </c>
      <c r="K26" s="8">
        <v>-56.665164185513447</v>
      </c>
      <c r="L26" s="7">
        <v>1461.4037943029386</v>
      </c>
      <c r="M26" s="8">
        <v>317.47812562292637</v>
      </c>
      <c r="N26" s="7">
        <v>531.96089089993666</v>
      </c>
      <c r="O26" s="8">
        <v>-20.562944797766033</v>
      </c>
      <c r="P26" s="7">
        <v>176.76525575466329</v>
      </c>
      <c r="Q26" s="8">
        <v>14.797765164700708</v>
      </c>
      <c r="R26" s="7">
        <v>163.27435582629158</v>
      </c>
      <c r="S26" s="8">
        <v>-7.4768809634114115</v>
      </c>
      <c r="T26" s="7">
        <v>5067.4851234842963</v>
      </c>
      <c r="U26" s="8">
        <v>-1187.1578748556904</v>
      </c>
      <c r="V26" s="7">
        <v>1953.9116909455336</v>
      </c>
      <c r="W26" s="8">
        <v>-685.06654084981596</v>
      </c>
      <c r="X26" s="7">
        <v>11960.797921263815</v>
      </c>
      <c r="Y26" s="8">
        <v>1068.4604078575819</v>
      </c>
      <c r="Z26" s="7">
        <v>4207.1464808743613</v>
      </c>
      <c r="AA26" s="8">
        <v>-371.08805350916879</v>
      </c>
      <c r="AB26" s="7">
        <v>1441.7373275148491</v>
      </c>
      <c r="AC26" s="8">
        <v>-18.155438248528032</v>
      </c>
      <c r="AD26" s="7">
        <v>1303.6699282661682</v>
      </c>
      <c r="AE26" s="8">
        <v>-124.36653719811022</v>
      </c>
      <c r="AF26" s="7">
        <v>7355.617420736151</v>
      </c>
      <c r="AG26" s="8">
        <v>-1867.1762612223156</v>
      </c>
      <c r="AH26" s="7">
        <v>44534.64960466716</v>
      </c>
      <c r="AI26" s="8">
        <v>6913.4309042528812</v>
      </c>
      <c r="AJ26" s="7">
        <v>15972.882164661569</v>
      </c>
      <c r="AK26" s="8">
        <v>-850.26970234074395</v>
      </c>
      <c r="AL26" s="7">
        <v>5475.8814391840715</v>
      </c>
      <c r="AM26" s="8">
        <v>262.51479106934545</v>
      </c>
      <c r="AN26" s="7">
        <v>4987.5504438160169</v>
      </c>
      <c r="AO26" s="8">
        <v>-292.79748885261654</v>
      </c>
      <c r="AP26" s="7">
        <v>16846.729711775213</v>
      </c>
      <c r="AQ26" s="8">
        <v>-445.80854378009093</v>
      </c>
      <c r="AR26" s="7">
        <v>6064.205580461612</v>
      </c>
      <c r="AS26" s="8">
        <v>-724.01784738896379</v>
      </c>
      <c r="AT26" s="7">
        <v>2139.0476664878779</v>
      </c>
      <c r="AU26" s="8">
        <v>-114.88473104486451</v>
      </c>
      <c r="AV26" s="7">
        <v>1918.7163518103048</v>
      </c>
      <c r="AW26" s="8">
        <v>-212.49013861407553</v>
      </c>
      <c r="AX26" s="7">
        <v>39456.81319533466</v>
      </c>
      <c r="AY26" s="8">
        <v>159.872229074252</v>
      </c>
      <c r="AZ26" s="7">
        <v>12961.363928501059</v>
      </c>
      <c r="BA26" s="8">
        <v>1638.298711384354</v>
      </c>
      <c r="BB26" s="7">
        <v>12064.86608196262</v>
      </c>
      <c r="BC26" s="8">
        <v>67.774633771886911</v>
      </c>
      <c r="BD26" s="7">
        <v>4735.5842006388693</v>
      </c>
      <c r="BE26" s="8">
        <v>-124.3850586495832</v>
      </c>
      <c r="BF26" s="7">
        <v>4559.3731022348584</v>
      </c>
      <c r="BG26" s="8">
        <v>-362.54447711440355</v>
      </c>
      <c r="BH26" s="7">
        <v>1478.7005745706574</v>
      </c>
      <c r="BI26" s="8">
        <v>-24.450888798545815</v>
      </c>
    </row>
    <row r="27" spans="1:61" x14ac:dyDescent="0.25">
      <c r="A27" s="8" t="s">
        <v>68</v>
      </c>
      <c r="B27" s="9">
        <v>3016</v>
      </c>
      <c r="C27" s="9">
        <f t="shared" si="0"/>
        <v>2704.427032242274</v>
      </c>
      <c r="D27" s="10">
        <f t="shared" si="1"/>
        <v>10.330668692232296</v>
      </c>
      <c r="E27" s="8">
        <v>26</v>
      </c>
      <c r="F27" s="7">
        <v>178.5</v>
      </c>
      <c r="G27" s="8">
        <v>-33.924952322926842</v>
      </c>
      <c r="H27" s="7">
        <v>605.5625</v>
      </c>
      <c r="I27" s="8">
        <v>-101.25243974279972</v>
      </c>
      <c r="J27" s="7">
        <v>236.94285714285712</v>
      </c>
      <c r="K27" s="8">
        <v>-55.284700309911351</v>
      </c>
      <c r="L27" s="7">
        <v>1565.4593387865366</v>
      </c>
      <c r="M27" s="8">
        <v>359.55957663882748</v>
      </c>
      <c r="N27" s="7">
        <v>744.1375023068473</v>
      </c>
      <c r="O27" s="8">
        <v>-10.912633918415054</v>
      </c>
      <c r="P27" s="7">
        <v>188.11623888838838</v>
      </c>
      <c r="Q27" s="8">
        <v>18.583756687052354</v>
      </c>
      <c r="R27" s="7">
        <v>208.98022954197714</v>
      </c>
      <c r="S27" s="8">
        <v>-4.3001586372268079</v>
      </c>
      <c r="T27" s="7">
        <v>5409.4889285714289</v>
      </c>
      <c r="U27" s="8">
        <v>-1213.8659621080683</v>
      </c>
      <c r="V27" s="7">
        <v>2117.3420408163265</v>
      </c>
      <c r="W27" s="8">
        <v>-721.09668883581435</v>
      </c>
      <c r="X27" s="7">
        <v>13943.975436946335</v>
      </c>
      <c r="Y27" s="8">
        <v>1297.4731753548256</v>
      </c>
      <c r="Z27" s="7">
        <v>6511.4201280551006</v>
      </c>
      <c r="AA27" s="8">
        <v>-458.35751001025812</v>
      </c>
      <c r="AB27" s="7">
        <v>1676.4558332383374</v>
      </c>
      <c r="AC27" s="8">
        <v>-14.160470954623815</v>
      </c>
      <c r="AD27" s="7">
        <v>1834.6589768585943</v>
      </c>
      <c r="AE27" s="8">
        <v>-141.43250042717935</v>
      </c>
      <c r="AF27" s="7">
        <v>7294.5827551020393</v>
      </c>
      <c r="AG27" s="8">
        <v>-1822.9033854861812</v>
      </c>
      <c r="AH27" s="7">
        <v>47392.145507250942</v>
      </c>
      <c r="AI27" s="8">
        <v>7869.4730222085182</v>
      </c>
      <c r="AJ27" s="7">
        <v>22455.603529310054</v>
      </c>
      <c r="AK27" s="8">
        <v>-610.30004623968432</v>
      </c>
      <c r="AL27" s="7">
        <v>5756.4569108965406</v>
      </c>
      <c r="AM27" s="8">
        <v>360.65658423788244</v>
      </c>
      <c r="AN27" s="7">
        <v>6359.8592709383374</v>
      </c>
      <c r="AO27" s="8">
        <v>-218.30356790691926</v>
      </c>
      <c r="AP27" s="7">
        <v>18574.706238756902</v>
      </c>
      <c r="AQ27" s="8">
        <v>26.402048492711351</v>
      </c>
      <c r="AR27" s="7">
        <v>8880.8198978622022</v>
      </c>
      <c r="AS27" s="8">
        <v>-644.02518000757823</v>
      </c>
      <c r="AT27" s="7">
        <v>2345.3819698309217</v>
      </c>
      <c r="AU27" s="8">
        <v>-30.495763770087798</v>
      </c>
      <c r="AV27" s="7">
        <v>2589.4703395548258</v>
      </c>
      <c r="AW27" s="8">
        <v>-157.64293144334255</v>
      </c>
      <c r="AX27" s="7">
        <v>59375.252436336719</v>
      </c>
      <c r="AY27" s="8">
        <v>2376.8371242298467</v>
      </c>
      <c r="AZ27" s="7">
        <v>14739.817032184119</v>
      </c>
      <c r="BA27" s="8">
        <v>2193.2758264525687</v>
      </c>
      <c r="BB27" s="7">
        <v>16614.989193601337</v>
      </c>
      <c r="BC27" s="8">
        <v>651.10583187632301</v>
      </c>
      <c r="BD27" s="7">
        <v>7073.6117939433398</v>
      </c>
      <c r="BE27" s="8">
        <v>93.901484318892628</v>
      </c>
      <c r="BF27" s="7">
        <v>8556.2152120390419</v>
      </c>
      <c r="BG27" s="8">
        <v>-303.52119072117483</v>
      </c>
      <c r="BH27" s="7">
        <v>2033.0474752018144</v>
      </c>
      <c r="BI27" s="8">
        <v>59.720918345630331</v>
      </c>
    </row>
    <row r="28" spans="1:61" x14ac:dyDescent="0.25">
      <c r="A28" s="8" t="s">
        <v>69</v>
      </c>
      <c r="B28" s="9">
        <v>2720</v>
      </c>
      <c r="C28" s="9">
        <f t="shared" si="0"/>
        <v>3006.371674337192</v>
      </c>
      <c r="D28" s="10">
        <f>(B28-C28)/B28*100</f>
        <v>-10.528370380043823</v>
      </c>
      <c r="E28" s="8">
        <v>27</v>
      </c>
      <c r="F28" s="7">
        <v>135.08106782106782</v>
      </c>
      <c r="G28" s="8">
        <v>-25.452748831701797</v>
      </c>
      <c r="H28" s="7">
        <v>580.58986880466466</v>
      </c>
      <c r="I28" s="8">
        <v>-97.703891809134163</v>
      </c>
      <c r="J28" s="7">
        <v>212.9064504373178</v>
      </c>
      <c r="K28" s="8">
        <v>-50.921648273821177</v>
      </c>
      <c r="L28" s="7">
        <v>1469.8477609235201</v>
      </c>
      <c r="M28" s="8">
        <v>327.12534787751616</v>
      </c>
      <c r="N28" s="7">
        <v>559.04510025858508</v>
      </c>
      <c r="O28" s="8">
        <v>-22.389825329968367</v>
      </c>
      <c r="P28" s="7">
        <v>177.49224056212475</v>
      </c>
      <c r="Q28" s="8">
        <v>19.197370234776269</v>
      </c>
      <c r="R28" s="7">
        <v>148.27010029332931</v>
      </c>
      <c r="S28" s="8">
        <v>-4.0117083745223114</v>
      </c>
      <c r="T28" s="7">
        <v>3910.1001884388552</v>
      </c>
      <c r="U28" s="8">
        <v>-883.25610684596916</v>
      </c>
      <c r="V28" s="7">
        <v>1426.1402535653378</v>
      </c>
      <c r="W28" s="8">
        <v>-499.27276550496225</v>
      </c>
      <c r="X28" s="7">
        <v>9663.9851138719805</v>
      </c>
      <c r="Y28" s="8">
        <v>896.80998227985708</v>
      </c>
      <c r="Z28" s="7">
        <v>3753.0558981011282</v>
      </c>
      <c r="AA28" s="8">
        <v>-422.83688944513534</v>
      </c>
      <c r="AB28" s="7">
        <v>1122.6815021763384</v>
      </c>
      <c r="AC28" s="8">
        <v>-7.1985432070813662</v>
      </c>
      <c r="AD28" s="7">
        <v>930.28330666604518</v>
      </c>
      <c r="AE28" s="8">
        <v>-88.790949409872113</v>
      </c>
      <c r="AF28" s="7">
        <v>6362.9574268932374</v>
      </c>
      <c r="AG28" s="8">
        <v>-1622.2834872548924</v>
      </c>
      <c r="AH28" s="7">
        <v>42802.229998662318</v>
      </c>
      <c r="AI28" s="8">
        <v>7175.6355507693088</v>
      </c>
      <c r="AJ28" s="7">
        <v>16171.728329069563</v>
      </c>
      <c r="AK28" s="8">
        <v>-760.91526867808818</v>
      </c>
      <c r="AL28" s="7">
        <v>5295.5036606992662</v>
      </c>
      <c r="AM28" s="8">
        <v>434.97070492538296</v>
      </c>
      <c r="AN28" s="7">
        <v>4376.046283490361</v>
      </c>
      <c r="AO28" s="8">
        <v>-146.50874363156441</v>
      </c>
      <c r="AP28" s="7">
        <v>15819.740410191069</v>
      </c>
      <c r="AQ28" s="8">
        <v>-12.319543510654404</v>
      </c>
      <c r="AR28" s="7">
        <v>5945.4598728364635</v>
      </c>
      <c r="AS28" s="8">
        <v>-555.1114544364824</v>
      </c>
      <c r="AT28" s="7">
        <v>2021.6522067394542</v>
      </c>
      <c r="AU28" s="8">
        <v>-27.412665683413358</v>
      </c>
      <c r="AV28" s="7">
        <v>1651.6016621295596</v>
      </c>
      <c r="AW28" s="8">
        <v>-125.55636677257021</v>
      </c>
      <c r="AX28" s="7">
        <v>42832.906425090463</v>
      </c>
      <c r="AY28" s="8">
        <v>214.55082980539601</v>
      </c>
      <c r="AZ28" s="7">
        <v>13257.97414690462</v>
      </c>
      <c r="BA28" s="8">
        <v>2064.0420116028354</v>
      </c>
      <c r="BB28" s="7">
        <v>11083.467944902712</v>
      </c>
      <c r="BC28" s="8">
        <v>376.29516565687493</v>
      </c>
      <c r="BD28" s="7">
        <v>4799.7166935427986</v>
      </c>
      <c r="BE28" s="8">
        <v>22.647449900900167</v>
      </c>
      <c r="BF28" s="7">
        <v>4097.0266065214046</v>
      </c>
      <c r="BG28" s="8">
        <v>-262.3030118839693</v>
      </c>
      <c r="BH28" s="7">
        <v>1410.8518601492892</v>
      </c>
      <c r="BI28" s="8">
        <v>47.399120961702565</v>
      </c>
    </row>
    <row r="29" spans="1:61" x14ac:dyDescent="0.25">
      <c r="B29" s="14"/>
      <c r="C29" s="9"/>
      <c r="D29" s="14"/>
      <c r="F29" s="7"/>
      <c r="H29" s="7"/>
      <c r="J29" s="7"/>
      <c r="L29" s="7"/>
      <c r="N29" s="7"/>
      <c r="P29" s="7"/>
      <c r="R29" s="7"/>
      <c r="T29" s="7"/>
      <c r="V29" s="7"/>
      <c r="X29" s="7"/>
      <c r="Z29" s="7"/>
      <c r="AB29" s="7"/>
      <c r="AD29" s="7"/>
      <c r="AF29" s="7"/>
      <c r="AH29" s="7"/>
      <c r="AJ29" s="7"/>
      <c r="AL29" s="7"/>
      <c r="AN29" s="7"/>
      <c r="AP29" s="7"/>
      <c r="AR29" s="7"/>
      <c r="AT29" s="7"/>
      <c r="AV29" s="7"/>
      <c r="AX29" s="7"/>
      <c r="AZ29" s="7"/>
      <c r="BB29" s="7"/>
      <c r="BD29" s="7"/>
      <c r="BF29" s="7"/>
      <c r="BH29" s="7"/>
    </row>
    <row r="30" spans="1:61" x14ac:dyDescent="0.25">
      <c r="A30" s="8" t="s">
        <v>70</v>
      </c>
      <c r="B30" s="14">
        <v>2915</v>
      </c>
      <c r="C30" s="9">
        <f>$D$55+($D$56*AG30)+($D$57*AC30)</f>
        <v>2802.2959959175432</v>
      </c>
      <c r="D30" s="10">
        <f>(B30-C30)/B30*100</f>
        <v>3.8663466237549495</v>
      </c>
      <c r="E30" s="8">
        <v>28</v>
      </c>
      <c r="F30" s="7">
        <v>176.90492768595035</v>
      </c>
      <c r="G30" s="8">
        <v>-34.07588199498133</v>
      </c>
      <c r="H30" s="7">
        <v>597.34613702623903</v>
      </c>
      <c r="I30" s="8">
        <v>-100.74303270873443</v>
      </c>
      <c r="J30" s="7">
        <v>243.52838921282799</v>
      </c>
      <c r="K30" s="8">
        <v>-60.682298998725173</v>
      </c>
      <c r="L30" s="7">
        <v>1515.7504862937774</v>
      </c>
      <c r="M30" s="8">
        <v>336.33048353329315</v>
      </c>
      <c r="N30" s="7">
        <v>556.77090863861054</v>
      </c>
      <c r="O30" s="8">
        <v>-26.005033067904204</v>
      </c>
      <c r="P30" s="7">
        <v>179.1814752179595</v>
      </c>
      <c r="Q30" s="8">
        <v>16.096278125982842</v>
      </c>
      <c r="R30" s="7">
        <v>148.46872458863524</v>
      </c>
      <c r="S30" s="8">
        <v>-6.6214549041200454</v>
      </c>
      <c r="T30" s="7">
        <v>5297.6420598753484</v>
      </c>
      <c r="U30" s="8">
        <v>-1221.9481907791308</v>
      </c>
      <c r="V30" s="7">
        <v>2157.2059487453134</v>
      </c>
      <c r="W30" s="8">
        <v>-734.21030716481914</v>
      </c>
      <c r="X30" s="7">
        <v>13384.473316756059</v>
      </c>
      <c r="Y30" s="8">
        <v>1045.0038170399309</v>
      </c>
      <c r="Z30" s="7">
        <v>4922.5859136746212</v>
      </c>
      <c r="AA30" s="8">
        <v>-386.06099089820532</v>
      </c>
      <c r="AB30" s="7">
        <v>1585.848638870455</v>
      </c>
      <c r="AC30" s="8">
        <v>-14.2615240828586</v>
      </c>
      <c r="AD30" s="7">
        <v>1309.8114045883517</v>
      </c>
      <c r="AE30" s="8">
        <v>-120.91043414601688</v>
      </c>
      <c r="AF30" s="7">
        <v>7404.2446797956736</v>
      </c>
      <c r="AG30" s="8">
        <v>-1733.48140989224</v>
      </c>
      <c r="AH30" s="7">
        <v>45317.580899324072</v>
      </c>
      <c r="AI30" s="8">
        <v>7421.849470274582</v>
      </c>
      <c r="AJ30" s="7">
        <v>16189.239774510856</v>
      </c>
      <c r="AK30" s="8">
        <v>-958.42257639388936</v>
      </c>
      <c r="AL30" s="7">
        <v>5434.8110385861482</v>
      </c>
      <c r="AM30" s="8">
        <v>309.86188118868313</v>
      </c>
      <c r="AN30" s="7">
        <v>4449.9839390976622</v>
      </c>
      <c r="AO30" s="8">
        <v>-251.83212434925719</v>
      </c>
      <c r="AP30" s="7">
        <v>18504.340028709441</v>
      </c>
      <c r="AQ30" s="8">
        <v>-405.01402834188133</v>
      </c>
      <c r="AR30" s="7">
        <v>6468.8147585619836</v>
      </c>
      <c r="AS30" s="8">
        <v>-842.00111468823798</v>
      </c>
      <c r="AT30" s="7">
        <v>2243.716686113059</v>
      </c>
      <c r="AU30" s="8">
        <v>-125.7845859757301</v>
      </c>
      <c r="AV30" s="7">
        <v>1823.9176792189432</v>
      </c>
      <c r="AW30" s="8">
        <v>-210.68719405533457</v>
      </c>
      <c r="AX30" s="7">
        <v>42408.861575726281</v>
      </c>
      <c r="AY30" s="8">
        <v>-79.21894065416862</v>
      </c>
      <c r="AZ30" s="7">
        <v>13712.681352322095</v>
      </c>
      <c r="BA30" s="8">
        <v>1931.8664778830898</v>
      </c>
      <c r="BB30" s="7">
        <v>11347.155123981547</v>
      </c>
      <c r="BC30" s="8">
        <v>211.4167114837237</v>
      </c>
      <c r="BD30" s="7">
        <v>4819.9868153675334</v>
      </c>
      <c r="BE30" s="8">
        <v>-138.81376864941009</v>
      </c>
      <c r="BF30" s="7">
        <v>4155.5287964426725</v>
      </c>
      <c r="BG30" s="8">
        <v>-359.42633111055977</v>
      </c>
      <c r="BH30" s="7">
        <v>1349.3088944232109</v>
      </c>
      <c r="BI30" s="8">
        <v>-4.9280567769200916</v>
      </c>
    </row>
    <row r="31" spans="1:61" x14ac:dyDescent="0.25">
      <c r="A31" s="8" t="s">
        <v>313</v>
      </c>
      <c r="B31" s="14">
        <v>3091</v>
      </c>
      <c r="C31" s="9">
        <f t="shared" ref="C31" si="2">$D$55+($D$56*AG31)+($D$57*AC31)</f>
        <v>2840.749871877963</v>
      </c>
      <c r="D31" s="10">
        <f>(B31-C31)/B31*100</f>
        <v>8.0960895542554852</v>
      </c>
      <c r="E31" s="8">
        <v>29</v>
      </c>
      <c r="F31" s="7">
        <v>173.76250000000002</v>
      </c>
      <c r="G31" s="8">
        <v>-32.993171974181962</v>
      </c>
      <c r="H31" s="7">
        <v>568.11964285714282</v>
      </c>
      <c r="I31" s="8">
        <v>-93.739663523470369</v>
      </c>
      <c r="J31" s="7">
        <v>231.98392857142858</v>
      </c>
      <c r="K31" s="8">
        <v>-54.779269767559427</v>
      </c>
      <c r="L31" s="7">
        <v>1554.2926873413933</v>
      </c>
      <c r="M31" s="8">
        <v>330.11435458863593</v>
      </c>
      <c r="N31" s="7">
        <v>692.44841698336666</v>
      </c>
      <c r="O31" s="8">
        <v>-25.040005713868304</v>
      </c>
      <c r="P31" s="7">
        <v>188.09970378512492</v>
      </c>
      <c r="Q31" s="8">
        <v>16.517570305169183</v>
      </c>
      <c r="R31" s="7">
        <v>192.41397974457468</v>
      </c>
      <c r="S31" s="8">
        <v>-9.0280181295884478</v>
      </c>
      <c r="T31" s="7">
        <v>4976.9365414540816</v>
      </c>
      <c r="U31" s="8">
        <v>-1086.6007876535559</v>
      </c>
      <c r="V31" s="7">
        <v>2035.9603858418366</v>
      </c>
      <c r="W31" s="8">
        <v>-678.42823862317459</v>
      </c>
      <c r="X31" s="7">
        <v>13426.017302882077</v>
      </c>
      <c r="Y31" s="8">
        <v>1064.390691416422</v>
      </c>
      <c r="Z31" s="7">
        <v>5904.707074972921</v>
      </c>
      <c r="AA31" s="8">
        <v>-476.17955438730962</v>
      </c>
      <c r="AB31" s="7">
        <v>1642.8655969812321</v>
      </c>
      <c r="AC31" s="8">
        <v>-13.375628229526249</v>
      </c>
      <c r="AD31" s="7">
        <v>1677.524918108244</v>
      </c>
      <c r="AE31" s="8">
        <v>-153.06214233938408</v>
      </c>
      <c r="AF31" s="7">
        <v>6826.6133832908163</v>
      </c>
      <c r="AG31" s="8">
        <v>-1707.9240573315822</v>
      </c>
      <c r="AH31" s="7">
        <v>44339.123581496016</v>
      </c>
      <c r="AI31" s="8">
        <v>6586.3870608299621</v>
      </c>
      <c r="AJ31" s="7">
        <v>19167.906222104033</v>
      </c>
      <c r="AK31" s="8">
        <v>-951.79819200569943</v>
      </c>
      <c r="AL31" s="7">
        <v>5467.2184963473483</v>
      </c>
      <c r="AM31" s="8">
        <v>310.60120825920308</v>
      </c>
      <c r="AN31" s="7">
        <v>5551.6799547655382</v>
      </c>
      <c r="AO31" s="8">
        <v>-325.76119540659164</v>
      </c>
      <c r="AP31" s="7">
        <v>18202.275087473972</v>
      </c>
      <c r="AQ31" s="8">
        <v>-366.96277476765431</v>
      </c>
      <c r="AR31" s="7">
        <v>7798.3644446998205</v>
      </c>
      <c r="AS31" s="8">
        <v>-741.91550920320071</v>
      </c>
      <c r="AT31" s="7">
        <v>2291.288415194806</v>
      </c>
      <c r="AU31" s="8">
        <v>-56.519769496806667</v>
      </c>
      <c r="AV31" s="7">
        <v>2297.8981600313282</v>
      </c>
      <c r="AW31" s="8">
        <v>-208.57321546925357</v>
      </c>
      <c r="AX31" s="7">
        <v>55558.961728277631</v>
      </c>
      <c r="AY31" s="8">
        <v>20.536833458879659</v>
      </c>
      <c r="AZ31" s="7">
        <v>14766.862598741443</v>
      </c>
      <c r="BA31" s="8">
        <v>1826.3059938226097</v>
      </c>
      <c r="BB31" s="7">
        <v>15245.811030436271</v>
      </c>
      <c r="BC31" s="8">
        <v>37.927508871694791</v>
      </c>
      <c r="BD31" s="7">
        <v>6535.3771459382478</v>
      </c>
      <c r="BE31" s="8">
        <v>-85.482743023701801</v>
      </c>
      <c r="BF31" s="7">
        <v>7066.751170408631</v>
      </c>
      <c r="BG31" s="8">
        <v>-629.10366755122413</v>
      </c>
      <c r="BH31" s="7">
        <v>1863.0339285697205</v>
      </c>
      <c r="BI31" s="8">
        <v>-6.0924461059305273</v>
      </c>
    </row>
    <row r="32" spans="1:61" x14ac:dyDescent="0.25">
      <c r="A32" s="8" t="s">
        <v>314</v>
      </c>
      <c r="B32" s="14"/>
      <c r="C32" s="9">
        <f>$D$55+($D$56*AG32)+($D$57*AC32)</f>
        <v>2520.3203215666767</v>
      </c>
      <c r="D32" s="14"/>
      <c r="E32" s="8">
        <v>30</v>
      </c>
      <c r="F32" s="7">
        <v>168.7335141329259</v>
      </c>
      <c r="G32" s="8">
        <v>-31.865160357228916</v>
      </c>
      <c r="H32" s="7">
        <v>606.3664965986394</v>
      </c>
      <c r="I32" s="8">
        <v>-102.65360808130782</v>
      </c>
      <c r="J32" s="7">
        <v>249.61111111111106</v>
      </c>
      <c r="K32" s="8">
        <v>-59.861400332692597</v>
      </c>
      <c r="L32" s="7">
        <v>1430.9606013062632</v>
      </c>
      <c r="M32" s="8">
        <v>314.83759618323103</v>
      </c>
      <c r="N32" s="7">
        <v>533.10920148640207</v>
      </c>
      <c r="O32" s="8">
        <v>-16.466317421518685</v>
      </c>
      <c r="P32" s="7">
        <v>185.41394838252893</v>
      </c>
      <c r="Q32" s="8">
        <v>18.580237952109535</v>
      </c>
      <c r="R32" s="7">
        <v>160.53515829912692</v>
      </c>
      <c r="S32" s="8">
        <v>-4.1941862659789084</v>
      </c>
      <c r="T32" s="7">
        <v>5106.9454529292234</v>
      </c>
      <c r="U32" s="8">
        <v>-1171.2257735873955</v>
      </c>
      <c r="V32" s="7">
        <v>2075.5752100978921</v>
      </c>
      <c r="W32" s="8">
        <v>-707.26470439259629</v>
      </c>
      <c r="X32" s="7">
        <v>12063.126630450435</v>
      </c>
      <c r="Y32" s="8">
        <v>997.7434208169517</v>
      </c>
      <c r="Z32" s="7">
        <v>4463.7318158407734</v>
      </c>
      <c r="AA32" s="8">
        <v>-359.49745938904391</v>
      </c>
      <c r="AB32" s="7">
        <v>1544.9757238003997</v>
      </c>
      <c r="AC32" s="8">
        <v>-16.025960697731801</v>
      </c>
      <c r="AD32" s="7">
        <v>1336.0057439109173</v>
      </c>
      <c r="AE32" s="8">
        <v>-119.61469218357765</v>
      </c>
      <c r="AF32" s="7">
        <v>7770.6072276212071</v>
      </c>
      <c r="AG32" s="8">
        <v>-1969.8499381210581</v>
      </c>
      <c r="AH32" s="7">
        <v>43182.37889902098</v>
      </c>
      <c r="AI32" s="8">
        <v>7054.7387365322484</v>
      </c>
      <c r="AJ32" s="7">
        <v>15995.546666742612</v>
      </c>
      <c r="AK32" s="8">
        <v>-604.50924367882919</v>
      </c>
      <c r="AL32" s="7">
        <v>5725.2704940720196</v>
      </c>
      <c r="AM32" s="8">
        <v>411.47591175113865</v>
      </c>
      <c r="AN32" s="7">
        <v>4935.531752313821</v>
      </c>
      <c r="AO32" s="8">
        <v>-169.02184830305441</v>
      </c>
      <c r="AP32" s="7">
        <v>17678.769481578525</v>
      </c>
      <c r="AQ32" s="8">
        <v>-266.65880309666034</v>
      </c>
      <c r="AR32" s="7">
        <v>6535.1173001557991</v>
      </c>
      <c r="AS32" s="8">
        <v>-575.28255587787226</v>
      </c>
      <c r="AT32" s="7">
        <v>2433.8209666534353</v>
      </c>
      <c r="AU32" s="8">
        <v>-44.441503330967109</v>
      </c>
      <c r="AV32" s="7">
        <v>2084.8221447455776</v>
      </c>
      <c r="AW32" s="8">
        <v>-145.64001882744236</v>
      </c>
      <c r="AX32" s="7">
        <v>38323.791497922553</v>
      </c>
      <c r="AY32" s="8">
        <v>313.65663659828772</v>
      </c>
      <c r="AZ32" s="7">
        <v>13253.379610612719</v>
      </c>
      <c r="BA32" s="8">
        <v>1882.6713805115146</v>
      </c>
      <c r="BB32" s="7">
        <v>11468.678954555098</v>
      </c>
      <c r="BC32" s="8">
        <v>277.72836825193451</v>
      </c>
      <c r="BD32" s="7">
        <v>4956.712762284058</v>
      </c>
      <c r="BE32" s="8">
        <v>15.354642055830073</v>
      </c>
      <c r="BF32" s="7">
        <v>4398.8030309318783</v>
      </c>
      <c r="BG32" s="8">
        <v>-239.05207233268683</v>
      </c>
      <c r="BH32" s="7">
        <v>1553.730282825434</v>
      </c>
      <c r="BI32" s="8">
        <v>43.785538624491295</v>
      </c>
    </row>
    <row r="33" spans="1:61" ht="15.75" x14ac:dyDescent="0.25">
      <c r="A33" s="8" t="s">
        <v>658</v>
      </c>
      <c r="B33" s="14"/>
      <c r="C33" s="78">
        <f>$D$55+($D$56*AG33)+($D$57*AC33)</f>
        <v>2763.7252790930065</v>
      </c>
      <c r="E33" s="8">
        <v>31</v>
      </c>
      <c r="F33" s="7">
        <v>167.42288265306124</v>
      </c>
      <c r="G33" s="8">
        <v>-33.00610890012711</v>
      </c>
      <c r="H33" s="7">
        <v>611.55025634796039</v>
      </c>
      <c r="I33" s="8">
        <v>-103.80798159875224</v>
      </c>
      <c r="J33" s="7">
        <v>253.95584993521214</v>
      </c>
      <c r="K33" s="8">
        <v>-61.315338084622162</v>
      </c>
      <c r="L33" s="7">
        <v>1379.5587105888917</v>
      </c>
      <c r="M33" s="8">
        <v>311.74353592271524</v>
      </c>
      <c r="N33" s="7">
        <v>617.48598693834447</v>
      </c>
      <c r="O33" s="8">
        <v>-8.1298469483348743</v>
      </c>
      <c r="P33" s="7">
        <v>182.06427794166493</v>
      </c>
      <c r="Q33" s="8">
        <v>18.61718832206914</v>
      </c>
      <c r="R33" s="7">
        <v>224.92945841650965</v>
      </c>
      <c r="S33" s="8">
        <v>-6.6882788559016007</v>
      </c>
      <c r="T33" s="7">
        <v>5144.7551758347663</v>
      </c>
      <c r="U33" s="8">
        <v>-1206.9199271142047</v>
      </c>
      <c r="V33" s="7">
        <v>2151.0666760619133</v>
      </c>
      <c r="W33" s="8">
        <v>-730.83757292480823</v>
      </c>
      <c r="X33" s="7">
        <v>11483.331929700149</v>
      </c>
      <c r="Y33" s="8">
        <v>997.14863440284978</v>
      </c>
      <c r="Z33" s="7">
        <v>5111.9532420026771</v>
      </c>
      <c r="AA33" s="8">
        <v>-341.32980738281202</v>
      </c>
      <c r="AB33" s="7">
        <v>1534.2706513807868</v>
      </c>
      <c r="AC33" s="8">
        <v>0.48723894054304395</v>
      </c>
      <c r="AD33" s="7">
        <v>1901.209720256159</v>
      </c>
      <c r="AE33" s="8">
        <v>-148.10655311558605</v>
      </c>
      <c r="AF33" s="7">
        <v>7920.7254853032227</v>
      </c>
      <c r="AG33" s="8">
        <v>-1920.9230099317699</v>
      </c>
      <c r="AH33" s="7">
        <v>42278.28023045903</v>
      </c>
      <c r="AI33" s="8">
        <v>7090.8857869464418</v>
      </c>
      <c r="AJ33" s="7">
        <v>18988.662360111724</v>
      </c>
      <c r="AK33" s="8">
        <v>-432.32790264066102</v>
      </c>
      <c r="AL33" s="7">
        <v>5668.3597636155191</v>
      </c>
      <c r="AM33" s="8">
        <v>402.97096926299298</v>
      </c>
      <c r="AN33" s="7">
        <v>6924.2361679106834</v>
      </c>
      <c r="AO33" s="8">
        <v>-257.42401273745389</v>
      </c>
      <c r="AP33" s="7">
        <v>17601.115696155342</v>
      </c>
      <c r="AQ33" s="8">
        <v>-228.71885411536019</v>
      </c>
      <c r="AR33" s="7">
        <v>8006.0333404281746</v>
      </c>
      <c r="AS33" s="8">
        <v>-645.39760294690382</v>
      </c>
      <c r="AT33" s="7">
        <v>2419.8683011856297</v>
      </c>
      <c r="AU33" s="8">
        <v>-62.468676250315859</v>
      </c>
      <c r="AV33" s="7">
        <v>2927.2414704881317</v>
      </c>
      <c r="AW33" s="8">
        <v>-224.44898148692565</v>
      </c>
      <c r="AX33" s="7">
        <v>43635.217234598829</v>
      </c>
      <c r="AY33" s="8">
        <v>1764.6154277080673</v>
      </c>
      <c r="AZ33" s="7">
        <v>12779.788740661192</v>
      </c>
      <c r="BA33" s="8">
        <v>1913.8297749988615</v>
      </c>
      <c r="BB33" s="7">
        <v>15460.352965131062</v>
      </c>
      <c r="BC33" s="8">
        <v>524.76603200394982</v>
      </c>
      <c r="BD33" s="7">
        <v>5881.3123856500461</v>
      </c>
      <c r="BE33" s="8">
        <v>146.42509086372576</v>
      </c>
      <c r="BF33" s="7">
        <v>7372.9911317348578</v>
      </c>
      <c r="BG33" s="8">
        <v>-257.89710002855099</v>
      </c>
      <c r="BH33" s="7">
        <v>2122.19932705776</v>
      </c>
      <c r="BI33" s="8">
        <v>56.568444918777075</v>
      </c>
    </row>
    <row r="36" spans="1:61" ht="15.75" thickBot="1" x14ac:dyDescent="0.3">
      <c r="B36" s="82" t="s">
        <v>679</v>
      </c>
      <c r="C36" s="83"/>
      <c r="D36" s="83"/>
      <c r="E36" s="83"/>
      <c r="F36" s="83"/>
      <c r="G36" s="28"/>
      <c r="H36" s="28"/>
    </row>
    <row r="37" spans="1:61" ht="37.5" thickBot="1" x14ac:dyDescent="0.3">
      <c r="B37" s="29" t="s">
        <v>680</v>
      </c>
      <c r="C37" s="30" t="s">
        <v>681</v>
      </c>
      <c r="D37" s="31" t="s">
        <v>682</v>
      </c>
      <c r="E37" s="31" t="s">
        <v>683</v>
      </c>
      <c r="F37" s="32" t="s">
        <v>684</v>
      </c>
      <c r="G37" s="28"/>
      <c r="H37" s="28"/>
    </row>
    <row r="38" spans="1:61" x14ac:dyDescent="0.25">
      <c r="B38" s="33">
        <v>1</v>
      </c>
      <c r="C38" s="34" t="s">
        <v>685</v>
      </c>
      <c r="D38" s="35">
        <v>0.57390817624422252</v>
      </c>
      <c r="E38" s="35">
        <v>0.5568645032939914</v>
      </c>
      <c r="F38" s="36">
        <v>247.59539263958879</v>
      </c>
      <c r="G38" s="28"/>
      <c r="H38" s="28"/>
    </row>
    <row r="39" spans="1:61" ht="15.75" thickBot="1" x14ac:dyDescent="0.3">
      <c r="B39" s="37">
        <v>2</v>
      </c>
      <c r="C39" s="38" t="s">
        <v>686</v>
      </c>
      <c r="D39" s="39">
        <v>0.66938906985488522</v>
      </c>
      <c r="E39" s="39">
        <v>0.64183815900945895</v>
      </c>
      <c r="F39" s="40">
        <v>222.59425216038227</v>
      </c>
      <c r="G39" s="28"/>
      <c r="H39" s="28"/>
    </row>
    <row r="40" spans="1:61" x14ac:dyDescent="0.25">
      <c r="B40" s="28"/>
      <c r="C40" s="28"/>
      <c r="D40" s="28"/>
      <c r="E40" s="28"/>
      <c r="F40" s="28"/>
      <c r="G40" s="28"/>
      <c r="H40" s="28"/>
    </row>
    <row r="41" spans="1:61" ht="15.75" thickBot="1" x14ac:dyDescent="0.3">
      <c r="B41" s="84" t="s">
        <v>687</v>
      </c>
      <c r="C41" s="85"/>
      <c r="D41" s="85"/>
      <c r="E41" s="85"/>
      <c r="F41" s="85"/>
      <c r="G41" s="85"/>
      <c r="H41" s="85"/>
    </row>
    <row r="42" spans="1:61" ht="25.5" thickBot="1" x14ac:dyDescent="0.3">
      <c r="B42" s="86" t="s">
        <v>680</v>
      </c>
      <c r="C42" s="87"/>
      <c r="D42" s="30" t="s">
        <v>688</v>
      </c>
      <c r="E42" s="31" t="s">
        <v>689</v>
      </c>
      <c r="F42" s="31" t="s">
        <v>690</v>
      </c>
      <c r="G42" s="31" t="s">
        <v>691</v>
      </c>
      <c r="H42" s="32" t="s">
        <v>692</v>
      </c>
    </row>
    <row r="43" spans="1:61" ht="24" x14ac:dyDescent="0.25">
      <c r="B43" s="88">
        <v>1</v>
      </c>
      <c r="C43" s="41" t="s">
        <v>693</v>
      </c>
      <c r="D43" s="42">
        <v>2064259.7180225167</v>
      </c>
      <c r="E43" s="43">
        <v>1</v>
      </c>
      <c r="F43" s="35">
        <v>2064259.7180225167</v>
      </c>
      <c r="G43" s="35">
        <v>33.672799162485731</v>
      </c>
      <c r="H43" s="44" t="s">
        <v>694</v>
      </c>
    </row>
    <row r="44" spans="1:61" x14ac:dyDescent="0.25">
      <c r="B44" s="80"/>
      <c r="C44" s="45" t="s">
        <v>695</v>
      </c>
      <c r="D44" s="46">
        <v>1532586.9614088035</v>
      </c>
      <c r="E44" s="47">
        <v>25</v>
      </c>
      <c r="F44" s="48">
        <v>61303.478456352139</v>
      </c>
      <c r="G44" s="49"/>
      <c r="H44" s="50"/>
    </row>
    <row r="45" spans="1:61" x14ac:dyDescent="0.25">
      <c r="B45" s="89"/>
      <c r="C45" s="51" t="s">
        <v>696</v>
      </c>
      <c r="D45" s="52">
        <v>3596846.6794313202</v>
      </c>
      <c r="E45" s="53">
        <v>26</v>
      </c>
      <c r="F45" s="54"/>
      <c r="G45" s="54"/>
      <c r="H45" s="55"/>
    </row>
    <row r="46" spans="1:61" ht="24.75" thickBot="1" x14ac:dyDescent="0.3">
      <c r="B46" s="79">
        <v>2</v>
      </c>
      <c r="C46" s="56" t="s">
        <v>693</v>
      </c>
      <c r="D46" s="57">
        <v>2407689.853155164</v>
      </c>
      <c r="E46" s="58">
        <v>2</v>
      </c>
      <c r="F46" s="59">
        <v>1203844.926577582</v>
      </c>
      <c r="G46" s="59">
        <v>24.296440637134559</v>
      </c>
      <c r="H46" s="60" t="s">
        <v>697</v>
      </c>
    </row>
    <row r="47" spans="1:61" x14ac:dyDescent="0.25">
      <c r="B47" s="80"/>
      <c r="C47" s="45" t="s">
        <v>695</v>
      </c>
      <c r="D47" s="46">
        <v>1189156.8262761564</v>
      </c>
      <c r="E47" s="47">
        <v>24</v>
      </c>
      <c r="F47" s="48">
        <v>49548.201094839846</v>
      </c>
      <c r="G47" s="49"/>
      <c r="H47" s="50"/>
    </row>
    <row r="48" spans="1:61" ht="15.75" thickBot="1" x14ac:dyDescent="0.3">
      <c r="B48" s="81"/>
      <c r="C48" s="61" t="s">
        <v>696</v>
      </c>
      <c r="D48" s="62">
        <v>3596846.6794313202</v>
      </c>
      <c r="E48" s="63">
        <v>26</v>
      </c>
      <c r="F48" s="64"/>
      <c r="G48" s="64"/>
      <c r="H48" s="65"/>
    </row>
    <row r="49" spans="2:8" x14ac:dyDescent="0.25">
      <c r="B49" s="28"/>
      <c r="C49" s="28"/>
      <c r="D49" s="28"/>
      <c r="E49" s="28"/>
      <c r="F49" s="28"/>
      <c r="G49" s="28"/>
      <c r="H49" s="28"/>
    </row>
    <row r="50" spans="2:8" ht="15.75" thickBot="1" x14ac:dyDescent="0.3">
      <c r="B50" s="84" t="s">
        <v>698</v>
      </c>
      <c r="C50" s="85"/>
      <c r="D50" s="85"/>
      <c r="E50" s="85"/>
      <c r="F50" s="85"/>
      <c r="G50" s="85"/>
      <c r="H50" s="85"/>
    </row>
    <row r="51" spans="2:8" ht="49.5" thickBot="1" x14ac:dyDescent="0.3">
      <c r="B51" s="86" t="s">
        <v>680</v>
      </c>
      <c r="C51" s="90"/>
      <c r="D51" s="92" t="s">
        <v>699</v>
      </c>
      <c r="E51" s="93"/>
      <c r="F51" s="66" t="s">
        <v>700</v>
      </c>
      <c r="G51" s="94" t="s">
        <v>701</v>
      </c>
      <c r="H51" s="96" t="s">
        <v>692</v>
      </c>
    </row>
    <row r="52" spans="2:8" ht="15.75" thickBot="1" x14ac:dyDescent="0.3">
      <c r="B52" s="81"/>
      <c r="C52" s="91"/>
      <c r="D52" s="67" t="s">
        <v>702</v>
      </c>
      <c r="E52" s="68" t="s">
        <v>703</v>
      </c>
      <c r="F52" s="68" t="s">
        <v>704</v>
      </c>
      <c r="G52" s="95"/>
      <c r="H52" s="97"/>
    </row>
    <row r="53" spans="2:8" x14ac:dyDescent="0.25">
      <c r="B53" s="88">
        <v>1</v>
      </c>
      <c r="C53" s="41" t="s">
        <v>705</v>
      </c>
      <c r="D53" s="42">
        <v>5516.1146028916628</v>
      </c>
      <c r="E53" s="35">
        <v>515.92458514442148</v>
      </c>
      <c r="F53" s="69"/>
      <c r="G53" s="35">
        <v>10.691707202415156</v>
      </c>
      <c r="H53" s="70">
        <v>8.1750774752695127E-11</v>
      </c>
    </row>
    <row r="54" spans="2:8" x14ac:dyDescent="0.25">
      <c r="B54" s="89"/>
      <c r="C54" s="51" t="s">
        <v>706</v>
      </c>
      <c r="D54" s="52">
        <v>1.5552968777340315</v>
      </c>
      <c r="E54" s="71">
        <v>0.26802400357662309</v>
      </c>
      <c r="F54" s="71">
        <v>0.75756727506157662</v>
      </c>
      <c r="G54" s="71">
        <v>5.8028268251332236</v>
      </c>
      <c r="H54" s="72">
        <v>4.7504205531320446E-6</v>
      </c>
    </row>
    <row r="55" spans="2:8" ht="15.75" thickBot="1" x14ac:dyDescent="0.3">
      <c r="B55" s="79">
        <v>2</v>
      </c>
      <c r="C55" s="56" t="s">
        <v>705</v>
      </c>
      <c r="D55" s="57">
        <v>4885.3941899942092</v>
      </c>
      <c r="E55" s="59">
        <v>522.04466203189793</v>
      </c>
      <c r="F55" s="73"/>
      <c r="G55" s="59">
        <v>9.3581920193941226</v>
      </c>
      <c r="H55" s="74">
        <v>1.7665650557266668E-9</v>
      </c>
    </row>
    <row r="56" spans="2:8" x14ac:dyDescent="0.25">
      <c r="B56" s="80"/>
      <c r="C56" s="45" t="s">
        <v>706</v>
      </c>
      <c r="D56" s="46">
        <v>1.1074114427339254</v>
      </c>
      <c r="E56" s="48">
        <v>0.29496340430167506</v>
      </c>
      <c r="F56" s="48">
        <v>0.53940741542941262</v>
      </c>
      <c r="G56" s="48">
        <v>3.75440283975471</v>
      </c>
      <c r="H56" s="75">
        <v>9.7769498238108E-4</v>
      </c>
    </row>
    <row r="57" spans="2:8" ht="15.75" thickBot="1" x14ac:dyDescent="0.3">
      <c r="B57" s="81"/>
      <c r="C57" s="61" t="s">
        <v>707</v>
      </c>
      <c r="D57" s="62">
        <v>11.458876628191701</v>
      </c>
      <c r="E57" s="39">
        <v>4.3524800485831161</v>
      </c>
      <c r="F57" s="39">
        <v>0.37825205612843421</v>
      </c>
      <c r="G57" s="39">
        <v>2.6327235278015726</v>
      </c>
      <c r="H57" s="76">
        <v>1.4582079670763744E-2</v>
      </c>
    </row>
    <row r="58" spans="2:8" x14ac:dyDescent="0.25">
      <c r="B58" s="28"/>
      <c r="C58" s="28"/>
      <c r="D58" s="28"/>
      <c r="E58" s="28"/>
      <c r="F58" s="28"/>
      <c r="G58" s="28"/>
      <c r="H58" s="28"/>
    </row>
  </sheetData>
  <mergeCells count="12">
    <mergeCell ref="B55:B57"/>
    <mergeCell ref="B36:F36"/>
    <mergeCell ref="B41:H41"/>
    <mergeCell ref="B42:C42"/>
    <mergeCell ref="B43:B45"/>
    <mergeCell ref="B46:B48"/>
    <mergeCell ref="B50:H50"/>
    <mergeCell ref="B51:C52"/>
    <mergeCell ref="D51:E51"/>
    <mergeCell ref="G51:G52"/>
    <mergeCell ref="H51:H52"/>
    <mergeCell ref="B53:B5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8"/>
  <sheetViews>
    <sheetView zoomScale="55" zoomScaleNormal="55" workbookViewId="0">
      <selection activeCell="E29" sqref="E29"/>
    </sheetView>
  </sheetViews>
  <sheetFormatPr defaultRowHeight="15" x14ac:dyDescent="0.25"/>
  <sheetData>
    <row r="1" spans="1:58" x14ac:dyDescent="0.25">
      <c r="A1" t="s">
        <v>310</v>
      </c>
      <c r="B1" t="s">
        <v>32</v>
      </c>
      <c r="C1" s="8" t="s">
        <v>41</v>
      </c>
      <c r="D1" s="8" t="s">
        <v>42</v>
      </c>
      <c r="E1" s="8" t="s">
        <v>80</v>
      </c>
      <c r="F1" s="8" t="s">
        <v>81</v>
      </c>
      <c r="G1" s="8" t="s">
        <v>90</v>
      </c>
      <c r="H1" s="8" t="s">
        <v>91</v>
      </c>
      <c r="I1" s="8" t="s">
        <v>92</v>
      </c>
      <c r="J1" s="8" t="s">
        <v>93</v>
      </c>
      <c r="K1" s="8" t="s">
        <v>94</v>
      </c>
      <c r="L1" s="8" t="s">
        <v>95</v>
      </c>
      <c r="M1" s="8" t="s">
        <v>96</v>
      </c>
      <c r="N1" s="8" t="s">
        <v>97</v>
      </c>
      <c r="O1" s="8" t="s">
        <v>98</v>
      </c>
      <c r="P1" s="8" t="s">
        <v>99</v>
      </c>
      <c r="Q1" s="8" t="s">
        <v>108</v>
      </c>
      <c r="R1" s="8" t="s">
        <v>109</v>
      </c>
      <c r="S1" s="8" t="s">
        <v>118</v>
      </c>
      <c r="T1" s="8" t="s">
        <v>119</v>
      </c>
      <c r="U1" s="8" t="s">
        <v>128</v>
      </c>
      <c r="V1" s="8" t="s">
        <v>129</v>
      </c>
      <c r="W1" s="8" t="s">
        <v>138</v>
      </c>
      <c r="X1" s="8" t="s">
        <v>139</v>
      </c>
      <c r="Y1" s="8" t="s">
        <v>148</v>
      </c>
      <c r="Z1" s="8" t="s">
        <v>149</v>
      </c>
      <c r="AA1" s="8" t="s">
        <v>158</v>
      </c>
      <c r="AB1" s="8" t="s">
        <v>159</v>
      </c>
      <c r="AC1" s="8" t="s">
        <v>168</v>
      </c>
      <c r="AD1" s="8" t="s">
        <v>169</v>
      </c>
      <c r="AE1" s="8" t="s">
        <v>178</v>
      </c>
      <c r="AF1" s="8" t="s">
        <v>179</v>
      </c>
      <c r="AG1" s="8" t="s">
        <v>188</v>
      </c>
      <c r="AH1" s="8" t="s">
        <v>189</v>
      </c>
      <c r="AI1" s="8" t="s">
        <v>198</v>
      </c>
      <c r="AJ1" s="8" t="s">
        <v>199</v>
      </c>
      <c r="AK1" s="8" t="s">
        <v>208</v>
      </c>
      <c r="AL1" s="8" t="s">
        <v>209</v>
      </c>
      <c r="AM1" s="8" t="s">
        <v>218</v>
      </c>
      <c r="AN1" s="8" t="s">
        <v>219</v>
      </c>
      <c r="AO1" s="8" t="s">
        <v>228</v>
      </c>
      <c r="AP1" s="8" t="s">
        <v>229</v>
      </c>
      <c r="AQ1" s="8" t="s">
        <v>238</v>
      </c>
      <c r="AR1" s="8" t="s">
        <v>239</v>
      </c>
      <c r="AS1" s="8" t="s">
        <v>248</v>
      </c>
      <c r="AT1" s="8" t="s">
        <v>249</v>
      </c>
      <c r="AU1" s="8" t="s">
        <v>258</v>
      </c>
      <c r="AV1" s="8" t="s">
        <v>259</v>
      </c>
      <c r="AW1" s="8" t="s">
        <v>268</v>
      </c>
      <c r="AX1" s="8" t="s">
        <v>269</v>
      </c>
      <c r="AY1" s="8" t="s">
        <v>278</v>
      </c>
      <c r="AZ1" s="8" t="s">
        <v>279</v>
      </c>
      <c r="BA1" s="8" t="s">
        <v>288</v>
      </c>
      <c r="BB1" s="8" t="s">
        <v>289</v>
      </c>
      <c r="BC1" s="8" t="s">
        <v>298</v>
      </c>
      <c r="BD1" s="8" t="s">
        <v>299</v>
      </c>
      <c r="BE1" s="8" t="s">
        <v>308</v>
      </c>
      <c r="BF1" s="8" t="s">
        <v>309</v>
      </c>
    </row>
    <row r="2" spans="1:58" x14ac:dyDescent="0.25">
      <c r="A2" s="11">
        <v>1907</v>
      </c>
      <c r="B2">
        <v>1</v>
      </c>
      <c r="C2" s="7">
        <v>199.625</v>
      </c>
      <c r="D2" s="8">
        <v>-39.090335376417265</v>
      </c>
      <c r="E2" s="7">
        <v>620.0589285714284</v>
      </c>
      <c r="F2" s="8">
        <v>-106.55214959901848</v>
      </c>
      <c r="G2" s="7">
        <v>267.60535714285714</v>
      </c>
      <c r="H2" s="8">
        <v>-65.95862818725459</v>
      </c>
      <c r="I2" s="7">
        <v>1179.7989362250346</v>
      </c>
      <c r="J2" s="8">
        <v>258.42092964165988</v>
      </c>
      <c r="K2" s="7">
        <v>466.70417346681495</v>
      </c>
      <c r="L2" s="8">
        <v>-27.896358197826459</v>
      </c>
      <c r="M2" s="7">
        <v>149.30185924340716</v>
      </c>
      <c r="N2" s="8">
        <v>12.123456677033346</v>
      </c>
      <c r="O2" s="7">
        <v>135.45694451633997</v>
      </c>
      <c r="P2" s="8">
        <v>-8.0240496764432319</v>
      </c>
      <c r="Q2" s="7">
        <v>6219.2310140306126</v>
      </c>
      <c r="R2" s="8">
        <v>-1469.3582208184889</v>
      </c>
      <c r="S2" s="7">
        <v>2691.0398788265311</v>
      </c>
      <c r="T2" s="8">
        <v>-928.18880790113167</v>
      </c>
      <c r="U2" s="7">
        <v>11742.323610049694</v>
      </c>
      <c r="V2" s="8">
        <v>965.81795418920137</v>
      </c>
      <c r="W2" s="7">
        <v>4644.8336588116799</v>
      </c>
      <c r="X2" s="8">
        <v>-497.63958193232622</v>
      </c>
      <c r="Y2" s="7">
        <v>1494.9119393182332</v>
      </c>
      <c r="Z2" s="8">
        <v>-26.879772321701971</v>
      </c>
      <c r="AA2" s="7">
        <v>1353.5710199296529</v>
      </c>
      <c r="AB2" s="8">
        <v>-144.57413649378407</v>
      </c>
      <c r="AC2" s="7">
        <v>8437.7365911989782</v>
      </c>
      <c r="AD2" s="8">
        <v>-2216.9796168804223</v>
      </c>
      <c r="AE2" s="7">
        <v>36548.776671988773</v>
      </c>
      <c r="AF2" s="8">
        <v>5839.9124757488898</v>
      </c>
      <c r="AG2" s="7">
        <v>14491.68688535866</v>
      </c>
      <c r="AH2" s="8">
        <v>-1141.7413577912234</v>
      </c>
      <c r="AI2" s="7">
        <v>4688.6344443276703</v>
      </c>
      <c r="AJ2" s="8">
        <v>221.8247969064106</v>
      </c>
      <c r="AK2" s="7">
        <v>4235.346759201514</v>
      </c>
      <c r="AL2" s="8">
        <v>-312.55085053243943</v>
      </c>
      <c r="AM2" s="7">
        <v>15752.469330122503</v>
      </c>
      <c r="AN2" s="8">
        <v>-409.30129319306803</v>
      </c>
      <c r="AO2" s="7">
        <v>6248.7497863239387</v>
      </c>
      <c r="AP2" s="8">
        <v>-882.6305033783342</v>
      </c>
      <c r="AQ2" s="7">
        <v>2047.8802852118588</v>
      </c>
      <c r="AR2" s="8">
        <v>-107.14649826517243</v>
      </c>
      <c r="AS2" s="7">
        <v>1839.546782666022</v>
      </c>
      <c r="AT2" s="8">
        <v>-230.7964123306372</v>
      </c>
      <c r="AU2" s="7">
        <v>28059.985318004514</v>
      </c>
      <c r="AV2" s="8">
        <v>-214.99858495525959</v>
      </c>
      <c r="AW2" s="7">
        <v>8986.8751512644885</v>
      </c>
      <c r="AX2" s="8">
        <v>1109.3213796254486</v>
      </c>
      <c r="AY2" s="7">
        <v>8142.4426459482193</v>
      </c>
      <c r="AZ2" s="8">
        <v>-38.04484855291868</v>
      </c>
      <c r="BA2" s="7">
        <v>3562.6887422533432</v>
      </c>
      <c r="BB2" s="8">
        <v>-165.73267952420761</v>
      </c>
      <c r="BC2" s="7">
        <v>3340.5126656655975</v>
      </c>
      <c r="BD2" s="8">
        <v>-362.66916658351573</v>
      </c>
      <c r="BE2" s="7">
        <v>1042.5747260163005</v>
      </c>
      <c r="BF2" s="8">
        <v>-31.902386463861369</v>
      </c>
    </row>
    <row r="3" spans="1:58" x14ac:dyDescent="0.25">
      <c r="A3" s="11">
        <v>2114</v>
      </c>
      <c r="B3">
        <v>2</v>
      </c>
      <c r="C3" s="7">
        <v>197.2607142857143</v>
      </c>
      <c r="D3" s="8">
        <v>-37.595404981177836</v>
      </c>
      <c r="E3" s="7">
        <v>600.70357142857142</v>
      </c>
      <c r="F3" s="8">
        <v>-101.72990068241937</v>
      </c>
      <c r="G3" s="7">
        <v>238.11964285714285</v>
      </c>
      <c r="H3" s="8">
        <v>-58.06305667328737</v>
      </c>
      <c r="I3" s="7">
        <v>1177.8698578179906</v>
      </c>
      <c r="J3" s="8">
        <v>253.21690938485517</v>
      </c>
      <c r="K3" s="7">
        <v>442.49305278911004</v>
      </c>
      <c r="L3" s="8">
        <v>-24.402940886248583</v>
      </c>
      <c r="M3" s="7">
        <v>139.281116657881</v>
      </c>
      <c r="N3" s="8">
        <v>10.968836142313865</v>
      </c>
      <c r="O3" s="7">
        <v>134.91982257342309</v>
      </c>
      <c r="P3" s="8">
        <v>-6.1511563586969231</v>
      </c>
      <c r="Q3" s="7">
        <v>5926.610114795918</v>
      </c>
      <c r="R3" s="8">
        <v>-1347.1244069303818</v>
      </c>
      <c r="S3" s="7">
        <v>2337.4250956632654</v>
      </c>
      <c r="T3" s="8">
        <v>-799.48979910658284</v>
      </c>
      <c r="U3" s="7">
        <v>11582.984531879707</v>
      </c>
      <c r="V3" s="8">
        <v>994.10370970908241</v>
      </c>
      <c r="W3" s="7">
        <v>4318.7227986660328</v>
      </c>
      <c r="X3" s="8">
        <v>-451.18369503663689</v>
      </c>
      <c r="Y3" s="7">
        <v>1364.1123295995524</v>
      </c>
      <c r="Z3" s="8">
        <v>-29.582789431586917</v>
      </c>
      <c r="AA3" s="7">
        <v>1319.0140379773206</v>
      </c>
      <c r="AB3" s="8">
        <v>-125.23331421109879</v>
      </c>
      <c r="AC3" s="7">
        <v>7319.9693813775511</v>
      </c>
      <c r="AD3" s="8">
        <v>-1886.4689232343599</v>
      </c>
      <c r="AE3" s="7">
        <v>35235.707183207458</v>
      </c>
      <c r="AF3" s="8">
        <v>5520.6100321323811</v>
      </c>
      <c r="AG3" s="7">
        <v>13211.123481931591</v>
      </c>
      <c r="AH3" s="8">
        <v>-898.06584124898313</v>
      </c>
      <c r="AI3" s="7">
        <v>4250.4064209942308</v>
      </c>
      <c r="AJ3" s="8">
        <v>205.84800888686712</v>
      </c>
      <c r="AK3" s="7">
        <v>4106.7498557319659</v>
      </c>
      <c r="AL3" s="8">
        <v>-239.63191718851809</v>
      </c>
      <c r="AM3" s="7">
        <v>13986.930740906826</v>
      </c>
      <c r="AN3" s="8">
        <v>-416.46968887972105</v>
      </c>
      <c r="AO3" s="7">
        <v>5379.0713605664041</v>
      </c>
      <c r="AP3" s="8">
        <v>-711.04672210165563</v>
      </c>
      <c r="AQ3" s="7">
        <v>1765.5671093298004</v>
      </c>
      <c r="AR3" s="8">
        <v>-101.49570548668669</v>
      </c>
      <c r="AS3" s="7">
        <v>1698.143875085233</v>
      </c>
      <c r="AT3" s="8">
        <v>-185.2932025275947</v>
      </c>
      <c r="AU3" s="7">
        <v>26946.222220195945</v>
      </c>
      <c r="AV3" s="8">
        <v>-726.39150807249791</v>
      </c>
      <c r="AW3" s="7">
        <v>8445.7152700383504</v>
      </c>
      <c r="AX3" s="8">
        <v>951.4368544065477</v>
      </c>
      <c r="AY3" s="7">
        <v>8129.1902612620579</v>
      </c>
      <c r="AZ3" s="8">
        <v>-47.938815464534905</v>
      </c>
      <c r="BA3" s="7">
        <v>3239.3181728582131</v>
      </c>
      <c r="BB3" s="8">
        <v>-182.44879793866087</v>
      </c>
      <c r="BC3" s="7">
        <v>3156.741758232552</v>
      </c>
      <c r="BD3" s="8">
        <v>-311.99454629776068</v>
      </c>
      <c r="BE3" s="7">
        <v>1008.0172832522081</v>
      </c>
      <c r="BF3" s="8">
        <v>-26.143004192454146</v>
      </c>
    </row>
    <row r="4" spans="1:58" x14ac:dyDescent="0.25">
      <c r="A4" s="11">
        <v>1979</v>
      </c>
      <c r="B4">
        <v>3</v>
      </c>
      <c r="C4" s="7">
        <v>192.03749999999997</v>
      </c>
      <c r="D4" s="8">
        <v>-37.068038544677059</v>
      </c>
      <c r="E4" s="7">
        <v>631.93571428571431</v>
      </c>
      <c r="F4" s="8">
        <v>-107.30520265971732</v>
      </c>
      <c r="G4" s="7">
        <v>269.60535714285714</v>
      </c>
      <c r="H4" s="8">
        <v>-70.030925380725861</v>
      </c>
      <c r="I4" s="7">
        <v>1113.7737171791732</v>
      </c>
      <c r="J4" s="8">
        <v>227.00011729753271</v>
      </c>
      <c r="K4" s="7">
        <v>501.43393212338492</v>
      </c>
      <c r="L4" s="8">
        <v>-32.413050085346093</v>
      </c>
      <c r="M4" s="7">
        <v>153.00269788595128</v>
      </c>
      <c r="N4" s="8">
        <v>8.971137662478192</v>
      </c>
      <c r="O4" s="7">
        <v>158.9916954908044</v>
      </c>
      <c r="P4" s="8">
        <v>-8.897548091776379</v>
      </c>
      <c r="Q4" s="7">
        <v>6091.593737244898</v>
      </c>
      <c r="R4" s="8">
        <v>-1403.9552759642811</v>
      </c>
      <c r="S4" s="7">
        <v>2591.509461096939</v>
      </c>
      <c r="T4" s="8">
        <v>-908.31844810318557</v>
      </c>
      <c r="U4" s="7">
        <v>10587.882193678195</v>
      </c>
      <c r="V4" s="8">
        <v>794.8151299167406</v>
      </c>
      <c r="W4" s="7">
        <v>4764.7318525884539</v>
      </c>
      <c r="X4" s="8">
        <v>-545.98051220534353</v>
      </c>
      <c r="Y4" s="7">
        <v>1458.7847957277206</v>
      </c>
      <c r="Z4" s="8">
        <v>-48.242553148826509</v>
      </c>
      <c r="AA4" s="7">
        <v>1525.0211196615312</v>
      </c>
      <c r="AB4" s="8">
        <v>-156.54665717710444</v>
      </c>
      <c r="AC4" s="7">
        <v>8596.6197321428554</v>
      </c>
      <c r="AD4" s="8">
        <v>-2328.3746428223349</v>
      </c>
      <c r="AE4" s="7">
        <v>34944.396531715523</v>
      </c>
      <c r="AF4" s="8">
        <v>4900.3107833328786</v>
      </c>
      <c r="AG4" s="7">
        <v>15810.516924151358</v>
      </c>
      <c r="AH4" s="8">
        <v>-1261.3386237085083</v>
      </c>
      <c r="AI4" s="7">
        <v>4864.274061731624</v>
      </c>
      <c r="AJ4" s="8">
        <v>104.76292019518833</v>
      </c>
      <c r="AK4" s="7">
        <v>5064.8165013633525</v>
      </c>
      <c r="AL4" s="8">
        <v>-378.49005343603983</v>
      </c>
      <c r="AM4" s="7">
        <v>15205.974611477346</v>
      </c>
      <c r="AN4" s="8">
        <v>-902.59072045782625</v>
      </c>
      <c r="AO4" s="7">
        <v>6995.5429806680158</v>
      </c>
      <c r="AP4" s="8">
        <v>-1126.3618361702111</v>
      </c>
      <c r="AQ4" s="7">
        <v>2141.0847957218521</v>
      </c>
      <c r="AR4" s="8">
        <v>-207.39539756455684</v>
      </c>
      <c r="AS4" s="7">
        <v>2238.3480363241943</v>
      </c>
      <c r="AT4" s="8">
        <v>-316.07106163725268</v>
      </c>
      <c r="AU4" s="7">
        <v>28912.113441687889</v>
      </c>
      <c r="AV4" s="8">
        <v>-864.64180638794994</v>
      </c>
      <c r="AW4" s="7">
        <v>8849.7562814033263</v>
      </c>
      <c r="AX4" s="8">
        <v>788.15320830327869</v>
      </c>
      <c r="AY4" s="7">
        <v>9108.0220710728117</v>
      </c>
      <c r="AZ4" s="8">
        <v>-71.212478993881078</v>
      </c>
      <c r="BA4" s="7">
        <v>4009.0143822243695</v>
      </c>
      <c r="BB4" s="8">
        <v>-274.59662907911678</v>
      </c>
      <c r="BC4" s="7">
        <v>4339.2095283242024</v>
      </c>
      <c r="BD4" s="8">
        <v>-427.86811717284036</v>
      </c>
      <c r="BE4" s="7">
        <v>1284.7229131493748</v>
      </c>
      <c r="BF4" s="8">
        <v>-53.15232342263247</v>
      </c>
    </row>
    <row r="5" spans="1:58" x14ac:dyDescent="0.25">
      <c r="A5" s="11">
        <v>2756</v>
      </c>
      <c r="B5">
        <v>4</v>
      </c>
      <c r="C5" s="7">
        <v>197.36071428571427</v>
      </c>
      <c r="D5" s="8">
        <v>-38.156545124952324</v>
      </c>
      <c r="E5" s="7">
        <v>610.82142857142867</v>
      </c>
      <c r="F5" s="8">
        <v>-103.06739196017197</v>
      </c>
      <c r="G5" s="7">
        <v>221.34464285714284</v>
      </c>
      <c r="H5" s="8">
        <v>-53.788122114270074</v>
      </c>
      <c r="I5" s="7">
        <v>1240.7963511315095</v>
      </c>
      <c r="J5" s="8">
        <v>272.32252671793509</v>
      </c>
      <c r="K5" s="7">
        <v>453.81212231056799</v>
      </c>
      <c r="L5" s="8">
        <v>-19.748368092378289</v>
      </c>
      <c r="M5" s="7">
        <v>143.83785853607233</v>
      </c>
      <c r="N5" s="8">
        <v>12.121233085261993</v>
      </c>
      <c r="O5" s="7">
        <v>136.67806225368744</v>
      </c>
      <c r="P5" s="8">
        <v>-7.1477934227199498</v>
      </c>
      <c r="Q5" s="7">
        <v>6031.6066581632667</v>
      </c>
      <c r="R5" s="8">
        <v>-1397.8687660361963</v>
      </c>
      <c r="S5" s="7">
        <v>2181.7540880102042</v>
      </c>
      <c r="T5" s="8">
        <v>-732.46815525101863</v>
      </c>
      <c r="U5" s="7">
        <v>12223.906526742274</v>
      </c>
      <c r="V5" s="8">
        <v>1036.9416895004456</v>
      </c>
      <c r="W5" s="7">
        <v>4436.9615536325146</v>
      </c>
      <c r="X5" s="8">
        <v>-375.82092911250982</v>
      </c>
      <c r="Y5" s="7">
        <v>1416.7885267289221</v>
      </c>
      <c r="Z5" s="8">
        <v>-20.057664589622465</v>
      </c>
      <c r="AA5" s="7">
        <v>1339.6850232693155</v>
      </c>
      <c r="AB5" s="8">
        <v>-126.31526766335813</v>
      </c>
      <c r="AC5" s="7">
        <v>6919.7642474489785</v>
      </c>
      <c r="AD5" s="8">
        <v>-1769.9409929845065</v>
      </c>
      <c r="AE5" s="7">
        <v>37507.831814525234</v>
      </c>
      <c r="AF5" s="8">
        <v>5892.0755265722682</v>
      </c>
      <c r="AG5" s="7">
        <v>13556.514921730735</v>
      </c>
      <c r="AH5" s="8">
        <v>-747.116193027299</v>
      </c>
      <c r="AI5" s="7">
        <v>4431.7885210387003</v>
      </c>
      <c r="AJ5" s="8">
        <v>234.10333338264246</v>
      </c>
      <c r="AK5" s="7">
        <v>4175.152779097144</v>
      </c>
      <c r="AL5" s="8">
        <v>-266.42264924331027</v>
      </c>
      <c r="AM5" s="7">
        <v>13500.40369155084</v>
      </c>
      <c r="AN5" s="8">
        <v>-432.97294783962235</v>
      </c>
      <c r="AO5" s="7">
        <v>4931.4591787062245</v>
      </c>
      <c r="AP5" s="8">
        <v>-585.58884959361501</v>
      </c>
      <c r="AQ5" s="7">
        <v>1634.70102815981</v>
      </c>
      <c r="AR5" s="8">
        <v>-86.393252898653742</v>
      </c>
      <c r="AS5" s="7">
        <v>1541.1267696194022</v>
      </c>
      <c r="AT5" s="8">
        <v>-184.97268728090685</v>
      </c>
      <c r="AU5" s="7">
        <v>29107.316906951852</v>
      </c>
      <c r="AV5" s="8">
        <v>-254.51890451808697</v>
      </c>
      <c r="AW5" s="7">
        <v>8941.4120617837234</v>
      </c>
      <c r="AX5" s="8">
        <v>1103.3801624741384</v>
      </c>
      <c r="AY5" s="7">
        <v>8593.2184274327083</v>
      </c>
      <c r="AZ5" s="8">
        <v>-73.144648510595744</v>
      </c>
      <c r="BA5" s="7">
        <v>3304.9091128709383</v>
      </c>
      <c r="BB5" s="8">
        <v>-96.997848129745464</v>
      </c>
      <c r="BC5" s="7">
        <v>3303.9513495720153</v>
      </c>
      <c r="BD5" s="8">
        <v>-303.94123485515007</v>
      </c>
      <c r="BE5" s="7">
        <v>1005.4227225746233</v>
      </c>
      <c r="BF5" s="8">
        <v>-23.772380472975254</v>
      </c>
    </row>
    <row r="6" spans="1:58" x14ac:dyDescent="0.25">
      <c r="A6" s="11">
        <v>3099</v>
      </c>
      <c r="B6">
        <v>5</v>
      </c>
      <c r="C6" s="7">
        <v>191.28214285714287</v>
      </c>
      <c r="D6" s="8">
        <v>-35.234785762732287</v>
      </c>
      <c r="E6" s="7">
        <v>596.34464285714284</v>
      </c>
      <c r="F6" s="8">
        <v>-99.441725970113765</v>
      </c>
      <c r="G6" s="7">
        <v>244.25892857142856</v>
      </c>
      <c r="H6" s="8">
        <v>-58.530822918391848</v>
      </c>
      <c r="I6" s="7">
        <v>1401.4091018190563</v>
      </c>
      <c r="J6" s="8">
        <v>309.3728281119017</v>
      </c>
      <c r="K6" s="7">
        <v>563.7725632951973</v>
      </c>
      <c r="L6" s="8">
        <v>-20.520109280974005</v>
      </c>
      <c r="M6" s="7">
        <v>181.53951904420126</v>
      </c>
      <c r="N6" s="8">
        <v>15.721294053063605</v>
      </c>
      <c r="O6" s="7">
        <v>203.78708137847443</v>
      </c>
      <c r="P6" s="8">
        <v>-8.3088703360602114</v>
      </c>
      <c r="Q6" s="7">
        <v>5721.2184885204097</v>
      </c>
      <c r="R6" s="8">
        <v>-1254.0673598853773</v>
      </c>
      <c r="S6" s="7">
        <v>2329.5048660714283</v>
      </c>
      <c r="T6" s="8">
        <v>-781.42220965493698</v>
      </c>
      <c r="U6" s="7">
        <v>13455.200283710517</v>
      </c>
      <c r="V6" s="8">
        <v>1190.7030539009647</v>
      </c>
      <c r="W6" s="7">
        <v>5339.3483088919911</v>
      </c>
      <c r="X6" s="8">
        <v>-480.86996854952389</v>
      </c>
      <c r="Y6" s="7">
        <v>1742.1556317662066</v>
      </c>
      <c r="Z6" s="8">
        <v>-30.696796100954607</v>
      </c>
      <c r="AA6" s="7">
        <v>1934.4063955214006</v>
      </c>
      <c r="AB6" s="8">
        <v>-183.13812575400129</v>
      </c>
      <c r="AC6" s="7">
        <v>7401.0931919642862</v>
      </c>
      <c r="AD6" s="8">
        <v>-1867.4744456750821</v>
      </c>
      <c r="AE6" s="7">
        <v>41615.716386658096</v>
      </c>
      <c r="AF6" s="8">
        <v>6478.5078901223733</v>
      </c>
      <c r="AG6" s="7">
        <v>16804.204687053749</v>
      </c>
      <c r="AH6" s="8">
        <v>-817.83229430957317</v>
      </c>
      <c r="AI6" s="7">
        <v>5467.9596782297349</v>
      </c>
      <c r="AJ6" s="8">
        <v>263.35495158779941</v>
      </c>
      <c r="AK6" s="7">
        <v>6042.3693496231626</v>
      </c>
      <c r="AL6" s="8">
        <v>-363.08725699556868</v>
      </c>
      <c r="AM6" s="7">
        <v>16911.502580012915</v>
      </c>
      <c r="AN6" s="8">
        <v>-429.29597237134919</v>
      </c>
      <c r="AO6" s="7">
        <v>6906.2446618405793</v>
      </c>
      <c r="AP6" s="8">
        <v>-701.672053592986</v>
      </c>
      <c r="AQ6" s="7">
        <v>2283.2088942116438</v>
      </c>
      <c r="AR6" s="8">
        <v>-111.16251160182905</v>
      </c>
      <c r="AS6" s="7">
        <v>2526.0178303467419</v>
      </c>
      <c r="AT6" s="8">
        <v>-251.57452840520352</v>
      </c>
      <c r="AU6" s="7">
        <v>39343.616204776234</v>
      </c>
      <c r="AV6" s="8">
        <v>-80.434480754043619</v>
      </c>
      <c r="AW6" s="7">
        <v>12840.259322131315</v>
      </c>
      <c r="AX6" s="8">
        <v>1692.4013337853587</v>
      </c>
      <c r="AY6" s="7">
        <v>14627.891734822586</v>
      </c>
      <c r="AZ6" s="8">
        <v>225.23151900447183</v>
      </c>
      <c r="BA6" s="7">
        <v>5086.2906641571508</v>
      </c>
      <c r="BB6" s="8">
        <v>-113.53507719866244</v>
      </c>
      <c r="BC6" s="7">
        <v>5662.356119230355</v>
      </c>
      <c r="BD6" s="8">
        <v>-475.56312261578177</v>
      </c>
      <c r="BE6" s="7">
        <v>1940.5874577809345</v>
      </c>
      <c r="BF6" s="8">
        <v>3.8372403355182971</v>
      </c>
    </row>
    <row r="7" spans="1:58" x14ac:dyDescent="0.25">
      <c r="A7" s="11">
        <v>2401</v>
      </c>
      <c r="B7">
        <v>6</v>
      </c>
      <c r="C7" s="7">
        <v>190.50535714285715</v>
      </c>
      <c r="D7" s="8">
        <v>-36.551125952483382</v>
      </c>
      <c r="E7" s="7">
        <v>581.96785714285716</v>
      </c>
      <c r="F7" s="8">
        <v>-100.07014328947957</v>
      </c>
      <c r="G7" s="7">
        <v>236.68214285714291</v>
      </c>
      <c r="H7" s="8">
        <v>-58.173058498545046</v>
      </c>
      <c r="I7" s="7">
        <v>1484.4897594763454</v>
      </c>
      <c r="J7" s="8">
        <v>309.20750151809864</v>
      </c>
      <c r="K7" s="7">
        <v>737.12347256388307</v>
      </c>
      <c r="L7" s="8">
        <v>-19.489509347541897</v>
      </c>
      <c r="M7" s="7">
        <v>184.27127752545499</v>
      </c>
      <c r="N7" s="8">
        <v>16.097369625814725</v>
      </c>
      <c r="O7" s="7">
        <v>222.91401918900831</v>
      </c>
      <c r="P7" s="8">
        <v>-7.9455254233324988</v>
      </c>
      <c r="Q7" s="7">
        <v>5568.7657716836729</v>
      </c>
      <c r="R7" s="8">
        <v>-1293.5889841122382</v>
      </c>
      <c r="S7" s="7">
        <v>2272.1090880102038</v>
      </c>
      <c r="T7" s="8">
        <v>-768.06568962260405</v>
      </c>
      <c r="U7" s="7">
        <v>14175.305887478948</v>
      </c>
      <c r="V7" s="8">
        <v>993.6769718038463</v>
      </c>
      <c r="W7" s="7">
        <v>7055.1531443737549</v>
      </c>
      <c r="X7" s="8">
        <v>-546.46263323425774</v>
      </c>
      <c r="Y7" s="7">
        <v>1770.1454497452</v>
      </c>
      <c r="Z7" s="8">
        <v>-29.086417012533087</v>
      </c>
      <c r="AA7" s="7">
        <v>2145.2358966323886</v>
      </c>
      <c r="AB7" s="8">
        <v>-192.20143932373205</v>
      </c>
      <c r="AC7" s="7">
        <v>7079.2751147959198</v>
      </c>
      <c r="AD7" s="8">
        <v>-1869.4545112738519</v>
      </c>
      <c r="AE7" s="7">
        <v>43335.678384590166</v>
      </c>
      <c r="AF7" s="8">
        <v>6525.8758704660504</v>
      </c>
      <c r="AG7" s="7">
        <v>21527.27576041346</v>
      </c>
      <c r="AH7" s="8">
        <v>-737.82996260911364</v>
      </c>
      <c r="AI7" s="7">
        <v>5471.5999901121995</v>
      </c>
      <c r="AJ7" s="8">
        <v>329.81385192238707</v>
      </c>
      <c r="AK7" s="7">
        <v>6608.4039042164814</v>
      </c>
      <c r="AL7" s="8">
        <v>-292.57798457581555</v>
      </c>
      <c r="AM7" s="7">
        <v>17875.188621148081</v>
      </c>
      <c r="AN7" s="8">
        <v>-494.14116012140266</v>
      </c>
      <c r="AO7" s="7">
        <v>9067.3917956599707</v>
      </c>
      <c r="AP7" s="8">
        <v>-874.73692553229841</v>
      </c>
      <c r="AQ7" s="7">
        <v>2320.4565446144593</v>
      </c>
      <c r="AR7" s="8">
        <v>-108.26966520515411</v>
      </c>
      <c r="AS7" s="7">
        <v>2834.3905667875538</v>
      </c>
      <c r="AT7" s="8">
        <v>-290.31399139932876</v>
      </c>
      <c r="AU7" s="7">
        <v>58418.768568289364</v>
      </c>
      <c r="AV7" s="8">
        <v>1072.8794710800378</v>
      </c>
      <c r="AW7" s="7">
        <v>14116.482345928169</v>
      </c>
      <c r="AX7" s="8">
        <v>1710.7174827772499</v>
      </c>
      <c r="AY7" s="7">
        <v>17599.221717067161</v>
      </c>
      <c r="AZ7" s="8">
        <v>262.94397403080018</v>
      </c>
      <c r="BA7" s="7">
        <v>7247.7683625019408</v>
      </c>
      <c r="BB7" s="8">
        <v>-8.3555816138382362</v>
      </c>
      <c r="BC7" s="7">
        <v>9672.3974324053543</v>
      </c>
      <c r="BD7" s="8">
        <v>-508.48087084062109</v>
      </c>
      <c r="BE7" s="7">
        <v>2247.5768675398617</v>
      </c>
      <c r="BF7" s="8">
        <v>5.0308558327701842</v>
      </c>
    </row>
    <row r="8" spans="1:58" x14ac:dyDescent="0.25">
      <c r="A8" s="11">
        <v>2607</v>
      </c>
      <c r="B8">
        <v>7</v>
      </c>
      <c r="C8" s="7">
        <v>186.28571428571428</v>
      </c>
      <c r="D8" s="8">
        <v>-35.920244383716302</v>
      </c>
      <c r="E8" s="7">
        <v>607.90000000000009</v>
      </c>
      <c r="F8" s="8">
        <v>-102.66396706055038</v>
      </c>
      <c r="G8" s="7">
        <v>234.3857142857143</v>
      </c>
      <c r="H8" s="8">
        <v>-55.329530962457255</v>
      </c>
      <c r="I8" s="7">
        <v>1439.9945578266668</v>
      </c>
      <c r="J8" s="8">
        <v>312.35048989701068</v>
      </c>
      <c r="K8" s="7">
        <v>583.68814464852221</v>
      </c>
      <c r="L8" s="8">
        <v>-31.94772608477659</v>
      </c>
      <c r="M8" s="7">
        <v>168.91756090224567</v>
      </c>
      <c r="N8" s="8">
        <v>13.182928931128592</v>
      </c>
      <c r="O8" s="7">
        <v>170.64444384201769</v>
      </c>
      <c r="P8" s="8">
        <v>-10.475787453109071</v>
      </c>
      <c r="Q8" s="7">
        <v>5681.6263469387759</v>
      </c>
      <c r="R8" s="8">
        <v>-1294.1576923745099</v>
      </c>
      <c r="S8" s="7">
        <v>2175.5971632653063</v>
      </c>
      <c r="T8" s="8">
        <v>-716.49952297668892</v>
      </c>
      <c r="U8" s="7">
        <v>13321.686884616278</v>
      </c>
      <c r="V8" s="8">
        <v>1117.8059503938609</v>
      </c>
      <c r="W8" s="7">
        <v>5320.8212672566151</v>
      </c>
      <c r="X8" s="8">
        <v>-526.75027042101931</v>
      </c>
      <c r="Y8" s="7">
        <v>1560.7468222849316</v>
      </c>
      <c r="Z8" s="8">
        <v>-32.154800250884136</v>
      </c>
      <c r="AA8" s="7">
        <v>1570.4260212110783</v>
      </c>
      <c r="AB8" s="8">
        <v>-161.95740335080674</v>
      </c>
      <c r="AC8" s="7">
        <v>7295.8618367346926</v>
      </c>
      <c r="AD8" s="8">
        <v>-1820.0200184100561</v>
      </c>
      <c r="AE8" s="7">
        <v>43435.53926849056</v>
      </c>
      <c r="AF8" s="8">
        <v>6636.3105088267703</v>
      </c>
      <c r="AG8" s="7">
        <v>17415.007784660065</v>
      </c>
      <c r="AH8" s="8">
        <v>-1120.0894040485703</v>
      </c>
      <c r="AI8" s="7">
        <v>5181.8666112946285</v>
      </c>
      <c r="AJ8" s="8">
        <v>242.39207332908629</v>
      </c>
      <c r="AK8" s="7">
        <v>5169.5539340467485</v>
      </c>
      <c r="AL8" s="8">
        <v>-360.02446912086907</v>
      </c>
      <c r="AM8" s="7">
        <v>16730.120122266733</v>
      </c>
      <c r="AN8" s="8">
        <v>-414.09208561854615</v>
      </c>
      <c r="AO8" s="7">
        <v>6749.2777988284051</v>
      </c>
      <c r="AP8" s="8">
        <v>-762.21513407247198</v>
      </c>
      <c r="AQ8" s="7">
        <v>2054.0439797090694</v>
      </c>
      <c r="AR8" s="8">
        <v>-101.20546994359617</v>
      </c>
      <c r="AS8" s="7">
        <v>2021.2844922662036</v>
      </c>
      <c r="AT8" s="8">
        <v>-231.40077275796895</v>
      </c>
      <c r="AU8" s="7">
        <v>43358.370689001946</v>
      </c>
      <c r="AV8" s="8">
        <v>-783.40273192641007</v>
      </c>
      <c r="AW8" s="7">
        <v>12207.044592078373</v>
      </c>
      <c r="AX8" s="8">
        <v>1419.2270100124556</v>
      </c>
      <c r="AY8" s="7">
        <v>12501.549541063368</v>
      </c>
      <c r="AZ8" s="8">
        <v>-239.2708535409455</v>
      </c>
      <c r="BA8" s="7">
        <v>5057.0622443368748</v>
      </c>
      <c r="BB8" s="8">
        <v>-240.56309173328057</v>
      </c>
      <c r="BC8" s="7">
        <v>5323.820885040398</v>
      </c>
      <c r="BD8" s="8">
        <v>-627.55047680095095</v>
      </c>
      <c r="BE8" s="7">
        <v>1487.0207438187645</v>
      </c>
      <c r="BF8" s="8">
        <v>-57.066957383631674</v>
      </c>
    </row>
    <row r="9" spans="1:58" x14ac:dyDescent="0.25">
      <c r="A9" s="11">
        <v>2143</v>
      </c>
      <c r="B9">
        <v>8</v>
      </c>
      <c r="C9" s="7">
        <v>186.31904761904764</v>
      </c>
      <c r="D9" s="8">
        <v>-35.941557031093559</v>
      </c>
      <c r="E9" s="7">
        <v>601.19821428571436</v>
      </c>
      <c r="F9" s="8">
        <v>-103.97184198107396</v>
      </c>
      <c r="G9" s="7">
        <v>245.10000000000002</v>
      </c>
      <c r="H9" s="8">
        <v>-61.940387211295516</v>
      </c>
      <c r="I9" s="7">
        <v>1529.7596296011354</v>
      </c>
      <c r="J9" s="8">
        <v>322.70262865153018</v>
      </c>
      <c r="K9" s="7">
        <v>822.53568315893858</v>
      </c>
      <c r="L9" s="8">
        <v>-85.869398709671543</v>
      </c>
      <c r="M9" s="7">
        <v>192.37581639368346</v>
      </c>
      <c r="N9" s="8">
        <v>12.953552960484368</v>
      </c>
      <c r="O9" s="7">
        <v>233.49905165747782</v>
      </c>
      <c r="P9" s="8">
        <v>-26.885112918638558</v>
      </c>
      <c r="Q9" s="7">
        <v>5636.7601360544222</v>
      </c>
      <c r="R9" s="8">
        <v>-1324.4830381012694</v>
      </c>
      <c r="S9" s="7">
        <v>2298.1620408163267</v>
      </c>
      <c r="T9" s="8">
        <v>-783.97877616820927</v>
      </c>
      <c r="U9" s="7">
        <v>14140.611358829605</v>
      </c>
      <c r="V9" s="8">
        <v>1137.8206963031871</v>
      </c>
      <c r="W9" s="7">
        <v>7398.7614144939589</v>
      </c>
      <c r="X9" s="8">
        <v>-1022.855773828457</v>
      </c>
      <c r="Y9" s="7">
        <v>1789.541564054002</v>
      </c>
      <c r="Z9" s="8">
        <v>-36.479678570647408</v>
      </c>
      <c r="AA9" s="7">
        <v>2120.9687016487005</v>
      </c>
      <c r="AB9" s="8">
        <v>-310.92786456052289</v>
      </c>
      <c r="AC9" s="7">
        <v>7479.0366326530602</v>
      </c>
      <c r="AD9" s="8">
        <v>-1985.6686576003615</v>
      </c>
      <c r="AE9" s="7">
        <v>45407.831784261172</v>
      </c>
      <c r="AF9" s="8">
        <v>6776.7824820796332</v>
      </c>
      <c r="AG9" s="7">
        <v>23336.89923946447</v>
      </c>
      <c r="AH9" s="8">
        <v>-2733.3862723372799</v>
      </c>
      <c r="AI9" s="7">
        <v>5786.496503288241</v>
      </c>
      <c r="AJ9" s="8">
        <v>202.09023148498727</v>
      </c>
      <c r="AK9" s="7">
        <v>6765.4207310207121</v>
      </c>
      <c r="AL9" s="8">
        <v>-859.61511926053049</v>
      </c>
      <c r="AM9" s="7">
        <v>18328.343904532008</v>
      </c>
      <c r="AN9" s="8">
        <v>-750.62924842637858</v>
      </c>
      <c r="AO9" s="7">
        <v>9234.9899610472694</v>
      </c>
      <c r="AP9" s="8">
        <v>-1728.1475577618778</v>
      </c>
      <c r="AQ9" s="7">
        <v>2377.3270052228099</v>
      </c>
      <c r="AR9" s="8">
        <v>-184.04580357358867</v>
      </c>
      <c r="AS9" s="7">
        <v>2682.3756926120923</v>
      </c>
      <c r="AT9" s="8">
        <v>-496.61735314480831</v>
      </c>
      <c r="AU9" s="7">
        <v>68313.786384518549</v>
      </c>
      <c r="AV9" s="8">
        <v>-5155.7377579886652</v>
      </c>
      <c r="AW9" s="7">
        <v>14775.969254130234</v>
      </c>
      <c r="AX9" s="8">
        <v>1473.4740905666658</v>
      </c>
      <c r="AY9" s="7">
        <v>19110.10935226714</v>
      </c>
      <c r="AZ9" s="8">
        <v>-1531.6272380854546</v>
      </c>
      <c r="BA9" s="7">
        <v>8032.900904120258</v>
      </c>
      <c r="BB9" s="8">
        <v>-925.06415485531147</v>
      </c>
      <c r="BC9" s="7">
        <v>13881.362135846512</v>
      </c>
      <c r="BD9" s="8">
        <v>-2687.3313124745691</v>
      </c>
      <c r="BE9" s="7">
        <v>2288.3155084016885</v>
      </c>
      <c r="BF9" s="8">
        <v>-242.84711735417682</v>
      </c>
    </row>
    <row r="10" spans="1:58" x14ac:dyDescent="0.25">
      <c r="A10" s="11">
        <v>2238</v>
      </c>
      <c r="B10">
        <v>9</v>
      </c>
      <c r="C10" s="7">
        <v>177.92142857142858</v>
      </c>
      <c r="D10" s="8">
        <v>-34.875360644464621</v>
      </c>
      <c r="E10" s="7">
        <v>618.2696428571428</v>
      </c>
      <c r="F10" s="8">
        <v>-104.86072980300692</v>
      </c>
      <c r="G10" s="7">
        <v>242.18749999999997</v>
      </c>
      <c r="H10" s="8">
        <v>-58.549603217758808</v>
      </c>
      <c r="I10" s="7">
        <v>1623.0448328927528</v>
      </c>
      <c r="J10" s="8">
        <v>342.74882690785313</v>
      </c>
      <c r="K10" s="7">
        <v>1262.5227211146184</v>
      </c>
      <c r="L10" s="8">
        <v>-81.162209272172632</v>
      </c>
      <c r="M10" s="7">
        <v>204.88178130617669</v>
      </c>
      <c r="N10" s="8">
        <v>15.729106672959086</v>
      </c>
      <c r="O10" s="7">
        <v>388.71956288481954</v>
      </c>
      <c r="P10" s="8">
        <v>-23.914837707156344</v>
      </c>
      <c r="Q10" s="7">
        <v>5515.91618622449</v>
      </c>
      <c r="R10" s="8">
        <v>-1286.468862241953</v>
      </c>
      <c r="S10" s="7">
        <v>2145.3539158163267</v>
      </c>
      <c r="T10" s="8">
        <v>-728.14274552010238</v>
      </c>
      <c r="U10" s="7">
        <v>14262.628490918767</v>
      </c>
      <c r="V10" s="8">
        <v>1211.0947587765577</v>
      </c>
      <c r="W10" s="7">
        <v>11003.166950466497</v>
      </c>
      <c r="X10" s="8">
        <v>-1159.9870347884839</v>
      </c>
      <c r="Y10" s="7">
        <v>1804.1163048297733</v>
      </c>
      <c r="Z10" s="8">
        <v>-25.867146717432693</v>
      </c>
      <c r="AA10" s="7">
        <v>3423.7971870086135</v>
      </c>
      <c r="AB10" s="8">
        <v>-352.89587984779274</v>
      </c>
      <c r="AC10" s="7">
        <v>7637.6098692602045</v>
      </c>
      <c r="AD10" s="8">
        <v>-1942.9391372186767</v>
      </c>
      <c r="AE10" s="7">
        <v>49639.630528831505</v>
      </c>
      <c r="AF10" s="8">
        <v>7285.5993742312967</v>
      </c>
      <c r="AG10" s="7">
        <v>38209.533990501011</v>
      </c>
      <c r="AH10" s="8">
        <v>-2947.625147844763</v>
      </c>
      <c r="AI10" s="7">
        <v>6388.8651235913467</v>
      </c>
      <c r="AJ10" s="8">
        <v>274.56840840849122</v>
      </c>
      <c r="AK10" s="7">
        <v>11952.36767875747</v>
      </c>
      <c r="AL10" s="8">
        <v>-891.486441843938</v>
      </c>
      <c r="AM10" s="7">
        <v>19311.197840460845</v>
      </c>
      <c r="AN10" s="8">
        <v>-692.16465796933005</v>
      </c>
      <c r="AO10" s="7">
        <v>14854.079802582444</v>
      </c>
      <c r="AP10" s="8">
        <v>-1878.827864225457</v>
      </c>
      <c r="AQ10" s="7">
        <v>2588.57123044218</v>
      </c>
      <c r="AR10" s="8">
        <v>-147.1322412883722</v>
      </c>
      <c r="AS10" s="7">
        <v>4688.5777235485284</v>
      </c>
      <c r="AT10" s="8">
        <v>-529.91023016115912</v>
      </c>
      <c r="AU10" s="7">
        <v>105807.35402682803</v>
      </c>
      <c r="AV10" s="8">
        <v>-3768.7697316123076</v>
      </c>
      <c r="AW10" s="7">
        <v>16696.958968022696</v>
      </c>
      <c r="AX10" s="8">
        <v>1813.5513342968331</v>
      </c>
      <c r="AY10" s="7">
        <v>32003.323549377423</v>
      </c>
      <c r="AZ10" s="8">
        <v>-866.77354158399851</v>
      </c>
      <c r="BA10" s="7">
        <v>12933.773987402386</v>
      </c>
      <c r="BB10" s="8">
        <v>-697.9893460495216</v>
      </c>
      <c r="BC10" s="7">
        <v>25984.301332127568</v>
      </c>
      <c r="BD10" s="8">
        <v>-3053.0180555357765</v>
      </c>
      <c r="BE10" s="7">
        <v>4013.5570354770975</v>
      </c>
      <c r="BF10" s="8">
        <v>-145.89208047627216</v>
      </c>
    </row>
    <row r="11" spans="1:58" x14ac:dyDescent="0.25">
      <c r="A11" s="11">
        <v>3473</v>
      </c>
      <c r="B11">
        <v>10</v>
      </c>
      <c r="C11" s="7">
        <v>163.52678571428575</v>
      </c>
      <c r="D11" s="8">
        <v>-29.870388586475968</v>
      </c>
      <c r="E11" s="7">
        <v>585.54821428571427</v>
      </c>
      <c r="F11" s="8">
        <v>-98.202411418330044</v>
      </c>
      <c r="G11" s="7">
        <v>214.94107142857143</v>
      </c>
      <c r="H11" s="8">
        <v>-50.118291743775174</v>
      </c>
      <c r="I11" s="7">
        <v>1427.1707321627152</v>
      </c>
      <c r="J11" s="8">
        <v>323.07089641579523</v>
      </c>
      <c r="K11" s="7">
        <v>542.799212059512</v>
      </c>
      <c r="L11" s="8">
        <v>-15.801512150314226</v>
      </c>
      <c r="M11" s="7">
        <v>175.5005325752457</v>
      </c>
      <c r="N11" s="8">
        <v>18.855426276962255</v>
      </c>
      <c r="O11" s="7">
        <v>158.03005613767249</v>
      </c>
      <c r="P11" s="8">
        <v>-3.6904958949797386</v>
      </c>
      <c r="Q11" s="7">
        <v>4802.7098118622453</v>
      </c>
      <c r="R11" s="8">
        <v>-1052.5619319990333</v>
      </c>
      <c r="S11" s="7">
        <v>1757.2637276785713</v>
      </c>
      <c r="T11" s="8">
        <v>-572.8624009008829</v>
      </c>
      <c r="U11" s="7">
        <v>11686.432562889679</v>
      </c>
      <c r="V11" s="8">
        <v>1054.0575454696495</v>
      </c>
      <c r="W11" s="7">
        <v>4439.9741903929025</v>
      </c>
      <c r="X11" s="8">
        <v>-308.67679398863083</v>
      </c>
      <c r="Y11" s="7">
        <v>1438.6722056208284</v>
      </c>
      <c r="Z11" s="8">
        <v>7.7297514742444564</v>
      </c>
      <c r="AA11" s="7">
        <v>1299.8028199938922</v>
      </c>
      <c r="AB11" s="8">
        <v>-95.879268398809032</v>
      </c>
      <c r="AC11" s="7">
        <v>6413.616699617347</v>
      </c>
      <c r="AD11" s="8">
        <v>-1559.9648304724426</v>
      </c>
      <c r="AE11" s="7">
        <v>41549.197841024426</v>
      </c>
      <c r="AF11" s="8">
        <v>6871.9498478266605</v>
      </c>
      <c r="AG11" s="7">
        <v>15889.418250035564</v>
      </c>
      <c r="AH11" s="8">
        <v>-552.78643539834684</v>
      </c>
      <c r="AI11" s="7">
        <v>5235.9941940480867</v>
      </c>
      <c r="AJ11" s="8">
        <v>428.85168753063107</v>
      </c>
      <c r="AK11" s="7">
        <v>4709.2617591684157</v>
      </c>
      <c r="AL11" s="8">
        <v>-134.57468553947768</v>
      </c>
      <c r="AM11" s="7">
        <v>15017.089942054601</v>
      </c>
      <c r="AN11" s="8">
        <v>-86.610163207067117</v>
      </c>
      <c r="AO11" s="7">
        <v>5822.7692543019139</v>
      </c>
      <c r="AP11" s="8">
        <v>-529.99574891786108</v>
      </c>
      <c r="AQ11" s="7">
        <v>1953.0707098737535</v>
      </c>
      <c r="AR11" s="8">
        <v>-20.520564454883335</v>
      </c>
      <c r="AS11" s="7">
        <v>1749.1446684023806</v>
      </c>
      <c r="AT11" s="8">
        <v>-122.68271746046561</v>
      </c>
      <c r="AU11" s="7">
        <v>39340.923530386986</v>
      </c>
      <c r="AV11" s="8">
        <v>813.46569869294513</v>
      </c>
      <c r="AW11" s="7">
        <v>12547.435468874581</v>
      </c>
      <c r="AX11" s="8">
        <v>1908.5447589732667</v>
      </c>
      <c r="AY11" s="7">
        <v>11344.205769169277</v>
      </c>
      <c r="AZ11" s="8">
        <v>336.22771783241791</v>
      </c>
      <c r="BA11" s="7">
        <v>4841.0178876395021</v>
      </c>
      <c r="BB11" s="8">
        <v>67.555775783451224</v>
      </c>
      <c r="BC11" s="7">
        <v>4419.7649630162487</v>
      </c>
      <c r="BD11" s="8">
        <v>-204.96670874295117</v>
      </c>
      <c r="BE11" s="7">
        <v>1453.1020715859202</v>
      </c>
      <c r="BF11" s="8">
        <v>50.280022397978129</v>
      </c>
    </row>
    <row r="12" spans="1:58" x14ac:dyDescent="0.25">
      <c r="A12" s="11">
        <v>2339</v>
      </c>
      <c r="B12">
        <v>11</v>
      </c>
      <c r="C12" s="7">
        <v>178.16964285714286</v>
      </c>
      <c r="D12" s="8">
        <v>-34.479433913009494</v>
      </c>
      <c r="E12" s="7">
        <v>599.14285714285722</v>
      </c>
      <c r="F12" s="8">
        <v>-102.17336473772617</v>
      </c>
      <c r="G12" s="7">
        <v>252.45714285714283</v>
      </c>
      <c r="H12" s="8">
        <v>-64.294182318404879</v>
      </c>
      <c r="I12" s="7">
        <v>1385.3913089467587</v>
      </c>
      <c r="J12" s="8">
        <v>299.40676354815963</v>
      </c>
      <c r="K12" s="7">
        <v>477.7426579540118</v>
      </c>
      <c r="L12" s="8">
        <v>-27.924392131771036</v>
      </c>
      <c r="M12" s="7">
        <v>169.20651084619021</v>
      </c>
      <c r="N12" s="8">
        <v>12.389103915298149</v>
      </c>
      <c r="O12" s="7">
        <v>145.31792805951173</v>
      </c>
      <c r="P12" s="8">
        <v>-8.1604187652410136</v>
      </c>
      <c r="Q12" s="7">
        <v>5338.5220408163268</v>
      </c>
      <c r="R12" s="8">
        <v>-1252.4883553621892</v>
      </c>
      <c r="S12" s="7">
        <v>2240.5304336734694</v>
      </c>
      <c r="T12" s="8">
        <v>-769.97180760370168</v>
      </c>
      <c r="U12" s="7">
        <v>12339.681719920965</v>
      </c>
      <c r="V12" s="8">
        <v>1012.3267053189639</v>
      </c>
      <c r="W12" s="7">
        <v>4232.0494546037135</v>
      </c>
      <c r="X12" s="8">
        <v>-435.35855579568215</v>
      </c>
      <c r="Y12" s="7">
        <v>1502.5028647797815</v>
      </c>
      <c r="Z12" s="8">
        <v>-32.201656439097768</v>
      </c>
      <c r="AA12" s="7">
        <v>1289.6472611643546</v>
      </c>
      <c r="AB12" s="8">
        <v>-131.45059586100098</v>
      </c>
      <c r="AC12" s="7">
        <v>7705.0487755102049</v>
      </c>
      <c r="AD12" s="8">
        <v>-2045.812936558347</v>
      </c>
      <c r="AE12" s="7">
        <v>41195.038308104078</v>
      </c>
      <c r="AF12" s="8">
        <v>6418.4710068095083</v>
      </c>
      <c r="AG12" s="7">
        <v>14007.316290104296</v>
      </c>
      <c r="AH12" s="8">
        <v>-997.85754790463693</v>
      </c>
      <c r="AI12" s="7">
        <v>5115.1161122762842</v>
      </c>
      <c r="AJ12" s="8">
        <v>214.50947288923447</v>
      </c>
      <c r="AK12" s="7">
        <v>4344.5562634226662</v>
      </c>
      <c r="AL12" s="8">
        <v>-301.81990379806643</v>
      </c>
      <c r="AM12" s="7">
        <v>17237.478855279474</v>
      </c>
      <c r="AN12" s="8">
        <v>-735.41667001262351</v>
      </c>
      <c r="AO12" s="7">
        <v>5956.8874386642719</v>
      </c>
      <c r="AP12" s="8">
        <v>-902.09745003502462</v>
      </c>
      <c r="AQ12" s="7">
        <v>2187.4051238691904</v>
      </c>
      <c r="AR12" s="8">
        <v>-165.08042679852704</v>
      </c>
      <c r="AS12" s="7">
        <v>1860.4365433113217</v>
      </c>
      <c r="AT12" s="8">
        <v>-250.31177510793745</v>
      </c>
      <c r="AU12" s="7">
        <v>33742.789300431614</v>
      </c>
      <c r="AV12" s="8">
        <v>-877.77251418328308</v>
      </c>
      <c r="AW12" s="7">
        <v>11760.412200065006</v>
      </c>
      <c r="AX12" s="8">
        <v>1297.3393867605562</v>
      </c>
      <c r="AY12" s="7">
        <v>10145.623308678432</v>
      </c>
      <c r="AZ12" s="8">
        <v>-103.66909065961474</v>
      </c>
      <c r="BA12" s="7">
        <v>4069.9849170751449</v>
      </c>
      <c r="BB12" s="8">
        <v>-237.53140105773241</v>
      </c>
      <c r="BC12" s="7">
        <v>3616.2525122460765</v>
      </c>
      <c r="BD12" s="8">
        <v>-375.4669999816993</v>
      </c>
      <c r="BE12" s="7">
        <v>1252.0059008741896</v>
      </c>
      <c r="BF12" s="8">
        <v>-42.691827962646165</v>
      </c>
    </row>
    <row r="13" spans="1:58" x14ac:dyDescent="0.25">
      <c r="A13" s="11">
        <v>2595</v>
      </c>
      <c r="B13">
        <v>12</v>
      </c>
      <c r="C13" s="7">
        <v>171.48035714285714</v>
      </c>
      <c r="D13" s="8">
        <v>-32.822833534503971</v>
      </c>
      <c r="E13" s="7">
        <v>603.74285714285725</v>
      </c>
      <c r="F13" s="8">
        <v>-102.50675051520869</v>
      </c>
      <c r="G13" s="7">
        <v>223.47321428571431</v>
      </c>
      <c r="H13" s="8">
        <v>-53.322377092885098</v>
      </c>
      <c r="I13" s="7">
        <v>1322.83773060163</v>
      </c>
      <c r="J13" s="8">
        <v>293.57597017150925</v>
      </c>
      <c r="K13" s="7">
        <v>517.80466398416468</v>
      </c>
      <c r="L13" s="8">
        <v>-23.827498789724164</v>
      </c>
      <c r="M13" s="7">
        <v>151.63337603671314</v>
      </c>
      <c r="N13" s="8">
        <v>14.656859967465319</v>
      </c>
      <c r="O13" s="7">
        <v>155.54305929043417</v>
      </c>
      <c r="P13" s="8">
        <v>-7.7580060434771507</v>
      </c>
      <c r="Q13" s="7">
        <v>5174.8241071428565</v>
      </c>
      <c r="R13" s="8">
        <v>-1186.8910885593496</v>
      </c>
      <c r="S13" s="7">
        <v>1906.9250414540816</v>
      </c>
      <c r="T13" s="8">
        <v>-640.48895986152399</v>
      </c>
      <c r="U13" s="7">
        <v>11347.24848548686</v>
      </c>
      <c r="V13" s="8">
        <v>979.46321057083151</v>
      </c>
      <c r="W13" s="7">
        <v>4421.2731888276503</v>
      </c>
      <c r="X13" s="8">
        <v>-374.88408527190944</v>
      </c>
      <c r="Y13" s="7">
        <v>1296.6823429598921</v>
      </c>
      <c r="Z13" s="8">
        <v>-1.7774266958977005</v>
      </c>
      <c r="AA13" s="7">
        <v>1328.2281513024948</v>
      </c>
      <c r="AB13" s="8">
        <v>-117.50010118745435</v>
      </c>
      <c r="AC13" s="7">
        <v>6916.6005357142867</v>
      </c>
      <c r="AD13" s="8">
        <v>-1759.2219606654403</v>
      </c>
      <c r="AE13" s="7">
        <v>39772.727454304812</v>
      </c>
      <c r="AF13" s="8">
        <v>6401.2967165796545</v>
      </c>
      <c r="AG13" s="7">
        <v>15342.133854790829</v>
      </c>
      <c r="AH13" s="8">
        <v>-855.37953937443092</v>
      </c>
      <c r="AI13" s="7">
        <v>4651.6899831163346</v>
      </c>
      <c r="AJ13" s="8">
        <v>288.11670734723123</v>
      </c>
      <c r="AK13" s="7">
        <v>4685.5617599892948</v>
      </c>
      <c r="AL13" s="8">
        <v>-278.30616980379773</v>
      </c>
      <c r="AM13" s="7">
        <v>14680.586549171485</v>
      </c>
      <c r="AN13" s="8">
        <v>-170.78146444334322</v>
      </c>
      <c r="AO13" s="7">
        <v>5685.0396611308752</v>
      </c>
      <c r="AP13" s="8">
        <v>-565.03862558791252</v>
      </c>
      <c r="AQ13" s="7">
        <v>1801.4563170786009</v>
      </c>
      <c r="AR13" s="8">
        <v>-56.305352011606445</v>
      </c>
      <c r="AS13" s="7">
        <v>1778.3874159891382</v>
      </c>
      <c r="AT13" s="8">
        <v>-169.02550378358373</v>
      </c>
      <c r="AU13" s="7">
        <v>35016.864192090812</v>
      </c>
      <c r="AV13" s="8">
        <v>-369.89316191679893</v>
      </c>
      <c r="AW13" s="7">
        <v>10041.892939479882</v>
      </c>
      <c r="AX13" s="8">
        <v>1412.1318591192046</v>
      </c>
      <c r="AY13" s="7">
        <v>10419.856392890377</v>
      </c>
      <c r="AZ13" s="8">
        <v>-49.495275125936637</v>
      </c>
      <c r="BA13" s="7">
        <v>3956.319327952307</v>
      </c>
      <c r="BB13" s="8">
        <v>-94.990514275329602</v>
      </c>
      <c r="BC13" s="7">
        <v>4424.9685781421376</v>
      </c>
      <c r="BD13" s="8">
        <v>-470.12824220673963</v>
      </c>
      <c r="BE13" s="7">
        <v>1216.8215485994465</v>
      </c>
      <c r="BF13" s="8">
        <v>-10.91850506578181</v>
      </c>
    </row>
    <row r="14" spans="1:58" x14ac:dyDescent="0.25">
      <c r="A14" s="11">
        <v>2574</v>
      </c>
      <c r="B14">
        <v>13</v>
      </c>
      <c r="C14" s="7">
        <v>169.20714285714288</v>
      </c>
      <c r="D14" s="8">
        <v>-32.479675006586838</v>
      </c>
      <c r="E14" s="7">
        <v>571.17678571428576</v>
      </c>
      <c r="F14" s="8">
        <v>-97.355059049953098</v>
      </c>
      <c r="G14" s="7">
        <v>245.76249999999999</v>
      </c>
      <c r="H14" s="8">
        <v>-58.561930250974996</v>
      </c>
      <c r="I14" s="7">
        <v>1437.9601571388866</v>
      </c>
      <c r="J14" s="8">
        <v>319.30773759383754</v>
      </c>
      <c r="K14" s="7">
        <v>561.72475099176199</v>
      </c>
      <c r="L14" s="8">
        <v>-9.3917699852417371</v>
      </c>
      <c r="M14" s="7">
        <v>175.87071149235265</v>
      </c>
      <c r="N14" s="8">
        <v>18.292008040137635</v>
      </c>
      <c r="O14" s="7">
        <v>164.82376322831314</v>
      </c>
      <c r="P14" s="8">
        <v>-4.1650470050262696</v>
      </c>
      <c r="Q14" s="7">
        <v>4836.1965688775517</v>
      </c>
      <c r="R14" s="8">
        <v>-1116.6646109718608</v>
      </c>
      <c r="S14" s="7">
        <v>2060.4610586734693</v>
      </c>
      <c r="T14" s="8">
        <v>-699.60223535637306</v>
      </c>
      <c r="U14" s="7">
        <v>12103.300358834282</v>
      </c>
      <c r="V14" s="8">
        <v>972.21622093574706</v>
      </c>
      <c r="W14" s="7">
        <v>4659.8964223308321</v>
      </c>
      <c r="X14" s="8">
        <v>-378.73673747809818</v>
      </c>
      <c r="Y14" s="7">
        <v>1469.4086845418169</v>
      </c>
      <c r="Z14" s="8">
        <v>-9.7234720998876156</v>
      </c>
      <c r="AA14" s="7">
        <v>1372.4599383879111</v>
      </c>
      <c r="AB14" s="8">
        <v>-120.53819253933825</v>
      </c>
      <c r="AC14" s="7">
        <v>7180.4208960459173</v>
      </c>
      <c r="AD14" s="8">
        <v>-1822.8817724397359</v>
      </c>
      <c r="AE14" s="7">
        <v>40998.221650798769</v>
      </c>
      <c r="AF14" s="8">
        <v>6653.4614162284852</v>
      </c>
      <c r="AG14" s="7">
        <v>16189.883173021428</v>
      </c>
      <c r="AH14" s="8">
        <v>-490.67080210900849</v>
      </c>
      <c r="AI14" s="7">
        <v>5109.8664484777264</v>
      </c>
      <c r="AJ14" s="8">
        <v>373.93198445839494</v>
      </c>
      <c r="AK14" s="7">
        <v>4815.3657392985206</v>
      </c>
      <c r="AL14" s="8">
        <v>-182.07174418600442</v>
      </c>
      <c r="AM14" s="7">
        <v>17625.84262442173</v>
      </c>
      <c r="AN14" s="8">
        <v>-104.58244547210877</v>
      </c>
      <c r="AO14" s="7">
        <v>7267.6655395043417</v>
      </c>
      <c r="AP14" s="8">
        <v>-530.72969565584503</v>
      </c>
      <c r="AQ14" s="7">
        <v>2307.6514881220369</v>
      </c>
      <c r="AR14" s="8">
        <v>-32.036734919204143</v>
      </c>
      <c r="AS14" s="7">
        <v>2210.1594940146497</v>
      </c>
      <c r="AT14" s="8">
        <v>-157.77618184558298</v>
      </c>
      <c r="AU14" s="7">
        <v>40778.624730293937</v>
      </c>
      <c r="AV14" s="8">
        <v>1463.7782916602173</v>
      </c>
      <c r="AW14" s="7">
        <v>12728.048401305354</v>
      </c>
      <c r="AX14" s="8">
        <v>1893.4418481139764</v>
      </c>
      <c r="AY14" s="7">
        <v>11913.024424916532</v>
      </c>
      <c r="AZ14" s="8">
        <v>382.48845358797496</v>
      </c>
      <c r="BA14" s="7">
        <v>5195.733073357399</v>
      </c>
      <c r="BB14" s="8">
        <v>138.38398423812632</v>
      </c>
      <c r="BC14" s="7">
        <v>5023.223800481278</v>
      </c>
      <c r="BD14" s="8">
        <v>-174.66613536503272</v>
      </c>
      <c r="BE14" s="7">
        <v>1565.7225933738948</v>
      </c>
      <c r="BF14" s="8">
        <v>48.613828412566043</v>
      </c>
    </row>
    <row r="15" spans="1:58" x14ac:dyDescent="0.25">
      <c r="A15" s="11">
        <v>2641</v>
      </c>
      <c r="B15">
        <v>14</v>
      </c>
      <c r="C15" s="7">
        <v>176.14285714285714</v>
      </c>
      <c r="D15" s="8">
        <v>-33.497774696962374</v>
      </c>
      <c r="E15" s="7">
        <v>612.71964285714284</v>
      </c>
      <c r="F15" s="8">
        <v>-102.62448388022439</v>
      </c>
      <c r="G15" s="7">
        <v>242.26071428571427</v>
      </c>
      <c r="H15" s="8">
        <v>-57.220202538358038</v>
      </c>
      <c r="I15" s="7">
        <v>1455.7441497049199</v>
      </c>
      <c r="J15" s="8">
        <v>312.13360781290476</v>
      </c>
      <c r="K15" s="7">
        <v>526.35290466880542</v>
      </c>
      <c r="L15" s="8">
        <v>-17.262190299968747</v>
      </c>
      <c r="M15" s="7">
        <v>176.59212838137123</v>
      </c>
      <c r="N15" s="8">
        <v>17.666051165710968</v>
      </c>
      <c r="O15" s="7">
        <v>164.97918069186963</v>
      </c>
      <c r="P15" s="8">
        <v>-4.9865744855040059</v>
      </c>
      <c r="Q15" s="7">
        <v>5396.7379081632653</v>
      </c>
      <c r="R15" s="8">
        <v>-1237.2520206171903</v>
      </c>
      <c r="S15" s="7">
        <v>2132.1180612244893</v>
      </c>
      <c r="T15" s="8">
        <v>-729.99773296321086</v>
      </c>
      <c r="U15" s="7">
        <v>12761.418818046055</v>
      </c>
      <c r="V15" s="8">
        <v>1047.3824851804527</v>
      </c>
      <c r="W15" s="7">
        <v>4607.0410771779279</v>
      </c>
      <c r="X15" s="8">
        <v>-399.44553646564776</v>
      </c>
      <c r="Y15" s="7">
        <v>1546.5381531088342</v>
      </c>
      <c r="Z15" s="8">
        <v>-7.9873209949866606</v>
      </c>
      <c r="AA15" s="7">
        <v>1441.7799176023025</v>
      </c>
      <c r="AB15" s="8">
        <v>-125.01394039140737</v>
      </c>
      <c r="AC15" s="7">
        <v>7604.3842793367348</v>
      </c>
      <c r="AD15" s="8">
        <v>-1892.4074644664743</v>
      </c>
      <c r="AE15" s="7">
        <v>44243.363361577685</v>
      </c>
      <c r="AF15" s="8">
        <v>6974.7601197576323</v>
      </c>
      <c r="AG15" s="7">
        <v>15861.408277509994</v>
      </c>
      <c r="AH15" s="8">
        <v>-688.27132104138343</v>
      </c>
      <c r="AI15" s="7">
        <v>5477.0015443538405</v>
      </c>
      <c r="AJ15" s="8">
        <v>386.82734731919516</v>
      </c>
      <c r="AK15" s="7">
        <v>5063.379008611465</v>
      </c>
      <c r="AL15" s="8">
        <v>-188.21600958836891</v>
      </c>
      <c r="AM15" s="7">
        <v>17353.918091450148</v>
      </c>
      <c r="AN15" s="8">
        <v>-249.14739349950321</v>
      </c>
      <c r="AO15" s="7">
        <v>6342.6805576288325</v>
      </c>
      <c r="AP15" s="8">
        <v>-569.30675524332833</v>
      </c>
      <c r="AQ15" s="7">
        <v>2246.2027455273383</v>
      </c>
      <c r="AR15" s="8">
        <v>-28.843590935401679</v>
      </c>
      <c r="AS15" s="7">
        <v>2063.8111370408637</v>
      </c>
      <c r="AT15" s="8">
        <v>-145.77198823039231</v>
      </c>
      <c r="AU15" s="7">
        <v>39341.067583842363</v>
      </c>
      <c r="AV15" s="8">
        <v>498.80447194100083</v>
      </c>
      <c r="AW15" s="7">
        <v>12918.37528023782</v>
      </c>
      <c r="AX15" s="8">
        <v>1739.1705309631691</v>
      </c>
      <c r="AY15" s="7">
        <v>12245.882277347282</v>
      </c>
      <c r="AZ15" s="8">
        <v>261.30360277984562</v>
      </c>
      <c r="BA15" s="7">
        <v>4777.9008366916969</v>
      </c>
      <c r="BB15" s="8">
        <v>29.216075098868146</v>
      </c>
      <c r="BC15" s="7">
        <v>4670.3214569967477</v>
      </c>
      <c r="BD15" s="8">
        <v>-261.81040957328702</v>
      </c>
      <c r="BE15" s="7">
        <v>1536.803068319321</v>
      </c>
      <c r="BF15" s="8">
        <v>45.142688244188548</v>
      </c>
    </row>
    <row r="16" spans="1:58" x14ac:dyDescent="0.25">
      <c r="A16" s="11">
        <v>2205</v>
      </c>
      <c r="B16">
        <v>15</v>
      </c>
      <c r="C16" s="7">
        <v>179.05</v>
      </c>
      <c r="D16" s="8">
        <v>-34.346892916386025</v>
      </c>
      <c r="E16" s="7">
        <v>609.107142857143</v>
      </c>
      <c r="F16" s="8">
        <v>-102.54243457352852</v>
      </c>
      <c r="G16" s="7">
        <v>238.48928571428564</v>
      </c>
      <c r="H16" s="8">
        <v>-57.974611497736007</v>
      </c>
      <c r="I16" s="7">
        <v>1386.4494310307532</v>
      </c>
      <c r="J16" s="8">
        <v>295.39785108597971</v>
      </c>
      <c r="K16" s="7">
        <v>580.05856144699271</v>
      </c>
      <c r="L16" s="8">
        <v>-28.056638868541253</v>
      </c>
      <c r="M16" s="7">
        <v>164.76107591457395</v>
      </c>
      <c r="N16" s="8">
        <v>14.482848800810999</v>
      </c>
      <c r="O16" s="7">
        <v>185.10658899551902</v>
      </c>
      <c r="P16" s="8">
        <v>-7.9468731100051198</v>
      </c>
      <c r="Q16" s="7">
        <v>5448.1437244897952</v>
      </c>
      <c r="R16" s="8">
        <v>-1233.5076391091777</v>
      </c>
      <c r="S16" s="7">
        <v>2125.3434438775512</v>
      </c>
      <c r="T16" s="8">
        <v>-720.830580485979</v>
      </c>
      <c r="U16" s="7">
        <v>12421.70529410093</v>
      </c>
      <c r="V16" s="8">
        <v>852.39177835592147</v>
      </c>
      <c r="W16" s="7">
        <v>5161.0886264694882</v>
      </c>
      <c r="X16" s="8">
        <v>-509.903734644108</v>
      </c>
      <c r="Y16" s="7">
        <v>1469.2707098492979</v>
      </c>
      <c r="Z16" s="8">
        <v>-29.263344297692374</v>
      </c>
      <c r="AA16" s="7">
        <v>1648.0698405472622</v>
      </c>
      <c r="AB16" s="8">
        <v>-156.27760575352599</v>
      </c>
      <c r="AC16" s="7">
        <v>7363.9135459183663</v>
      </c>
      <c r="AD16" s="8">
        <v>-1884.3594563493486</v>
      </c>
      <c r="AE16" s="7">
        <v>42315.144141760407</v>
      </c>
      <c r="AF16" s="8">
        <v>6530.1485157480965</v>
      </c>
      <c r="AG16" s="7">
        <v>17579.496725893689</v>
      </c>
      <c r="AH16" s="8">
        <v>-1067.1504353179628</v>
      </c>
      <c r="AI16" s="7">
        <v>5095.6569135903674</v>
      </c>
      <c r="AJ16" s="8">
        <v>312.09674398679078</v>
      </c>
      <c r="AK16" s="7">
        <v>5693.2268738816092</v>
      </c>
      <c r="AL16" s="8">
        <v>-307.27638317009206</v>
      </c>
      <c r="AM16" s="7">
        <v>16507.401638526509</v>
      </c>
      <c r="AN16" s="8">
        <v>-292.33616863459707</v>
      </c>
      <c r="AO16" s="7">
        <v>6842.8862275299371</v>
      </c>
      <c r="AP16" s="8">
        <v>-800.61942243751139</v>
      </c>
      <c r="AQ16" s="7">
        <v>2026.123629964377</v>
      </c>
      <c r="AR16" s="8">
        <v>-71.941826182439826</v>
      </c>
      <c r="AS16" s="7">
        <v>2238.437111797743</v>
      </c>
      <c r="AT16" s="8">
        <v>-220.29768803927095</v>
      </c>
      <c r="AU16" s="7">
        <v>40585.910062815099</v>
      </c>
      <c r="AV16" s="8">
        <v>-186.4027844636849</v>
      </c>
      <c r="AW16" s="7">
        <v>11660.031053985644</v>
      </c>
      <c r="AX16" s="8">
        <v>1459.6023191505105</v>
      </c>
      <c r="AY16" s="7">
        <v>12983.698864966738</v>
      </c>
      <c r="AZ16" s="8">
        <v>132.21820650826797</v>
      </c>
      <c r="BA16" s="7">
        <v>4789.9267029842977</v>
      </c>
      <c r="BB16" s="8">
        <v>-146.27245904851981</v>
      </c>
      <c r="BC16" s="7">
        <v>5422.2385129521699</v>
      </c>
      <c r="BD16" s="8">
        <v>-479.71780172709055</v>
      </c>
      <c r="BE16" s="7">
        <v>1567.6481300689622</v>
      </c>
      <c r="BF16" s="8">
        <v>-0.66632865103117211</v>
      </c>
    </row>
    <row r="17" spans="1:58" x14ac:dyDescent="0.25">
      <c r="A17" s="11">
        <v>2523</v>
      </c>
      <c r="B17">
        <v>16</v>
      </c>
      <c r="C17" s="7">
        <v>180.72321428571428</v>
      </c>
      <c r="D17" s="8">
        <v>-34.883229615397688</v>
      </c>
      <c r="E17" s="7">
        <v>623.80178571428576</v>
      </c>
      <c r="F17" s="8">
        <v>-105.76949620549549</v>
      </c>
      <c r="G17" s="7">
        <v>231.15</v>
      </c>
      <c r="H17" s="8">
        <v>-55.176972117701027</v>
      </c>
      <c r="I17" s="7">
        <v>1234.0225254477339</v>
      </c>
      <c r="J17" s="8">
        <v>271.77896855488837</v>
      </c>
      <c r="K17" s="7">
        <v>437.28940557934135</v>
      </c>
      <c r="L17" s="8">
        <v>-14.478970099450597</v>
      </c>
      <c r="M17" s="7">
        <v>143.98760255058838</v>
      </c>
      <c r="N17" s="8">
        <v>13.332742250332855</v>
      </c>
      <c r="O17" s="7">
        <v>145.29264977035567</v>
      </c>
      <c r="P17" s="8">
        <v>-5.6758541339992679</v>
      </c>
      <c r="Q17" s="7">
        <v>5654.4832302295918</v>
      </c>
      <c r="R17" s="8">
        <v>-1307.6286638726785</v>
      </c>
      <c r="S17" s="7">
        <v>2105.5968239795916</v>
      </c>
      <c r="T17" s="8">
        <v>-719.55825477252392</v>
      </c>
      <c r="U17" s="7">
        <v>11114.510084787131</v>
      </c>
      <c r="V17" s="8">
        <v>977.58560273025535</v>
      </c>
      <c r="W17" s="7">
        <v>3930.1534326550318</v>
      </c>
      <c r="X17" s="8">
        <v>-301.49746008101971</v>
      </c>
      <c r="Y17" s="7">
        <v>1304.1656912616172</v>
      </c>
      <c r="Z17" s="8">
        <v>-11.075508337544614</v>
      </c>
      <c r="AA17" s="7">
        <v>1312.3411680145971</v>
      </c>
      <c r="AB17" s="8">
        <v>-106.49538071703012</v>
      </c>
      <c r="AC17" s="7">
        <v>7388.8744260204094</v>
      </c>
      <c r="AD17" s="8">
        <v>-1859.5444267208204</v>
      </c>
      <c r="AE17" s="7">
        <v>38300.441345529573</v>
      </c>
      <c r="AF17" s="8">
        <v>6144.6288786335126</v>
      </c>
      <c r="AG17" s="7">
        <v>13613.08353023617</v>
      </c>
      <c r="AH17" s="8">
        <v>-581.99912627407832</v>
      </c>
      <c r="AI17" s="7">
        <v>4567.8237782947726</v>
      </c>
      <c r="AJ17" s="8">
        <v>287.11693148828351</v>
      </c>
      <c r="AK17" s="7">
        <v>4595.4634402481452</v>
      </c>
      <c r="AL17" s="8">
        <v>-226.3737853947988</v>
      </c>
      <c r="AM17" s="7">
        <v>13987.872175658518</v>
      </c>
      <c r="AN17" s="8">
        <v>-348.77666418985655</v>
      </c>
      <c r="AO17" s="7">
        <v>5022.6434762008557</v>
      </c>
      <c r="AP17" s="8">
        <v>-543.3743574833461</v>
      </c>
      <c r="AQ17" s="7">
        <v>1744.6845368190766</v>
      </c>
      <c r="AR17" s="8">
        <v>-61.429905936488325</v>
      </c>
      <c r="AS17" s="7">
        <v>1734.8106550683128</v>
      </c>
      <c r="AT17" s="8">
        <v>-168.8505296285305</v>
      </c>
      <c r="AU17" s="7">
        <v>28064.075166301394</v>
      </c>
      <c r="AV17" s="8">
        <v>222.80861178614785</v>
      </c>
      <c r="AW17" s="7">
        <v>9003.0686518668081</v>
      </c>
      <c r="AX17" s="8">
        <v>1187.4263496316589</v>
      </c>
      <c r="AY17" s="7">
        <v>9255.8771562878446</v>
      </c>
      <c r="AZ17" s="8">
        <v>138.72053228260631</v>
      </c>
      <c r="BA17" s="7">
        <v>3290.8331950221836</v>
      </c>
      <c r="BB17" s="8">
        <v>-60.783188050675669</v>
      </c>
      <c r="BC17" s="7">
        <v>3750.2610315728434</v>
      </c>
      <c r="BD17" s="8">
        <v>-209.67308349350211</v>
      </c>
      <c r="BE17" s="7">
        <v>1123.0543305770382</v>
      </c>
      <c r="BF17" s="8">
        <v>-3.0698802472867124</v>
      </c>
    </row>
    <row r="18" spans="1:58" x14ac:dyDescent="0.25">
      <c r="A18" s="11">
        <v>2700</v>
      </c>
      <c r="B18">
        <v>17</v>
      </c>
      <c r="C18" s="7">
        <v>169.41587301587299</v>
      </c>
      <c r="D18" s="8">
        <v>-33.428433476088962</v>
      </c>
      <c r="E18" s="7">
        <v>610.10317460317458</v>
      </c>
      <c r="F18" s="8">
        <v>-103.09869584338965</v>
      </c>
      <c r="G18" s="7">
        <v>236.27936507936505</v>
      </c>
      <c r="H18" s="8">
        <v>-59.028256236153148</v>
      </c>
      <c r="I18" s="7">
        <v>1301.1669081386472</v>
      </c>
      <c r="J18" s="8">
        <v>292.94398000725943</v>
      </c>
      <c r="K18" s="7">
        <v>435.43800462520289</v>
      </c>
      <c r="L18" s="8">
        <v>-26.81809757595336</v>
      </c>
      <c r="M18" s="7">
        <v>155.61379584325897</v>
      </c>
      <c r="N18" s="8">
        <v>14.088746896859133</v>
      </c>
      <c r="O18" s="7">
        <v>141.28896135743474</v>
      </c>
      <c r="P18" s="8">
        <v>-7.2871438440172023</v>
      </c>
      <c r="Q18" s="7">
        <v>5193.1663315696651</v>
      </c>
      <c r="R18" s="8">
        <v>-1229.5695503664786</v>
      </c>
      <c r="S18" s="7">
        <v>2015.1404887881081</v>
      </c>
      <c r="T18" s="8">
        <v>-705.61764981858937</v>
      </c>
      <c r="U18" s="7">
        <v>11053.420770144661</v>
      </c>
      <c r="V18" s="8">
        <v>966.95492468271107</v>
      </c>
      <c r="W18" s="7">
        <v>3669.2592261459708</v>
      </c>
      <c r="X18" s="8">
        <v>-407.67538343261185</v>
      </c>
      <c r="Y18" s="7">
        <v>1328.4961000797757</v>
      </c>
      <c r="Z18" s="8">
        <v>-12.88838741873619</v>
      </c>
      <c r="AA18" s="7">
        <v>1199.6965723873036</v>
      </c>
      <c r="AB18" s="8">
        <v>-120.02238237299281</v>
      </c>
      <c r="AC18" s="7">
        <v>7411.9189821113614</v>
      </c>
      <c r="AD18" s="8">
        <v>-1958.7145970488461</v>
      </c>
      <c r="AE18" s="7">
        <v>39813.618031005019</v>
      </c>
      <c r="AF18" s="8">
        <v>6659.0894198763226</v>
      </c>
      <c r="AG18" s="7">
        <v>13183.649841836521</v>
      </c>
      <c r="AH18" s="8">
        <v>-979.12280130829106</v>
      </c>
      <c r="AI18" s="7">
        <v>4861.7767788727278</v>
      </c>
      <c r="AJ18" s="8">
        <v>300.1392664148118</v>
      </c>
      <c r="AK18" s="7">
        <v>4373.6195047370848</v>
      </c>
      <c r="AL18" s="8">
        <v>-272.70933355578052</v>
      </c>
      <c r="AM18" s="7">
        <v>15409.660509059015</v>
      </c>
      <c r="AN18" s="8">
        <v>-365.19650535251702</v>
      </c>
      <c r="AO18" s="7">
        <v>5126.2505960967546</v>
      </c>
      <c r="AP18" s="8">
        <v>-727.13711028420039</v>
      </c>
      <c r="AQ18" s="7">
        <v>1947.6482828711378</v>
      </c>
      <c r="AR18" s="8">
        <v>-91.777461007483069</v>
      </c>
      <c r="AS18" s="7">
        <v>1742.3195649476263</v>
      </c>
      <c r="AT18" s="8">
        <v>-205.3570752104348</v>
      </c>
      <c r="AU18" s="7">
        <v>28477.243641980345</v>
      </c>
      <c r="AV18" s="8">
        <v>-378.35931044431032</v>
      </c>
      <c r="AW18" s="7">
        <v>10219.080576366476</v>
      </c>
      <c r="AX18" s="8">
        <v>1427.4632233430361</v>
      </c>
      <c r="AY18" s="7">
        <v>9267.9645697170854</v>
      </c>
      <c r="AZ18" s="8">
        <v>84.616794593147006</v>
      </c>
      <c r="BA18" s="7">
        <v>3389.0012895930467</v>
      </c>
      <c r="BB18" s="8">
        <v>-146.50779269478613</v>
      </c>
      <c r="BC18" s="7">
        <v>3169.8152419473181</v>
      </c>
      <c r="BD18" s="8">
        <v>-324.80759027346818</v>
      </c>
      <c r="BE18" s="7">
        <v>1142.9080859964351</v>
      </c>
      <c r="BF18" s="8">
        <v>-11.300754306343734</v>
      </c>
    </row>
    <row r="19" spans="1:58" x14ac:dyDescent="0.25">
      <c r="A19" s="11">
        <v>2130</v>
      </c>
      <c r="B19">
        <v>18</v>
      </c>
      <c r="C19" s="7">
        <v>168.68571428571431</v>
      </c>
      <c r="D19" s="8">
        <v>-32.520579593530456</v>
      </c>
      <c r="E19" s="7">
        <v>619.28392857142876</v>
      </c>
      <c r="F19" s="8">
        <v>-105.32623857581207</v>
      </c>
      <c r="G19" s="7">
        <v>268.64464285714291</v>
      </c>
      <c r="H19" s="8">
        <v>-66.005586724318334</v>
      </c>
      <c r="I19" s="7">
        <v>1207.8478596530626</v>
      </c>
      <c r="J19" s="8">
        <v>257.27214004348707</v>
      </c>
      <c r="K19" s="7">
        <v>445.80473912716815</v>
      </c>
      <c r="L19" s="8">
        <v>-21.422413519494771</v>
      </c>
      <c r="M19" s="7">
        <v>157.02897800921173</v>
      </c>
      <c r="N19" s="8">
        <v>13.039783107853401</v>
      </c>
      <c r="O19" s="7">
        <v>142.66178677290523</v>
      </c>
      <c r="P19" s="8">
        <v>-6.2506842959476243</v>
      </c>
      <c r="Q19" s="7">
        <v>5227.0862500000012</v>
      </c>
      <c r="R19" s="8">
        <v>-1217.1769874820161</v>
      </c>
      <c r="S19" s="7">
        <v>2267.7233418367355</v>
      </c>
      <c r="T19" s="8">
        <v>-775.87353022938169</v>
      </c>
      <c r="U19" s="7">
        <v>10134.247470090646</v>
      </c>
      <c r="V19" s="8">
        <v>745.27226027908728</v>
      </c>
      <c r="W19" s="7">
        <v>3714.259739508173</v>
      </c>
      <c r="X19" s="8">
        <v>-361.32659024344599</v>
      </c>
      <c r="Y19" s="7">
        <v>1317.2896031065723</v>
      </c>
      <c r="Z19" s="8">
        <v>-27.597057667968272</v>
      </c>
      <c r="AA19" s="7">
        <v>1192.9067298213442</v>
      </c>
      <c r="AB19" s="8">
        <v>-113.00411192040707</v>
      </c>
      <c r="AC19" s="7">
        <v>8403.9001753826524</v>
      </c>
      <c r="AD19" s="8">
        <v>-2169.6895100852694</v>
      </c>
      <c r="AE19" s="7">
        <v>37163.508716061879</v>
      </c>
      <c r="AF19" s="8">
        <v>5639.9955616274556</v>
      </c>
      <c r="AG19" s="7">
        <v>13560.958029116979</v>
      </c>
      <c r="AH19" s="8">
        <v>-795.6008670049597</v>
      </c>
      <c r="AI19" s="7">
        <v>4886.2966808956771</v>
      </c>
      <c r="AJ19" s="8">
        <v>234.63334334030216</v>
      </c>
      <c r="AK19" s="7">
        <v>4416.2282473169162</v>
      </c>
      <c r="AL19" s="8">
        <v>-243.39251181029547</v>
      </c>
      <c r="AM19" s="7">
        <v>16128.283376809974</v>
      </c>
      <c r="AN19" s="8">
        <v>-577.4380549895028</v>
      </c>
      <c r="AO19" s="7">
        <v>5944.5980375632753</v>
      </c>
      <c r="AP19" s="8">
        <v>-766.07747970454261</v>
      </c>
      <c r="AQ19" s="7">
        <v>2158.6898327040858</v>
      </c>
      <c r="AR19" s="8">
        <v>-127.53672209829294</v>
      </c>
      <c r="AS19" s="7">
        <v>1935.7358626711141</v>
      </c>
      <c r="AT19" s="8">
        <v>-212.60655866829248</v>
      </c>
      <c r="AU19" s="7">
        <v>27742.819248317901</v>
      </c>
      <c r="AV19" s="8">
        <v>-405.52264078405472</v>
      </c>
      <c r="AW19" s="7">
        <v>9628.9626654054991</v>
      </c>
      <c r="AX19" s="8">
        <v>1167.7113941298153</v>
      </c>
      <c r="AY19" s="7">
        <v>8773.9061648763327</v>
      </c>
      <c r="AZ19" s="8">
        <v>22.489879812675255</v>
      </c>
      <c r="BA19" s="7">
        <v>3574.1824614629209</v>
      </c>
      <c r="BB19" s="8">
        <v>-153.94237979034335</v>
      </c>
      <c r="BC19" s="7">
        <v>3299.6676662104978</v>
      </c>
      <c r="BD19" s="8">
        <v>-304.54655598895147</v>
      </c>
      <c r="BE19" s="7">
        <v>1151.9124192292541</v>
      </c>
      <c r="BF19" s="8">
        <v>-12.27528356142396</v>
      </c>
    </row>
    <row r="20" spans="1:58" x14ac:dyDescent="0.25">
      <c r="A20" s="11">
        <v>2717</v>
      </c>
      <c r="B20">
        <v>19</v>
      </c>
      <c r="C20" s="7">
        <v>179.8031746031746</v>
      </c>
      <c r="D20" s="8">
        <v>-35.419416829413187</v>
      </c>
      <c r="E20" s="7">
        <v>614.99841269841249</v>
      </c>
      <c r="F20" s="8">
        <v>-105.21162352351901</v>
      </c>
      <c r="G20" s="7">
        <v>238.0063492063492</v>
      </c>
      <c r="H20" s="8">
        <v>-57.709405442096411</v>
      </c>
      <c r="I20" s="7">
        <v>1426.284928488793</v>
      </c>
      <c r="J20" s="8">
        <v>316.52971811555381</v>
      </c>
      <c r="K20" s="7">
        <v>501.16904452121923</v>
      </c>
      <c r="L20" s="8">
        <v>-20.193367240892513</v>
      </c>
      <c r="M20" s="7">
        <v>169.33395066357471</v>
      </c>
      <c r="N20" s="8">
        <v>15.9022533911793</v>
      </c>
      <c r="O20" s="7">
        <v>162.10856515863156</v>
      </c>
      <c r="P20" s="8">
        <v>-5.8943488211308006</v>
      </c>
      <c r="Q20" s="7">
        <v>5559.0798815822636</v>
      </c>
      <c r="R20" s="8">
        <v>-1333.9452942400178</v>
      </c>
      <c r="S20" s="7">
        <v>2155.496233308138</v>
      </c>
      <c r="T20" s="8">
        <v>-736.28470256542266</v>
      </c>
      <c r="U20" s="7">
        <v>12796.493290509918</v>
      </c>
      <c r="V20" s="8">
        <v>1055.7999928605354</v>
      </c>
      <c r="W20" s="7">
        <v>4465.2221088651559</v>
      </c>
      <c r="X20" s="8">
        <v>-377.66295288743811</v>
      </c>
      <c r="Y20" s="7">
        <v>1529.4053132924951</v>
      </c>
      <c r="Z20" s="8">
        <v>-11.396484765777231</v>
      </c>
      <c r="AA20" s="7">
        <v>1458.2467504848901</v>
      </c>
      <c r="AB20" s="8">
        <v>-121.3112328614059</v>
      </c>
      <c r="AC20" s="7">
        <v>7551.3624162257493</v>
      </c>
      <c r="AD20" s="8">
        <v>-1930.550575787835</v>
      </c>
      <c r="AE20" s="7">
        <v>43611.708892684204</v>
      </c>
      <c r="AF20" s="8">
        <v>7203.1865152291439</v>
      </c>
      <c r="AG20" s="7">
        <v>15226.480781413267</v>
      </c>
      <c r="AH20" s="8">
        <v>-768.58418960166466</v>
      </c>
      <c r="AI20" s="7">
        <v>5305.2005360260391</v>
      </c>
      <c r="AJ20" s="8">
        <v>346.41321922376244</v>
      </c>
      <c r="AK20" s="7">
        <v>5062.2840174026405</v>
      </c>
      <c r="AL20" s="8">
        <v>-233.49702659667398</v>
      </c>
      <c r="AM20" s="7">
        <v>16874.420546883473</v>
      </c>
      <c r="AN20" s="8">
        <v>-273.07254405780577</v>
      </c>
      <c r="AO20" s="7">
        <v>5895.7773121462824</v>
      </c>
      <c r="AP20" s="8">
        <v>-622.7939782851596</v>
      </c>
      <c r="AQ20" s="7">
        <v>2107.9444856916466</v>
      </c>
      <c r="AR20" s="8">
        <v>-70.22811677873618</v>
      </c>
      <c r="AS20" s="7">
        <v>1998.168351139363</v>
      </c>
      <c r="AT20" s="8">
        <v>-178.53030605738061</v>
      </c>
      <c r="AU20" s="7">
        <v>36379.986587741856</v>
      </c>
      <c r="AV20" s="8">
        <v>63.677656752190423</v>
      </c>
      <c r="AW20" s="7">
        <v>12182.988935448953</v>
      </c>
      <c r="AX20" s="8">
        <v>1693.1127990319039</v>
      </c>
      <c r="AY20" s="7">
        <v>11670.215610921949</v>
      </c>
      <c r="AZ20" s="8">
        <v>210.17716994005841</v>
      </c>
      <c r="BA20" s="7">
        <v>4287.4836820802775</v>
      </c>
      <c r="BB20" s="8">
        <v>-67.197027544977274</v>
      </c>
      <c r="BC20" s="7">
        <v>4211.2304905037126</v>
      </c>
      <c r="BD20" s="8">
        <v>-328.78785058214021</v>
      </c>
      <c r="BE20" s="7">
        <v>1426.7190978611175</v>
      </c>
      <c r="BF20" s="8">
        <v>13.251977215331577</v>
      </c>
    </row>
    <row r="21" spans="1:58" x14ac:dyDescent="0.25">
      <c r="A21" s="13">
        <v>2426</v>
      </c>
      <c r="B21">
        <v>20</v>
      </c>
      <c r="C21" s="7">
        <v>168.73571428571427</v>
      </c>
      <c r="D21" s="8">
        <v>-33.182080940858903</v>
      </c>
      <c r="E21" s="7">
        <v>604.19642857142867</v>
      </c>
      <c r="F21" s="8">
        <v>-103.13995466211431</v>
      </c>
      <c r="G21" s="7">
        <v>219.61071428571424</v>
      </c>
      <c r="H21" s="8">
        <v>-52.601634904618152</v>
      </c>
      <c r="I21" s="7">
        <v>1366.1231498918041</v>
      </c>
      <c r="J21" s="8">
        <v>301.48825156227196</v>
      </c>
      <c r="K21" s="7">
        <v>469.53129433646529</v>
      </c>
      <c r="L21" s="8">
        <v>-18.607821801878625</v>
      </c>
      <c r="M21" s="7">
        <v>165.9941431755739</v>
      </c>
      <c r="N21" s="8">
        <v>15.225687383220055</v>
      </c>
      <c r="O21" s="7">
        <v>146.81211135278639</v>
      </c>
      <c r="P21" s="8">
        <v>-6.1536642768457375</v>
      </c>
      <c r="Q21" s="7">
        <v>5104.5477806122444</v>
      </c>
      <c r="R21" s="8">
        <v>-1197.175395986533</v>
      </c>
      <c r="S21" s="7">
        <v>1865.9889030612239</v>
      </c>
      <c r="T21" s="8">
        <v>-638.05281275310585</v>
      </c>
      <c r="U21" s="7">
        <v>11534.853318607138</v>
      </c>
      <c r="V21" s="8">
        <v>929.59441429760864</v>
      </c>
      <c r="W21" s="7">
        <v>3936.7302043902132</v>
      </c>
      <c r="X21" s="8">
        <v>-354.88393106825134</v>
      </c>
      <c r="Y21" s="7">
        <v>1400.5518652029548</v>
      </c>
      <c r="Z21" s="8">
        <v>-25.450112543804202</v>
      </c>
      <c r="AA21" s="7">
        <v>1234.2050932215277</v>
      </c>
      <c r="AB21" s="8">
        <v>-118.00325739173414</v>
      </c>
      <c r="AC21" s="7">
        <v>6799.9307780612235</v>
      </c>
      <c r="AD21" s="8">
        <v>-1728.334203559089</v>
      </c>
      <c r="AE21" s="7">
        <v>41313.367323914092</v>
      </c>
      <c r="AF21" s="8">
        <v>6529.8886881104199</v>
      </c>
      <c r="AG21" s="7">
        <v>14096.130059089901</v>
      </c>
      <c r="AH21" s="8">
        <v>-705.42631437628893</v>
      </c>
      <c r="AI21" s="7">
        <v>5131.1641186109182</v>
      </c>
      <c r="AJ21" s="8">
        <v>288.7515812830913</v>
      </c>
      <c r="AK21" s="7">
        <v>4508.3084397571638</v>
      </c>
      <c r="AL21" s="8">
        <v>-235.04687363463543</v>
      </c>
      <c r="AM21" s="7">
        <v>14981.480664726938</v>
      </c>
      <c r="AN21" s="8">
        <v>-194.16796763721868</v>
      </c>
      <c r="AO21" s="7">
        <v>4991.1304088350253</v>
      </c>
      <c r="AP21" s="8">
        <v>-514.56199446486301</v>
      </c>
      <c r="AQ21" s="7">
        <v>1901.7334408777228</v>
      </c>
      <c r="AR21" s="8">
        <v>-68.717351320705831</v>
      </c>
      <c r="AS21" s="7">
        <v>1633.2951445900237</v>
      </c>
      <c r="AT21" s="8">
        <v>-151.0042865821369</v>
      </c>
      <c r="AU21" s="7">
        <v>32237.843837918233</v>
      </c>
      <c r="AV21" s="8">
        <v>114.07567377755127</v>
      </c>
      <c r="AW21" s="7">
        <v>11372.887877995485</v>
      </c>
      <c r="AX21" s="8">
        <v>1558.6424337025035</v>
      </c>
      <c r="AY21" s="7">
        <v>10091.162094071786</v>
      </c>
      <c r="AZ21" s="8">
        <v>113.85298233996041</v>
      </c>
      <c r="BA21" s="7">
        <v>3904.9364855898079</v>
      </c>
      <c r="BB21" s="8">
        <v>-55.194556633384011</v>
      </c>
      <c r="BC21" s="7">
        <v>3577.5147268157434</v>
      </c>
      <c r="BD21" s="8">
        <v>-278.93062910623473</v>
      </c>
      <c r="BE21" s="7">
        <v>1263.4570573208321</v>
      </c>
      <c r="BF21" s="8">
        <v>-0.59819743034610751</v>
      </c>
    </row>
    <row r="22" spans="1:58" x14ac:dyDescent="0.25">
      <c r="A22" s="11">
        <v>2658.7473002159827</v>
      </c>
      <c r="B22">
        <v>21</v>
      </c>
      <c r="C22" s="7">
        <v>178.18392857142854</v>
      </c>
      <c r="D22" s="8">
        <v>-34.316418889804865</v>
      </c>
      <c r="E22" s="7">
        <v>619.99642857142862</v>
      </c>
      <c r="F22" s="8">
        <v>-105.55477165267786</v>
      </c>
      <c r="G22" s="7">
        <v>245.3821428571429</v>
      </c>
      <c r="H22" s="8">
        <v>-59.68064645414205</v>
      </c>
      <c r="I22" s="7">
        <v>1412.6214445832002</v>
      </c>
      <c r="J22" s="8">
        <v>312.1819767007662</v>
      </c>
      <c r="K22" s="7">
        <v>521.54864220608408</v>
      </c>
      <c r="L22" s="8">
        <v>-24.743132908878554</v>
      </c>
      <c r="M22" s="7">
        <v>166.57400396059975</v>
      </c>
      <c r="N22" s="8">
        <v>14.796645547597223</v>
      </c>
      <c r="O22" s="7">
        <v>145.51984513954193</v>
      </c>
      <c r="P22" s="8">
        <v>-4.6790963836101733</v>
      </c>
      <c r="Q22" s="7">
        <v>5537.0437308673463</v>
      </c>
      <c r="R22" s="8">
        <v>-1285.9909785420455</v>
      </c>
      <c r="S22" s="7">
        <v>2189.7854910714282</v>
      </c>
      <c r="T22" s="8">
        <v>-748.09723650360115</v>
      </c>
      <c r="U22" s="7">
        <v>12581.65972255126</v>
      </c>
      <c r="V22" s="8">
        <v>1064.6482996419004</v>
      </c>
      <c r="W22" s="7">
        <v>4605.4419042135942</v>
      </c>
      <c r="X22" s="8">
        <v>-420.25905762489299</v>
      </c>
      <c r="Y22" s="7">
        <v>1485.6064834260142</v>
      </c>
      <c r="Z22" s="8">
        <v>-15.81233600458998</v>
      </c>
      <c r="AA22" s="7">
        <v>1294.5653948746044</v>
      </c>
      <c r="AB22" s="8">
        <v>-105.49816447177469</v>
      </c>
      <c r="AC22" s="7">
        <v>7739.6321045918348</v>
      </c>
      <c r="AD22" s="8">
        <v>-1982.9129347393703</v>
      </c>
      <c r="AE22" s="7">
        <v>43715.48540034188</v>
      </c>
      <c r="AF22" s="8">
        <v>7038.7455596309474</v>
      </c>
      <c r="AG22" s="7">
        <v>15908.355627949453</v>
      </c>
      <c r="AH22" s="8">
        <v>-994.36403555378786</v>
      </c>
      <c r="AI22" s="7">
        <v>5232.4496077574613</v>
      </c>
      <c r="AJ22" s="8">
        <v>278.70767496500866</v>
      </c>
      <c r="AK22" s="7">
        <v>4571.8025608976741</v>
      </c>
      <c r="AL22" s="8">
        <v>-223.01102642460489</v>
      </c>
      <c r="AM22" s="7">
        <v>17186.878824766638</v>
      </c>
      <c r="AN22" s="8">
        <v>-310.58844990711879</v>
      </c>
      <c r="AO22" s="7">
        <v>6334.9172853720183</v>
      </c>
      <c r="AP22" s="8">
        <v>-793.79932155584231</v>
      </c>
      <c r="AQ22" s="7">
        <v>2109.8633194966583</v>
      </c>
      <c r="AR22" s="8">
        <v>-97.633061731489121</v>
      </c>
      <c r="AS22" s="7">
        <v>1857.8219113697814</v>
      </c>
      <c r="AT22" s="8">
        <v>-185.71434991482496</v>
      </c>
      <c r="AU22" s="7">
        <v>36743.126399227905</v>
      </c>
      <c r="AV22" s="8">
        <v>-288.99294281828492</v>
      </c>
      <c r="AW22" s="7">
        <v>11804.248367906184</v>
      </c>
      <c r="AX22" s="8">
        <v>1594.4203404444661</v>
      </c>
      <c r="AY22" s="7">
        <v>10272.596633410616</v>
      </c>
      <c r="AZ22" s="8">
        <v>244.51342204415394</v>
      </c>
      <c r="BA22" s="7">
        <v>4296.2706755547924</v>
      </c>
      <c r="BB22" s="8">
        <v>-160.10789362250389</v>
      </c>
      <c r="BC22" s="7">
        <v>3802.7134086684914</v>
      </c>
      <c r="BD22" s="8">
        <v>-297.21693576862776</v>
      </c>
      <c r="BE22" s="7">
        <v>1253.148166595593</v>
      </c>
      <c r="BF22" s="8">
        <v>3.0541359422073198</v>
      </c>
    </row>
    <row r="23" spans="1:58" x14ac:dyDescent="0.25">
      <c r="A23" s="11">
        <v>2503.6710719530106</v>
      </c>
      <c r="B23">
        <v>22</v>
      </c>
      <c r="C23" s="7">
        <v>169.18714285714285</v>
      </c>
      <c r="D23" s="8">
        <v>-33.334793254477688</v>
      </c>
      <c r="E23" s="7">
        <v>601.84285714285727</v>
      </c>
      <c r="F23" s="8">
        <v>-101.58413086514062</v>
      </c>
      <c r="G23" s="7">
        <v>275.24285714285713</v>
      </c>
      <c r="H23" s="8">
        <v>-66.215462897765107</v>
      </c>
      <c r="I23" s="7">
        <v>1399.1236485766929</v>
      </c>
      <c r="J23" s="8">
        <v>304.6561128975826</v>
      </c>
      <c r="K23" s="7">
        <v>546.91923919204271</v>
      </c>
      <c r="L23" s="8">
        <v>-20.063265461338201</v>
      </c>
      <c r="M23" s="7">
        <v>183.48540267356205</v>
      </c>
      <c r="N23" s="8">
        <v>17.748326796753144</v>
      </c>
      <c r="O23" s="7">
        <v>169.39289872291803</v>
      </c>
      <c r="P23" s="8">
        <v>-6.9072030034742049</v>
      </c>
      <c r="Q23" s="7">
        <v>5103.7995102040823</v>
      </c>
      <c r="R23" s="8">
        <v>-1192.326619809324</v>
      </c>
      <c r="S23" s="7">
        <v>2335.4170408163268</v>
      </c>
      <c r="T23" s="8">
        <v>-790.09194907468316</v>
      </c>
      <c r="U23" s="7">
        <v>11834.002071612775</v>
      </c>
      <c r="V23" s="8">
        <v>929.0699852953768</v>
      </c>
      <c r="W23" s="7">
        <v>4588.797627884891</v>
      </c>
      <c r="X23" s="8">
        <v>-406.55161249621801</v>
      </c>
      <c r="Y23" s="7">
        <v>1554.2476475829108</v>
      </c>
      <c r="Z23" s="8">
        <v>-11.199269577174414</v>
      </c>
      <c r="AA23" s="7">
        <v>1429.9992022695897</v>
      </c>
      <c r="AB23" s="8">
        <v>-130.91680122230684</v>
      </c>
      <c r="AC23" s="7">
        <v>8409.2173469387762</v>
      </c>
      <c r="AD23" s="8">
        <v>-2120.2911702218289</v>
      </c>
      <c r="AE23" s="7">
        <v>42057.321119262931</v>
      </c>
      <c r="AF23" s="8">
        <v>6524.7653466166366</v>
      </c>
      <c r="AG23" s="7">
        <v>16376.71567478376</v>
      </c>
      <c r="AH23" s="8">
        <v>-822.29840464878168</v>
      </c>
      <c r="AI23" s="7">
        <v>5588.9515940558076</v>
      </c>
      <c r="AJ23" s="8">
        <v>349.86780016266601</v>
      </c>
      <c r="AK23" s="7">
        <v>5136.4503571991245</v>
      </c>
      <c r="AL23" s="8">
        <v>-271.7855753497883</v>
      </c>
      <c r="AM23" s="7">
        <v>19258.604250139932</v>
      </c>
      <c r="AN23" s="8">
        <v>-316.94918609840869</v>
      </c>
      <c r="AO23" s="7">
        <v>7509.7624945257267</v>
      </c>
      <c r="AP23" s="8">
        <v>-776.35207702102969</v>
      </c>
      <c r="AQ23" s="7">
        <v>2600.8283680023687</v>
      </c>
      <c r="AR23" s="8">
        <v>-90.766642621377542</v>
      </c>
      <c r="AS23" s="7">
        <v>2378.3734325408604</v>
      </c>
      <c r="AT23" s="8">
        <v>-226.99591826486929</v>
      </c>
      <c r="AU23" s="7">
        <v>38914.114035737402</v>
      </c>
      <c r="AV23" s="8">
        <v>336.75346367387408</v>
      </c>
      <c r="AW23" s="7">
        <v>12996.312890664763</v>
      </c>
      <c r="AX23" s="8">
        <v>1829.4781853755155</v>
      </c>
      <c r="AY23" s="7">
        <v>12007.913046342888</v>
      </c>
      <c r="AZ23" s="8">
        <v>152.67537111770494</v>
      </c>
      <c r="BA23" s="7">
        <v>5056.8546725603637</v>
      </c>
      <c r="BB23" s="8">
        <v>-52.483412695228907</v>
      </c>
      <c r="BC23" s="7">
        <v>4742.1252621233198</v>
      </c>
      <c r="BD23" s="8">
        <v>-363.02950000087952</v>
      </c>
      <c r="BE23" s="7">
        <v>1591.3639691565822</v>
      </c>
      <c r="BF23" s="8">
        <v>11.993482991716457</v>
      </c>
    </row>
    <row r="24" spans="1:58" x14ac:dyDescent="0.25">
      <c r="A24" s="11">
        <v>2855</v>
      </c>
      <c r="B24">
        <v>23</v>
      </c>
      <c r="C24" s="7">
        <v>170.21785714285716</v>
      </c>
      <c r="D24" s="8">
        <v>-34.077287260660079</v>
      </c>
      <c r="E24" s="7">
        <v>588.30357142857144</v>
      </c>
      <c r="F24" s="8">
        <v>-100.85814472199243</v>
      </c>
      <c r="G24" s="7">
        <v>224.33571428571432</v>
      </c>
      <c r="H24" s="8">
        <v>-55.640865757101629</v>
      </c>
      <c r="I24" s="7">
        <v>1499.6103581411926</v>
      </c>
      <c r="J24" s="8">
        <v>339.8220421253435</v>
      </c>
      <c r="K24" s="7">
        <v>418.05789936237682</v>
      </c>
      <c r="L24" s="8">
        <v>-13.829487146737749</v>
      </c>
      <c r="M24" s="7">
        <v>168.12206968321402</v>
      </c>
      <c r="N24" s="8">
        <v>16.473641236511153</v>
      </c>
      <c r="O24" s="7">
        <v>123.75274482356171</v>
      </c>
      <c r="P24" s="8">
        <v>-3.2716512920427734</v>
      </c>
      <c r="Q24" s="7">
        <v>5033.2166007653059</v>
      </c>
      <c r="R24" s="8">
        <v>-1215.4117182666496</v>
      </c>
      <c r="S24" s="7">
        <v>1902.0278698979591</v>
      </c>
      <c r="T24" s="8">
        <v>-653.14124374854032</v>
      </c>
      <c r="U24" s="7">
        <v>12775.634142826728</v>
      </c>
      <c r="V24" s="8">
        <v>1084.2882315604325</v>
      </c>
      <c r="W24" s="7">
        <v>3476.8625812303144</v>
      </c>
      <c r="X24" s="8">
        <v>-286.68129213774671</v>
      </c>
      <c r="Y24" s="7">
        <v>1430.602820684778</v>
      </c>
      <c r="Z24" s="8">
        <v>-7.5482680279000549</v>
      </c>
      <c r="AA24" s="7">
        <v>1041.900209022506</v>
      </c>
      <c r="AB24" s="8">
        <v>-80.763010335636238</v>
      </c>
      <c r="AC24" s="7">
        <v>6856.4536479591834</v>
      </c>
      <c r="AD24" s="8">
        <v>-1790.561779148187</v>
      </c>
      <c r="AE24" s="7">
        <v>44316.487948553389</v>
      </c>
      <c r="AF24" s="8">
        <v>7573.906872442587</v>
      </c>
      <c r="AG24" s="7">
        <v>12189.845740914234</v>
      </c>
      <c r="AH24" s="8">
        <v>-482.85083001427887</v>
      </c>
      <c r="AI24" s="7">
        <v>5102.786887813405</v>
      </c>
      <c r="AJ24" s="8">
        <v>367.79065144262273</v>
      </c>
      <c r="AK24" s="7">
        <v>3731.6864153471611</v>
      </c>
      <c r="AL24" s="8">
        <v>-119.20219703138103</v>
      </c>
      <c r="AM24" s="7">
        <v>16936.478783778519</v>
      </c>
      <c r="AN24" s="8">
        <v>-384.75717915220451</v>
      </c>
      <c r="AO24" s="7">
        <v>4745.3124804196623</v>
      </c>
      <c r="AP24" s="8">
        <v>-507.67355397577285</v>
      </c>
      <c r="AQ24" s="7">
        <v>2021.6593637009942</v>
      </c>
      <c r="AR24" s="8">
        <v>-74.526457026145692</v>
      </c>
      <c r="AS24" s="7">
        <v>1488.0731685995049</v>
      </c>
      <c r="AT24" s="8">
        <v>-128.09372185798804</v>
      </c>
      <c r="AU24" s="7">
        <v>31800.069501171514</v>
      </c>
      <c r="AV24" s="8">
        <v>653.99563583418796</v>
      </c>
      <c r="AW24" s="7">
        <v>12802.756400527518</v>
      </c>
      <c r="AX24" s="8">
        <v>1890.5892498034391</v>
      </c>
      <c r="AY24" s="7">
        <v>9473.6663697417462</v>
      </c>
      <c r="AZ24" s="8">
        <v>346.25959009323208</v>
      </c>
      <c r="BA24" s="7">
        <v>3589.3158539115439</v>
      </c>
      <c r="BB24" s="8">
        <v>10.798826834824133</v>
      </c>
      <c r="BC24" s="7">
        <v>2790.7800066796399</v>
      </c>
      <c r="BD24" s="8">
        <v>-132.07008436525072</v>
      </c>
      <c r="BE24" s="7">
        <v>1116.1107353315747</v>
      </c>
      <c r="BF24" s="8">
        <v>32.161798550780475</v>
      </c>
    </row>
    <row r="25" spans="1:58" x14ac:dyDescent="0.25">
      <c r="A25" s="11">
        <v>2105</v>
      </c>
      <c r="B25">
        <v>24</v>
      </c>
      <c r="C25" s="7">
        <v>161.17678571428567</v>
      </c>
      <c r="D25" s="8">
        <v>-35.499036347969685</v>
      </c>
      <c r="E25" s="7">
        <v>621.41249999999991</v>
      </c>
      <c r="F25" s="8">
        <v>-105.32639530342568</v>
      </c>
      <c r="G25" s="7">
        <v>270.21250000000009</v>
      </c>
      <c r="H25" s="8">
        <v>-68.443982095689606</v>
      </c>
      <c r="I25" s="7">
        <v>1472.216368389111</v>
      </c>
      <c r="J25" s="8">
        <v>316.64831113539759</v>
      </c>
      <c r="K25" s="7">
        <v>507.65543123131829</v>
      </c>
      <c r="L25" s="8">
        <v>-20.718194607462415</v>
      </c>
      <c r="M25" s="7">
        <v>190.75780892027913</v>
      </c>
      <c r="N25" s="8">
        <v>16.046699589303781</v>
      </c>
      <c r="O25" s="7">
        <v>158.71639867879469</v>
      </c>
      <c r="P25" s="8">
        <v>-7.3485886343856111</v>
      </c>
      <c r="Q25" s="7">
        <v>5073.2192761479591</v>
      </c>
      <c r="R25" s="8">
        <v>-1297.036305042363</v>
      </c>
      <c r="S25" s="7">
        <v>2214.5004751275515</v>
      </c>
      <c r="T25" s="8">
        <v>-786.74652548481367</v>
      </c>
      <c r="U25" s="7">
        <v>11708.7864673938</v>
      </c>
      <c r="V25" s="8">
        <v>857.58487513430327</v>
      </c>
      <c r="W25" s="7">
        <v>3895.0923920250034</v>
      </c>
      <c r="X25" s="8">
        <v>-369.49939449284147</v>
      </c>
      <c r="Y25" s="7">
        <v>1540.2945079522178</v>
      </c>
      <c r="Z25" s="8">
        <v>-21.855141740273829</v>
      </c>
      <c r="AA25" s="7">
        <v>1247.0375731245654</v>
      </c>
      <c r="AB25" s="8">
        <v>-118.50903620652313</v>
      </c>
      <c r="AC25" s="7">
        <v>8501.8790082908163</v>
      </c>
      <c r="AD25" s="8">
        <v>-2245.7514401698422</v>
      </c>
      <c r="AE25" s="7">
        <v>45569.387835897236</v>
      </c>
      <c r="AF25" s="8">
        <v>7054.7112969063537</v>
      </c>
      <c r="AG25" s="7">
        <v>15460.736271471276</v>
      </c>
      <c r="AH25" s="8">
        <v>-830.14974124706862</v>
      </c>
      <c r="AI25" s="7">
        <v>5974.7521618979854</v>
      </c>
      <c r="AJ25" s="8">
        <v>309.64527505283718</v>
      </c>
      <c r="AK25" s="7">
        <v>4908.8338056197408</v>
      </c>
      <c r="AL25" s="8">
        <v>-282.10048495451622</v>
      </c>
      <c r="AM25" s="7">
        <v>19776.972921081946</v>
      </c>
      <c r="AN25" s="8">
        <v>-582.33305061611134</v>
      </c>
      <c r="AO25" s="7">
        <v>6915.2672588670303</v>
      </c>
      <c r="AP25" s="8">
        <v>-904.46158403290974</v>
      </c>
      <c r="AQ25" s="7">
        <v>2660.0109614035341</v>
      </c>
      <c r="AR25" s="8">
        <v>-167.11736343456226</v>
      </c>
      <c r="AS25" s="7">
        <v>2206.8114357035597</v>
      </c>
      <c r="AT25" s="8">
        <v>-273.85730281767064</v>
      </c>
      <c r="AU25" s="7">
        <v>37984.155263141263</v>
      </c>
      <c r="AV25" s="8">
        <v>81.590148745249735</v>
      </c>
      <c r="AW25" s="7">
        <v>14109.40030502761</v>
      </c>
      <c r="AX25" s="8">
        <v>1805.5427830243934</v>
      </c>
      <c r="AY25" s="7">
        <v>11814.059981545304</v>
      </c>
      <c r="AZ25" s="8">
        <v>119.76654311177857</v>
      </c>
      <c r="BA25" s="7">
        <v>4996.7564129517596</v>
      </c>
      <c r="BB25" s="8">
        <v>-115.53630091750223</v>
      </c>
      <c r="BC25" s="7">
        <v>4391.4621043906018</v>
      </c>
      <c r="BD25" s="8">
        <v>-336.24032728294111</v>
      </c>
      <c r="BE25" s="7">
        <v>1583.6531696739146</v>
      </c>
      <c r="BF25" s="8">
        <v>-14.848007802807416</v>
      </c>
    </row>
    <row r="26" spans="1:58" x14ac:dyDescent="0.25">
      <c r="A26" s="11">
        <v>2752</v>
      </c>
      <c r="B26">
        <v>25</v>
      </c>
      <c r="C26" s="7">
        <v>164.72837662337662</v>
      </c>
      <c r="D26" s="8">
        <v>-31.805849950746619</v>
      </c>
      <c r="E26" s="7">
        <v>611.55076530612246</v>
      </c>
      <c r="F26" s="8">
        <v>-103.40385775896084</v>
      </c>
      <c r="G26" s="7">
        <v>235.17602040816325</v>
      </c>
      <c r="H26" s="8">
        <v>-56.665164185513447</v>
      </c>
      <c r="I26" s="7">
        <v>1461.4037943029386</v>
      </c>
      <c r="J26" s="8">
        <v>317.47812562292637</v>
      </c>
      <c r="K26" s="7">
        <v>531.96089089993666</v>
      </c>
      <c r="L26" s="8">
        <v>-20.562944797766033</v>
      </c>
      <c r="M26" s="7">
        <v>176.76525575466329</v>
      </c>
      <c r="N26" s="8">
        <v>14.797765164700708</v>
      </c>
      <c r="O26" s="7">
        <v>163.27435582629158</v>
      </c>
      <c r="P26" s="8">
        <v>-7.4768809634114115</v>
      </c>
      <c r="Q26" s="7">
        <v>5067.4851234842963</v>
      </c>
      <c r="R26" s="8">
        <v>-1187.1578748556904</v>
      </c>
      <c r="S26" s="7">
        <v>1953.9116909455336</v>
      </c>
      <c r="T26" s="8">
        <v>-685.06654084981596</v>
      </c>
      <c r="U26" s="7">
        <v>11960.797921263815</v>
      </c>
      <c r="V26" s="8">
        <v>1068.4604078575819</v>
      </c>
      <c r="W26" s="7">
        <v>4207.1464808743613</v>
      </c>
      <c r="X26" s="8">
        <v>-371.08805350916879</v>
      </c>
      <c r="Y26" s="7">
        <v>1441.7373275148491</v>
      </c>
      <c r="Z26" s="8">
        <v>-18.155438248528032</v>
      </c>
      <c r="AA26" s="7">
        <v>1303.6699282661682</v>
      </c>
      <c r="AB26" s="8">
        <v>-124.36653719811022</v>
      </c>
      <c r="AC26" s="7">
        <v>7355.617420736151</v>
      </c>
      <c r="AD26" s="8">
        <v>-1867.1762612223156</v>
      </c>
      <c r="AE26" s="7">
        <v>44534.64960466716</v>
      </c>
      <c r="AF26" s="8">
        <v>6913.4309042528812</v>
      </c>
      <c r="AG26" s="7">
        <v>15972.882164661569</v>
      </c>
      <c r="AH26" s="8">
        <v>-850.26970234074395</v>
      </c>
      <c r="AI26" s="7">
        <v>5475.8814391840715</v>
      </c>
      <c r="AJ26" s="8">
        <v>262.51479106934545</v>
      </c>
      <c r="AK26" s="7">
        <v>4987.5504438160169</v>
      </c>
      <c r="AL26" s="8">
        <v>-292.79748885261654</v>
      </c>
      <c r="AM26" s="7">
        <v>16846.729711775213</v>
      </c>
      <c r="AN26" s="8">
        <v>-445.80854378009093</v>
      </c>
      <c r="AO26" s="7">
        <v>6064.205580461612</v>
      </c>
      <c r="AP26" s="8">
        <v>-724.01784738896379</v>
      </c>
      <c r="AQ26" s="7">
        <v>2139.0476664878779</v>
      </c>
      <c r="AR26" s="8">
        <v>-114.88473104486451</v>
      </c>
      <c r="AS26" s="7">
        <v>1918.7163518103048</v>
      </c>
      <c r="AT26" s="8">
        <v>-212.49013861407553</v>
      </c>
      <c r="AU26" s="7">
        <v>39456.81319533466</v>
      </c>
      <c r="AV26" s="8">
        <v>159.872229074252</v>
      </c>
      <c r="AW26" s="7">
        <v>12961.363928501059</v>
      </c>
      <c r="AX26" s="8">
        <v>1638.298711384354</v>
      </c>
      <c r="AY26" s="7">
        <v>12064.86608196262</v>
      </c>
      <c r="AZ26" s="8">
        <v>67.774633771886911</v>
      </c>
      <c r="BA26" s="7">
        <v>4735.5842006388693</v>
      </c>
      <c r="BB26" s="8">
        <v>-124.3850586495832</v>
      </c>
      <c r="BC26" s="7">
        <v>4559.3731022348584</v>
      </c>
      <c r="BD26" s="8">
        <v>-362.54447711440355</v>
      </c>
      <c r="BE26" s="7">
        <v>1478.7005745706574</v>
      </c>
      <c r="BF26" s="8">
        <v>-24.450888798545815</v>
      </c>
    </row>
    <row r="27" spans="1:58" x14ac:dyDescent="0.25">
      <c r="A27" s="12">
        <v>2915</v>
      </c>
      <c r="B27">
        <v>26</v>
      </c>
      <c r="C27" s="7">
        <v>178.5</v>
      </c>
      <c r="D27" s="8">
        <v>-33.924952322926842</v>
      </c>
      <c r="E27" s="7">
        <v>605.5625</v>
      </c>
      <c r="F27" s="8">
        <v>-101.25243974279972</v>
      </c>
      <c r="G27" s="7">
        <v>236.94285714285712</v>
      </c>
      <c r="H27" s="8">
        <v>-55.284700309911351</v>
      </c>
      <c r="I27" s="7">
        <v>1565.4593387865366</v>
      </c>
      <c r="J27" s="8">
        <v>359.55957663882748</v>
      </c>
      <c r="K27" s="7">
        <v>744.1375023068473</v>
      </c>
      <c r="L27" s="8">
        <v>-10.912633918415054</v>
      </c>
      <c r="M27" s="7">
        <v>188.11623888838838</v>
      </c>
      <c r="N27" s="8">
        <v>18.583756687052354</v>
      </c>
      <c r="O27" s="7">
        <v>208.98022954197714</v>
      </c>
      <c r="P27" s="8">
        <v>-4.3001586372268079</v>
      </c>
      <c r="Q27" s="7">
        <v>5409.4889285714289</v>
      </c>
      <c r="R27" s="8">
        <v>-1213.8659621080683</v>
      </c>
      <c r="S27" s="7">
        <v>2117.3420408163265</v>
      </c>
      <c r="T27" s="8">
        <v>-721.09668883581435</v>
      </c>
      <c r="U27" s="7">
        <v>13943.975436946335</v>
      </c>
      <c r="V27" s="8">
        <v>1297.4731753548256</v>
      </c>
      <c r="W27" s="7">
        <v>6511.4201280551006</v>
      </c>
      <c r="X27" s="8">
        <v>-458.35751001025812</v>
      </c>
      <c r="Y27" s="7">
        <v>1676.4558332383374</v>
      </c>
      <c r="Z27" s="8">
        <v>-14.160470954623815</v>
      </c>
      <c r="AA27" s="7">
        <v>1834.6589768585943</v>
      </c>
      <c r="AB27" s="8">
        <v>-141.43250042717935</v>
      </c>
      <c r="AC27" s="7">
        <v>7294.5827551020393</v>
      </c>
      <c r="AD27" s="8">
        <v>-1822.9033854861812</v>
      </c>
      <c r="AE27" s="7">
        <v>47392.145507250942</v>
      </c>
      <c r="AF27" s="8">
        <v>7869.4730222085182</v>
      </c>
      <c r="AG27" s="7">
        <v>22455.603529310054</v>
      </c>
      <c r="AH27" s="8">
        <v>-610.30004623968432</v>
      </c>
      <c r="AI27" s="7">
        <v>5756.4569108965406</v>
      </c>
      <c r="AJ27" s="8">
        <v>360.65658423788244</v>
      </c>
      <c r="AK27" s="7">
        <v>6359.8592709383374</v>
      </c>
      <c r="AL27" s="8">
        <v>-218.30356790691926</v>
      </c>
      <c r="AM27" s="7">
        <v>18574.706238756902</v>
      </c>
      <c r="AN27" s="8">
        <v>26.402048492711351</v>
      </c>
      <c r="AO27" s="7">
        <v>8880.8198978622022</v>
      </c>
      <c r="AP27" s="8">
        <v>-644.02518000757823</v>
      </c>
      <c r="AQ27" s="7">
        <v>2345.3819698309217</v>
      </c>
      <c r="AR27" s="8">
        <v>-30.495763770087798</v>
      </c>
      <c r="AS27" s="7">
        <v>2589.4703395548258</v>
      </c>
      <c r="AT27" s="8">
        <v>-157.64293144334255</v>
      </c>
      <c r="AU27" s="7">
        <v>59375.252436336719</v>
      </c>
      <c r="AV27" s="8">
        <v>2376.8371242298467</v>
      </c>
      <c r="AW27" s="7">
        <v>14739.817032184119</v>
      </c>
      <c r="AX27" s="8">
        <v>2193.2758264525687</v>
      </c>
      <c r="AY27" s="7">
        <v>16614.989193601337</v>
      </c>
      <c r="AZ27" s="8">
        <v>651.10583187632301</v>
      </c>
      <c r="BA27" s="7">
        <v>7073.6117939433398</v>
      </c>
      <c r="BB27" s="8">
        <v>93.901484318892628</v>
      </c>
      <c r="BC27" s="7">
        <v>8556.2152120390419</v>
      </c>
      <c r="BD27" s="8">
        <v>-303.52119072117483</v>
      </c>
      <c r="BE27" s="7">
        <v>2033.0474752018144</v>
      </c>
      <c r="BF27" s="8">
        <v>59.720918345630331</v>
      </c>
    </row>
    <row r="28" spans="1:58" x14ac:dyDescent="0.25">
      <c r="A28" s="12">
        <v>3091</v>
      </c>
      <c r="B28">
        <v>27</v>
      </c>
      <c r="C28" s="7">
        <v>135.08106782106782</v>
      </c>
      <c r="D28" s="8">
        <v>-25.452748831701797</v>
      </c>
      <c r="E28" s="7">
        <v>580.58986880466466</v>
      </c>
      <c r="F28" s="8">
        <v>-97.703891809134163</v>
      </c>
      <c r="G28" s="7">
        <v>212.9064504373178</v>
      </c>
      <c r="H28" s="8">
        <v>-50.921648273821177</v>
      </c>
      <c r="I28" s="7">
        <v>1469.8477609235201</v>
      </c>
      <c r="J28" s="8">
        <v>327.12534787751616</v>
      </c>
      <c r="K28" s="7">
        <v>559.04510025858508</v>
      </c>
      <c r="L28" s="8">
        <v>-22.389825329968367</v>
      </c>
      <c r="M28" s="7">
        <v>177.49224056212475</v>
      </c>
      <c r="N28" s="8">
        <v>19.197370234776269</v>
      </c>
      <c r="O28" s="7">
        <v>148.27010029332931</v>
      </c>
      <c r="P28" s="8">
        <v>-4.0117083745223114</v>
      </c>
      <c r="Q28" s="7">
        <v>3910.1001884388552</v>
      </c>
      <c r="R28" s="8">
        <v>-883.25610684596916</v>
      </c>
      <c r="S28" s="7">
        <v>1426.1402535653378</v>
      </c>
      <c r="T28" s="8">
        <v>-499.27276550496225</v>
      </c>
      <c r="U28" s="7">
        <v>9663.9851138719805</v>
      </c>
      <c r="V28" s="8">
        <v>896.80998227985708</v>
      </c>
      <c r="W28" s="7">
        <v>3753.0558981011282</v>
      </c>
      <c r="X28" s="8">
        <v>-422.83688944513534</v>
      </c>
      <c r="Y28" s="7">
        <v>1122.6815021763384</v>
      </c>
      <c r="Z28" s="8">
        <v>-7.1985432070813662</v>
      </c>
      <c r="AA28" s="7">
        <v>930.28330666604518</v>
      </c>
      <c r="AB28" s="8">
        <v>-88.790949409872113</v>
      </c>
      <c r="AC28" s="7">
        <v>6362.9574268932374</v>
      </c>
      <c r="AD28" s="8">
        <v>-1622.2834872548924</v>
      </c>
      <c r="AE28" s="7">
        <v>42802.229998662318</v>
      </c>
      <c r="AF28" s="8">
        <v>7175.6355507693088</v>
      </c>
      <c r="AG28" s="7">
        <v>16171.728329069563</v>
      </c>
      <c r="AH28" s="8">
        <v>-760.91526867808818</v>
      </c>
      <c r="AI28" s="7">
        <v>5295.5036606992662</v>
      </c>
      <c r="AJ28" s="8">
        <v>434.97070492538296</v>
      </c>
      <c r="AK28" s="7">
        <v>4376.046283490361</v>
      </c>
      <c r="AL28" s="8">
        <v>-146.50874363156441</v>
      </c>
      <c r="AM28" s="7">
        <v>15819.740410191069</v>
      </c>
      <c r="AN28" s="8">
        <v>-12.319543510654404</v>
      </c>
      <c r="AO28" s="7">
        <v>5945.4598728364635</v>
      </c>
      <c r="AP28" s="8">
        <v>-555.1114544364824</v>
      </c>
      <c r="AQ28" s="7">
        <v>2021.6522067394542</v>
      </c>
      <c r="AR28" s="8">
        <v>-27.412665683413358</v>
      </c>
      <c r="AS28" s="7">
        <v>1651.6016621295596</v>
      </c>
      <c r="AT28" s="8">
        <v>-125.55636677257021</v>
      </c>
      <c r="AU28" s="7">
        <v>42832.906425090463</v>
      </c>
      <c r="AV28" s="8">
        <v>214.55082980539601</v>
      </c>
      <c r="AW28" s="7">
        <v>13257.97414690462</v>
      </c>
      <c r="AX28" s="8">
        <v>2064.0420116028354</v>
      </c>
      <c r="AY28" s="7">
        <v>11083.467944902712</v>
      </c>
      <c r="AZ28" s="8">
        <v>376.29516565687493</v>
      </c>
      <c r="BA28" s="7">
        <v>4799.7166935427986</v>
      </c>
      <c r="BB28" s="8">
        <v>22.647449900900167</v>
      </c>
      <c r="BC28" s="7">
        <v>4097.0266065214046</v>
      </c>
      <c r="BD28" s="8">
        <v>-262.3030118839693</v>
      </c>
      <c r="BE28" s="7">
        <v>1410.8518601492892</v>
      </c>
      <c r="BF28" s="8">
        <v>47.399120961702565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 INDICES</vt:lpstr>
      <vt:lpstr>TIME TREND</vt:lpstr>
      <vt:lpstr>VALIDATION</vt:lpstr>
      <vt:lpstr>SPSS</vt:lpstr>
    </vt:vector>
  </TitlesOfParts>
  <Company>----------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</dc:creator>
  <cp:lastModifiedBy>Core i 5</cp:lastModifiedBy>
  <dcterms:created xsi:type="dcterms:W3CDTF">2013-01-27T21:00:55Z</dcterms:created>
  <dcterms:modified xsi:type="dcterms:W3CDTF">2016-03-19T21:47:10Z</dcterms:modified>
</cp:coreProperties>
</file>