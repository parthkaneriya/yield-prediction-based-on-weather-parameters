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re i 5\Desktop\Wheat_F3_Anand\"/>
    </mc:Choice>
  </mc:AlternateContent>
  <bookViews>
    <workbookView xWindow="360" yWindow="360" windowWidth="14895" windowHeight="7815"/>
  </bookViews>
  <sheets>
    <sheet name="WEATHER INDICES" sheetId="2" r:id="rId1"/>
    <sheet name="TIME TREND" sheetId="4" r:id="rId2"/>
    <sheet name="VALIDATION" sheetId="3" r:id="rId3"/>
    <sheet name="SPSS" sheetId="5" r:id="rId4"/>
  </sheets>
  <calcPr calcId="152511"/>
</workbook>
</file>

<file path=xl/calcChain.xml><?xml version="1.0" encoding="utf-8"?>
<calcChain xmlns="http://schemas.openxmlformats.org/spreadsheetml/2006/main">
  <c r="C26" i="3" l="1"/>
  <c r="C23" i="3" l="1"/>
  <c r="C25" i="3"/>
  <c r="C24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24" i="3" l="1"/>
  <c r="D20" i="3" l="1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E21" i="4"/>
  <c r="D21" i="4"/>
  <c r="D20" i="4"/>
  <c r="E20" i="4" s="1"/>
  <c r="E19" i="4"/>
  <c r="D19" i="4"/>
  <c r="D18" i="4"/>
  <c r="E18" i="4" s="1"/>
  <c r="E17" i="4"/>
  <c r="D17" i="4"/>
  <c r="D16" i="4"/>
  <c r="E16" i="4" s="1"/>
  <c r="E15" i="4"/>
  <c r="D15" i="4"/>
  <c r="D14" i="4"/>
  <c r="E14" i="4" s="1"/>
  <c r="E13" i="4"/>
  <c r="D13" i="4"/>
  <c r="D12" i="4"/>
  <c r="E12" i="4" s="1"/>
  <c r="E11" i="4"/>
  <c r="D11" i="4"/>
  <c r="D10" i="4"/>
  <c r="E10" i="4" s="1"/>
  <c r="E9" i="4"/>
  <c r="D9" i="4"/>
  <c r="D8" i="4"/>
  <c r="E8" i="4" s="1"/>
  <c r="E7" i="4"/>
  <c r="D7" i="4"/>
  <c r="D6" i="4"/>
  <c r="E6" i="4" s="1"/>
  <c r="E5" i="4"/>
  <c r="D5" i="4"/>
  <c r="D4" i="4"/>
  <c r="E4" i="4" s="1"/>
  <c r="E3" i="4"/>
  <c r="D3" i="4"/>
  <c r="D2" i="4"/>
  <c r="E2" i="4" s="1"/>
  <c r="D809" i="2"/>
  <c r="Z809" i="2" s="1"/>
  <c r="E809" i="2"/>
  <c r="F809" i="2"/>
  <c r="G809" i="2"/>
  <c r="Y809" i="2" s="1"/>
  <c r="H809" i="2"/>
  <c r="I809" i="2"/>
  <c r="J809" i="2"/>
  <c r="K809" i="2"/>
  <c r="L809" i="2"/>
  <c r="M809" i="2"/>
  <c r="N809" i="2"/>
  <c r="O809" i="2"/>
  <c r="P809" i="2"/>
  <c r="Q809" i="2"/>
  <c r="R809" i="2"/>
  <c r="S809" i="2"/>
  <c r="T809" i="2"/>
  <c r="U809" i="2"/>
  <c r="V809" i="2"/>
  <c r="W809" i="2"/>
  <c r="D780" i="2"/>
  <c r="E780" i="2"/>
  <c r="F780" i="2"/>
  <c r="G780" i="2"/>
  <c r="H780" i="2"/>
  <c r="I780" i="2"/>
  <c r="J780" i="2"/>
  <c r="K780" i="2"/>
  <c r="L780" i="2"/>
  <c r="M780" i="2"/>
  <c r="N780" i="2"/>
  <c r="O780" i="2"/>
  <c r="P780" i="2"/>
  <c r="Q780" i="2"/>
  <c r="R780" i="2"/>
  <c r="S780" i="2"/>
  <c r="T780" i="2"/>
  <c r="U780" i="2"/>
  <c r="V780" i="2"/>
  <c r="W780" i="2"/>
  <c r="Y780" i="2"/>
  <c r="Z780" i="2"/>
  <c r="D751" i="2"/>
  <c r="E751" i="2"/>
  <c r="Y751" i="2" s="1"/>
  <c r="F751" i="2"/>
  <c r="G751" i="2"/>
  <c r="H751" i="2"/>
  <c r="I751" i="2"/>
  <c r="J751" i="2"/>
  <c r="K751" i="2"/>
  <c r="L751" i="2"/>
  <c r="M751" i="2"/>
  <c r="N751" i="2"/>
  <c r="O751" i="2"/>
  <c r="P751" i="2"/>
  <c r="Q751" i="2"/>
  <c r="R751" i="2"/>
  <c r="S751" i="2"/>
  <c r="T751" i="2"/>
  <c r="U751" i="2"/>
  <c r="V751" i="2"/>
  <c r="W751" i="2"/>
  <c r="Z751" i="2"/>
  <c r="D722" i="2"/>
  <c r="E722" i="2"/>
  <c r="F722" i="2"/>
  <c r="G722" i="2"/>
  <c r="H722" i="2"/>
  <c r="I722" i="2"/>
  <c r="J722" i="2"/>
  <c r="K722" i="2"/>
  <c r="L722" i="2"/>
  <c r="M722" i="2"/>
  <c r="N722" i="2"/>
  <c r="O722" i="2"/>
  <c r="P722" i="2"/>
  <c r="Q722" i="2"/>
  <c r="R722" i="2"/>
  <c r="S722" i="2"/>
  <c r="T722" i="2"/>
  <c r="U722" i="2"/>
  <c r="V722" i="2"/>
  <c r="W722" i="2"/>
  <c r="Y722" i="2"/>
  <c r="Z722" i="2"/>
  <c r="D693" i="2"/>
  <c r="Z693" i="2" s="1"/>
  <c r="E693" i="2"/>
  <c r="F693" i="2"/>
  <c r="Y693" i="2" s="1"/>
  <c r="G693" i="2"/>
  <c r="H693" i="2"/>
  <c r="I693" i="2"/>
  <c r="J693" i="2"/>
  <c r="K693" i="2"/>
  <c r="L693" i="2"/>
  <c r="M693" i="2"/>
  <c r="N693" i="2"/>
  <c r="O693" i="2"/>
  <c r="P693" i="2"/>
  <c r="Q693" i="2"/>
  <c r="R693" i="2"/>
  <c r="S693" i="2"/>
  <c r="T693" i="2"/>
  <c r="U693" i="2"/>
  <c r="V693" i="2"/>
  <c r="W693" i="2"/>
  <c r="D664" i="2"/>
  <c r="Z664" i="2" s="1"/>
  <c r="E664" i="2"/>
  <c r="F664" i="2"/>
  <c r="G664" i="2"/>
  <c r="Y664" i="2" s="1"/>
  <c r="H664" i="2"/>
  <c r="I664" i="2"/>
  <c r="J664" i="2"/>
  <c r="K664" i="2"/>
  <c r="L664" i="2"/>
  <c r="M664" i="2"/>
  <c r="N664" i="2"/>
  <c r="O664" i="2"/>
  <c r="P664" i="2"/>
  <c r="Q664" i="2"/>
  <c r="R664" i="2"/>
  <c r="S664" i="2"/>
  <c r="T664" i="2"/>
  <c r="U664" i="2"/>
  <c r="V664" i="2"/>
  <c r="W664" i="2"/>
  <c r="D635" i="2"/>
  <c r="Z635" i="2" s="1"/>
  <c r="E635" i="2"/>
  <c r="F635" i="2"/>
  <c r="G635" i="2"/>
  <c r="H635" i="2"/>
  <c r="I635" i="2"/>
  <c r="J635" i="2"/>
  <c r="K635" i="2"/>
  <c r="L635" i="2"/>
  <c r="M635" i="2"/>
  <c r="N635" i="2"/>
  <c r="O635" i="2"/>
  <c r="P635" i="2"/>
  <c r="Q635" i="2"/>
  <c r="R635" i="2"/>
  <c r="S635" i="2"/>
  <c r="T635" i="2"/>
  <c r="U635" i="2"/>
  <c r="V635" i="2"/>
  <c r="W635" i="2"/>
  <c r="Y635" i="2"/>
  <c r="D606" i="2"/>
  <c r="E606" i="2"/>
  <c r="Y606" i="2" s="1"/>
  <c r="F606" i="2"/>
  <c r="G606" i="2"/>
  <c r="Z606" i="2" s="1"/>
  <c r="H606" i="2"/>
  <c r="I606" i="2"/>
  <c r="J606" i="2"/>
  <c r="K606" i="2"/>
  <c r="L606" i="2"/>
  <c r="M606" i="2"/>
  <c r="N606" i="2"/>
  <c r="O606" i="2"/>
  <c r="P606" i="2"/>
  <c r="Q606" i="2"/>
  <c r="R606" i="2"/>
  <c r="S606" i="2"/>
  <c r="T606" i="2"/>
  <c r="U606" i="2"/>
  <c r="V606" i="2"/>
  <c r="W606" i="2"/>
  <c r="D577" i="2"/>
  <c r="E577" i="2"/>
  <c r="Y577" i="2" s="1"/>
  <c r="F577" i="2"/>
  <c r="G577" i="2"/>
  <c r="H577" i="2"/>
  <c r="I577" i="2"/>
  <c r="J577" i="2"/>
  <c r="K577" i="2"/>
  <c r="L577" i="2"/>
  <c r="M577" i="2"/>
  <c r="N577" i="2"/>
  <c r="O577" i="2"/>
  <c r="P577" i="2"/>
  <c r="Q577" i="2"/>
  <c r="R577" i="2"/>
  <c r="S577" i="2"/>
  <c r="T577" i="2"/>
  <c r="U577" i="2"/>
  <c r="V577" i="2"/>
  <c r="W577" i="2"/>
  <c r="Z577" i="2"/>
  <c r="D548" i="2"/>
  <c r="E548" i="2"/>
  <c r="Y548" i="2" s="1"/>
  <c r="F548" i="2"/>
  <c r="G548" i="2"/>
  <c r="H548" i="2"/>
  <c r="I548" i="2"/>
  <c r="J548" i="2"/>
  <c r="K548" i="2"/>
  <c r="L548" i="2"/>
  <c r="M548" i="2"/>
  <c r="N548" i="2"/>
  <c r="O548" i="2"/>
  <c r="P548" i="2"/>
  <c r="Q548" i="2"/>
  <c r="R548" i="2"/>
  <c r="S548" i="2"/>
  <c r="T548" i="2"/>
  <c r="U548" i="2"/>
  <c r="V548" i="2"/>
  <c r="W548" i="2"/>
  <c r="Z548" i="2"/>
  <c r="D519" i="2"/>
  <c r="Z519" i="2" s="1"/>
  <c r="E519" i="2"/>
  <c r="F519" i="2"/>
  <c r="Y519" i="2" s="1"/>
  <c r="G519" i="2"/>
  <c r="H519" i="2"/>
  <c r="I519" i="2"/>
  <c r="J519" i="2"/>
  <c r="K519" i="2"/>
  <c r="L519" i="2"/>
  <c r="M519" i="2"/>
  <c r="N519" i="2"/>
  <c r="O519" i="2"/>
  <c r="P519" i="2"/>
  <c r="Q519" i="2"/>
  <c r="R519" i="2"/>
  <c r="S519" i="2"/>
  <c r="T519" i="2"/>
  <c r="U519" i="2"/>
  <c r="V519" i="2"/>
  <c r="W519" i="2"/>
  <c r="D490" i="2"/>
  <c r="E490" i="2"/>
  <c r="F490" i="2"/>
  <c r="G490" i="2"/>
  <c r="Y490" i="2" s="1"/>
  <c r="H490" i="2"/>
  <c r="I490" i="2"/>
  <c r="J490" i="2"/>
  <c r="K490" i="2"/>
  <c r="L490" i="2"/>
  <c r="M490" i="2"/>
  <c r="N490" i="2"/>
  <c r="O490" i="2"/>
  <c r="P490" i="2"/>
  <c r="Q490" i="2"/>
  <c r="R490" i="2"/>
  <c r="S490" i="2"/>
  <c r="T490" i="2"/>
  <c r="U490" i="2"/>
  <c r="V490" i="2"/>
  <c r="W490" i="2"/>
  <c r="D461" i="2"/>
  <c r="E461" i="2"/>
  <c r="F461" i="2"/>
  <c r="G461" i="2"/>
  <c r="Y461" i="2" s="1"/>
  <c r="H461" i="2"/>
  <c r="I461" i="2"/>
  <c r="J461" i="2"/>
  <c r="K461" i="2"/>
  <c r="L461" i="2"/>
  <c r="M461" i="2"/>
  <c r="N461" i="2"/>
  <c r="O461" i="2"/>
  <c r="P461" i="2"/>
  <c r="Q461" i="2"/>
  <c r="R461" i="2"/>
  <c r="S461" i="2"/>
  <c r="T461" i="2"/>
  <c r="U461" i="2"/>
  <c r="V461" i="2"/>
  <c r="W461" i="2"/>
  <c r="D432" i="2"/>
  <c r="E432" i="2"/>
  <c r="Y432" i="2" s="1"/>
  <c r="F432" i="2"/>
  <c r="G432" i="2"/>
  <c r="H432" i="2"/>
  <c r="I432" i="2"/>
  <c r="J432" i="2"/>
  <c r="K432" i="2"/>
  <c r="L432" i="2"/>
  <c r="M432" i="2"/>
  <c r="N432" i="2"/>
  <c r="O432" i="2"/>
  <c r="P432" i="2"/>
  <c r="Q432" i="2"/>
  <c r="R432" i="2"/>
  <c r="S432" i="2"/>
  <c r="T432" i="2"/>
  <c r="U432" i="2"/>
  <c r="V432" i="2"/>
  <c r="W432" i="2"/>
  <c r="Z432" i="2"/>
  <c r="D403" i="2"/>
  <c r="E403" i="2"/>
  <c r="Y403" i="2" s="1"/>
  <c r="F403" i="2"/>
  <c r="G403" i="2"/>
  <c r="H403" i="2"/>
  <c r="I403" i="2"/>
  <c r="J403" i="2"/>
  <c r="K403" i="2"/>
  <c r="L403" i="2"/>
  <c r="M403" i="2"/>
  <c r="N403" i="2"/>
  <c r="O403" i="2"/>
  <c r="P403" i="2"/>
  <c r="Q403" i="2"/>
  <c r="R403" i="2"/>
  <c r="S403" i="2"/>
  <c r="T403" i="2"/>
  <c r="U403" i="2"/>
  <c r="V403" i="2"/>
  <c r="W403" i="2"/>
  <c r="Z403" i="2"/>
  <c r="D374" i="2"/>
  <c r="E374" i="2"/>
  <c r="Y374" i="2" s="1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Z374" i="2"/>
  <c r="D345" i="2"/>
  <c r="E345" i="2"/>
  <c r="Y345" i="2" s="1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Z345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D316" i="2"/>
  <c r="E316" i="2"/>
  <c r="Y316" i="2" s="1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Z316" i="2"/>
  <c r="D287" i="2"/>
  <c r="E287" i="2"/>
  <c r="Y287" i="2" s="1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Z287" i="2"/>
  <c r="D258" i="2"/>
  <c r="E258" i="2"/>
  <c r="Y258" i="2" s="1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Z258" i="2"/>
  <c r="D229" i="2"/>
  <c r="E229" i="2"/>
  <c r="Y229" i="2" s="1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Z229" i="2"/>
  <c r="Y200" i="2"/>
  <c r="Z200" i="2"/>
  <c r="Y171" i="2"/>
  <c r="Z171" i="2"/>
  <c r="Y142" i="2"/>
  <c r="Z142" i="2"/>
  <c r="Y113" i="2"/>
  <c r="Z113" i="2"/>
  <c r="Y84" i="2"/>
  <c r="Z84" i="2"/>
  <c r="Y55" i="2"/>
  <c r="Z55" i="2"/>
  <c r="Y26" i="2"/>
  <c r="Z26" i="2"/>
  <c r="Z490" i="2" l="1"/>
  <c r="Z461" i="2"/>
  <c r="E201" i="2" l="1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D201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D172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D143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D114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D85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D5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D27" i="2"/>
  <c r="Y108" i="2"/>
  <c r="Y199" i="2" l="1"/>
  <c r="Y198" i="2"/>
  <c r="Y197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0" i="2"/>
  <c r="Y169" i="2"/>
  <c r="Y168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1" i="2"/>
  <c r="Y140" i="2"/>
  <c r="Y139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2" i="2"/>
  <c r="Y111" i="2"/>
  <c r="Y110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3" i="2"/>
  <c r="Y82" i="2"/>
  <c r="Y81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4" i="2"/>
  <c r="Y53" i="2"/>
  <c r="Y52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3" i="2"/>
  <c r="Y24" i="2"/>
  <c r="Y25" i="2"/>
  <c r="Y2" i="2"/>
  <c r="T205" i="2" l="1"/>
  <c r="U205" i="2"/>
  <c r="V205" i="2"/>
  <c r="W205" i="2"/>
  <c r="T206" i="2"/>
  <c r="U206" i="2"/>
  <c r="V206" i="2"/>
  <c r="W206" i="2"/>
  <c r="T207" i="2"/>
  <c r="U207" i="2"/>
  <c r="V207" i="2"/>
  <c r="W207" i="2"/>
  <c r="T208" i="2"/>
  <c r="U208" i="2"/>
  <c r="V208" i="2"/>
  <c r="W208" i="2"/>
  <c r="T209" i="2"/>
  <c r="U209" i="2"/>
  <c r="V209" i="2"/>
  <c r="W209" i="2"/>
  <c r="T210" i="2"/>
  <c r="U210" i="2"/>
  <c r="V210" i="2"/>
  <c r="W210" i="2"/>
  <c r="T211" i="2"/>
  <c r="U211" i="2"/>
  <c r="V211" i="2"/>
  <c r="W211" i="2"/>
  <c r="T212" i="2"/>
  <c r="U212" i="2"/>
  <c r="V212" i="2"/>
  <c r="W212" i="2"/>
  <c r="T213" i="2"/>
  <c r="U213" i="2"/>
  <c r="V213" i="2"/>
  <c r="W213" i="2"/>
  <c r="T214" i="2"/>
  <c r="U214" i="2"/>
  <c r="V214" i="2"/>
  <c r="W214" i="2"/>
  <c r="T215" i="2"/>
  <c r="U215" i="2"/>
  <c r="V215" i="2"/>
  <c r="W215" i="2"/>
  <c r="T216" i="2"/>
  <c r="U216" i="2"/>
  <c r="V216" i="2"/>
  <c r="W216" i="2"/>
  <c r="T217" i="2"/>
  <c r="U217" i="2"/>
  <c r="V217" i="2"/>
  <c r="W217" i="2"/>
  <c r="T218" i="2"/>
  <c r="U218" i="2"/>
  <c r="V218" i="2"/>
  <c r="W218" i="2"/>
  <c r="T219" i="2"/>
  <c r="U219" i="2"/>
  <c r="V219" i="2"/>
  <c r="W219" i="2"/>
  <c r="T220" i="2"/>
  <c r="U220" i="2"/>
  <c r="V220" i="2"/>
  <c r="W220" i="2"/>
  <c r="T221" i="2"/>
  <c r="U221" i="2"/>
  <c r="V221" i="2"/>
  <c r="W221" i="2"/>
  <c r="T222" i="2"/>
  <c r="U222" i="2"/>
  <c r="V222" i="2"/>
  <c r="W222" i="2"/>
  <c r="T223" i="2"/>
  <c r="U223" i="2"/>
  <c r="V223" i="2"/>
  <c r="W223" i="2"/>
  <c r="T224" i="2"/>
  <c r="U224" i="2"/>
  <c r="V224" i="2"/>
  <c r="W224" i="2"/>
  <c r="T226" i="2"/>
  <c r="U226" i="2"/>
  <c r="V226" i="2"/>
  <c r="W226" i="2"/>
  <c r="T227" i="2"/>
  <c r="U227" i="2"/>
  <c r="V227" i="2"/>
  <c r="W227" i="2"/>
  <c r="T228" i="2"/>
  <c r="U228" i="2"/>
  <c r="V228" i="2"/>
  <c r="W228" i="2"/>
  <c r="T234" i="2"/>
  <c r="U234" i="2"/>
  <c r="V234" i="2"/>
  <c r="W234" i="2"/>
  <c r="T235" i="2"/>
  <c r="U235" i="2"/>
  <c r="V235" i="2"/>
  <c r="W235" i="2"/>
  <c r="T236" i="2"/>
  <c r="U236" i="2"/>
  <c r="V236" i="2"/>
  <c r="W236" i="2"/>
  <c r="T237" i="2"/>
  <c r="U237" i="2"/>
  <c r="V237" i="2"/>
  <c r="W237" i="2"/>
  <c r="T238" i="2"/>
  <c r="U238" i="2"/>
  <c r="V238" i="2"/>
  <c r="W238" i="2"/>
  <c r="T239" i="2"/>
  <c r="U239" i="2"/>
  <c r="V239" i="2"/>
  <c r="W239" i="2"/>
  <c r="T240" i="2"/>
  <c r="U240" i="2"/>
  <c r="V240" i="2"/>
  <c r="W240" i="2"/>
  <c r="T241" i="2"/>
  <c r="U241" i="2"/>
  <c r="V241" i="2"/>
  <c r="W241" i="2"/>
  <c r="T242" i="2"/>
  <c r="U242" i="2"/>
  <c r="V242" i="2"/>
  <c r="W242" i="2"/>
  <c r="T243" i="2"/>
  <c r="U243" i="2"/>
  <c r="V243" i="2"/>
  <c r="W243" i="2"/>
  <c r="T244" i="2"/>
  <c r="U244" i="2"/>
  <c r="V244" i="2"/>
  <c r="W244" i="2"/>
  <c r="T245" i="2"/>
  <c r="U245" i="2"/>
  <c r="V245" i="2"/>
  <c r="W245" i="2"/>
  <c r="T246" i="2"/>
  <c r="U246" i="2"/>
  <c r="V246" i="2"/>
  <c r="W246" i="2"/>
  <c r="T247" i="2"/>
  <c r="U247" i="2"/>
  <c r="V247" i="2"/>
  <c r="W247" i="2"/>
  <c r="T248" i="2"/>
  <c r="U248" i="2"/>
  <c r="V248" i="2"/>
  <c r="W248" i="2"/>
  <c r="T249" i="2"/>
  <c r="U249" i="2"/>
  <c r="V249" i="2"/>
  <c r="W249" i="2"/>
  <c r="T250" i="2"/>
  <c r="U250" i="2"/>
  <c r="V250" i="2"/>
  <c r="W250" i="2"/>
  <c r="T251" i="2"/>
  <c r="U251" i="2"/>
  <c r="V251" i="2"/>
  <c r="W251" i="2"/>
  <c r="T252" i="2"/>
  <c r="U252" i="2"/>
  <c r="V252" i="2"/>
  <c r="W252" i="2"/>
  <c r="T253" i="2"/>
  <c r="U253" i="2"/>
  <c r="V253" i="2"/>
  <c r="W253" i="2"/>
  <c r="T255" i="2"/>
  <c r="U255" i="2"/>
  <c r="V255" i="2"/>
  <c r="W255" i="2"/>
  <c r="T256" i="2"/>
  <c r="U256" i="2"/>
  <c r="V256" i="2"/>
  <c r="W256" i="2"/>
  <c r="T257" i="2"/>
  <c r="U257" i="2"/>
  <c r="V257" i="2"/>
  <c r="W257" i="2"/>
  <c r="T263" i="2"/>
  <c r="U263" i="2"/>
  <c r="V263" i="2"/>
  <c r="W263" i="2"/>
  <c r="T264" i="2"/>
  <c r="U264" i="2"/>
  <c r="V264" i="2"/>
  <c r="W264" i="2"/>
  <c r="T265" i="2"/>
  <c r="U265" i="2"/>
  <c r="V265" i="2"/>
  <c r="W265" i="2"/>
  <c r="T266" i="2"/>
  <c r="U266" i="2"/>
  <c r="V266" i="2"/>
  <c r="W266" i="2"/>
  <c r="T267" i="2"/>
  <c r="U267" i="2"/>
  <c r="V267" i="2"/>
  <c r="W267" i="2"/>
  <c r="T268" i="2"/>
  <c r="U268" i="2"/>
  <c r="V268" i="2"/>
  <c r="W268" i="2"/>
  <c r="T269" i="2"/>
  <c r="U269" i="2"/>
  <c r="V269" i="2"/>
  <c r="W269" i="2"/>
  <c r="T270" i="2"/>
  <c r="U270" i="2"/>
  <c r="V270" i="2"/>
  <c r="W270" i="2"/>
  <c r="T271" i="2"/>
  <c r="U271" i="2"/>
  <c r="V271" i="2"/>
  <c r="W271" i="2"/>
  <c r="T272" i="2"/>
  <c r="U272" i="2"/>
  <c r="V272" i="2"/>
  <c r="W272" i="2"/>
  <c r="T273" i="2"/>
  <c r="U273" i="2"/>
  <c r="V273" i="2"/>
  <c r="W273" i="2"/>
  <c r="T274" i="2"/>
  <c r="U274" i="2"/>
  <c r="V274" i="2"/>
  <c r="W274" i="2"/>
  <c r="T275" i="2"/>
  <c r="U275" i="2"/>
  <c r="V275" i="2"/>
  <c r="W275" i="2"/>
  <c r="T276" i="2"/>
  <c r="U276" i="2"/>
  <c r="V276" i="2"/>
  <c r="W276" i="2"/>
  <c r="T277" i="2"/>
  <c r="U277" i="2"/>
  <c r="V277" i="2"/>
  <c r="W277" i="2"/>
  <c r="T278" i="2"/>
  <c r="U278" i="2"/>
  <c r="V278" i="2"/>
  <c r="W278" i="2"/>
  <c r="T279" i="2"/>
  <c r="U279" i="2"/>
  <c r="V279" i="2"/>
  <c r="W279" i="2"/>
  <c r="T280" i="2"/>
  <c r="U280" i="2"/>
  <c r="V280" i="2"/>
  <c r="W280" i="2"/>
  <c r="T281" i="2"/>
  <c r="U281" i="2"/>
  <c r="V281" i="2"/>
  <c r="W281" i="2"/>
  <c r="T282" i="2"/>
  <c r="U282" i="2"/>
  <c r="V282" i="2"/>
  <c r="W282" i="2"/>
  <c r="T284" i="2"/>
  <c r="U284" i="2"/>
  <c r="V284" i="2"/>
  <c r="W284" i="2"/>
  <c r="T285" i="2"/>
  <c r="U285" i="2"/>
  <c r="V285" i="2"/>
  <c r="W285" i="2"/>
  <c r="T286" i="2"/>
  <c r="U286" i="2"/>
  <c r="V286" i="2"/>
  <c r="W286" i="2"/>
  <c r="T292" i="2"/>
  <c r="U292" i="2"/>
  <c r="V292" i="2"/>
  <c r="W292" i="2"/>
  <c r="T293" i="2"/>
  <c r="U293" i="2"/>
  <c r="V293" i="2"/>
  <c r="W293" i="2"/>
  <c r="T294" i="2"/>
  <c r="U294" i="2"/>
  <c r="V294" i="2"/>
  <c r="W294" i="2"/>
  <c r="T295" i="2"/>
  <c r="U295" i="2"/>
  <c r="V295" i="2"/>
  <c r="W295" i="2"/>
  <c r="T296" i="2"/>
  <c r="U296" i="2"/>
  <c r="V296" i="2"/>
  <c r="W296" i="2"/>
  <c r="T297" i="2"/>
  <c r="U297" i="2"/>
  <c r="V297" i="2"/>
  <c r="W297" i="2"/>
  <c r="T298" i="2"/>
  <c r="U298" i="2"/>
  <c r="V298" i="2"/>
  <c r="W298" i="2"/>
  <c r="T299" i="2"/>
  <c r="U299" i="2"/>
  <c r="V299" i="2"/>
  <c r="W299" i="2"/>
  <c r="T300" i="2"/>
  <c r="U300" i="2"/>
  <c r="V300" i="2"/>
  <c r="W300" i="2"/>
  <c r="T301" i="2"/>
  <c r="U301" i="2"/>
  <c r="V301" i="2"/>
  <c r="W301" i="2"/>
  <c r="T302" i="2"/>
  <c r="U302" i="2"/>
  <c r="V302" i="2"/>
  <c r="W302" i="2"/>
  <c r="T303" i="2"/>
  <c r="U303" i="2"/>
  <c r="V303" i="2"/>
  <c r="W303" i="2"/>
  <c r="T304" i="2"/>
  <c r="U304" i="2"/>
  <c r="V304" i="2"/>
  <c r="W304" i="2"/>
  <c r="T305" i="2"/>
  <c r="U305" i="2"/>
  <c r="V305" i="2"/>
  <c r="W305" i="2"/>
  <c r="T306" i="2"/>
  <c r="U306" i="2"/>
  <c r="V306" i="2"/>
  <c r="W306" i="2"/>
  <c r="T307" i="2"/>
  <c r="U307" i="2"/>
  <c r="V307" i="2"/>
  <c r="W307" i="2"/>
  <c r="T308" i="2"/>
  <c r="U308" i="2"/>
  <c r="V308" i="2"/>
  <c r="W308" i="2"/>
  <c r="T309" i="2"/>
  <c r="U309" i="2"/>
  <c r="V309" i="2"/>
  <c r="W309" i="2"/>
  <c r="T310" i="2"/>
  <c r="U310" i="2"/>
  <c r="V310" i="2"/>
  <c r="W310" i="2"/>
  <c r="T311" i="2"/>
  <c r="U311" i="2"/>
  <c r="V311" i="2"/>
  <c r="W311" i="2"/>
  <c r="T313" i="2"/>
  <c r="U313" i="2"/>
  <c r="V313" i="2"/>
  <c r="W313" i="2"/>
  <c r="T314" i="2"/>
  <c r="U314" i="2"/>
  <c r="V314" i="2"/>
  <c r="W314" i="2"/>
  <c r="T315" i="2"/>
  <c r="U315" i="2"/>
  <c r="V315" i="2"/>
  <c r="W315" i="2"/>
  <c r="T321" i="2"/>
  <c r="U321" i="2"/>
  <c r="V321" i="2"/>
  <c r="W321" i="2"/>
  <c r="T322" i="2"/>
  <c r="U322" i="2"/>
  <c r="V322" i="2"/>
  <c r="W322" i="2"/>
  <c r="T323" i="2"/>
  <c r="U323" i="2"/>
  <c r="V323" i="2"/>
  <c r="W323" i="2"/>
  <c r="T324" i="2"/>
  <c r="U324" i="2"/>
  <c r="V324" i="2"/>
  <c r="W324" i="2"/>
  <c r="T325" i="2"/>
  <c r="U325" i="2"/>
  <c r="V325" i="2"/>
  <c r="W325" i="2"/>
  <c r="T326" i="2"/>
  <c r="U326" i="2"/>
  <c r="V326" i="2"/>
  <c r="W326" i="2"/>
  <c r="T327" i="2"/>
  <c r="U327" i="2"/>
  <c r="V327" i="2"/>
  <c r="W327" i="2"/>
  <c r="T328" i="2"/>
  <c r="U328" i="2"/>
  <c r="V328" i="2"/>
  <c r="W328" i="2"/>
  <c r="T329" i="2"/>
  <c r="U329" i="2"/>
  <c r="V329" i="2"/>
  <c r="W329" i="2"/>
  <c r="T330" i="2"/>
  <c r="U330" i="2"/>
  <c r="V330" i="2"/>
  <c r="W330" i="2"/>
  <c r="T331" i="2"/>
  <c r="U331" i="2"/>
  <c r="V331" i="2"/>
  <c r="W331" i="2"/>
  <c r="T332" i="2"/>
  <c r="U332" i="2"/>
  <c r="V332" i="2"/>
  <c r="W332" i="2"/>
  <c r="T333" i="2"/>
  <c r="U333" i="2"/>
  <c r="V333" i="2"/>
  <c r="W333" i="2"/>
  <c r="T334" i="2"/>
  <c r="U334" i="2"/>
  <c r="V334" i="2"/>
  <c r="W334" i="2"/>
  <c r="T335" i="2"/>
  <c r="U335" i="2"/>
  <c r="V335" i="2"/>
  <c r="W335" i="2"/>
  <c r="T336" i="2"/>
  <c r="U336" i="2"/>
  <c r="V336" i="2"/>
  <c r="W336" i="2"/>
  <c r="T337" i="2"/>
  <c r="U337" i="2"/>
  <c r="V337" i="2"/>
  <c r="W337" i="2"/>
  <c r="T338" i="2"/>
  <c r="U338" i="2"/>
  <c r="V338" i="2"/>
  <c r="W338" i="2"/>
  <c r="T339" i="2"/>
  <c r="U339" i="2"/>
  <c r="V339" i="2"/>
  <c r="W339" i="2"/>
  <c r="T340" i="2"/>
  <c r="U340" i="2"/>
  <c r="V340" i="2"/>
  <c r="W340" i="2"/>
  <c r="T342" i="2"/>
  <c r="U342" i="2"/>
  <c r="V342" i="2"/>
  <c r="W342" i="2"/>
  <c r="T343" i="2"/>
  <c r="U343" i="2"/>
  <c r="V343" i="2"/>
  <c r="W343" i="2"/>
  <c r="T344" i="2"/>
  <c r="U344" i="2"/>
  <c r="V344" i="2"/>
  <c r="W344" i="2"/>
  <c r="T350" i="2"/>
  <c r="U350" i="2"/>
  <c r="V350" i="2"/>
  <c r="W350" i="2"/>
  <c r="T351" i="2"/>
  <c r="U351" i="2"/>
  <c r="V351" i="2"/>
  <c r="W351" i="2"/>
  <c r="T352" i="2"/>
  <c r="U352" i="2"/>
  <c r="V352" i="2"/>
  <c r="W352" i="2"/>
  <c r="T353" i="2"/>
  <c r="U353" i="2"/>
  <c r="V353" i="2"/>
  <c r="W353" i="2"/>
  <c r="T354" i="2"/>
  <c r="U354" i="2"/>
  <c r="V354" i="2"/>
  <c r="W354" i="2"/>
  <c r="T355" i="2"/>
  <c r="U355" i="2"/>
  <c r="V355" i="2"/>
  <c r="W355" i="2"/>
  <c r="T356" i="2"/>
  <c r="U356" i="2"/>
  <c r="V356" i="2"/>
  <c r="W356" i="2"/>
  <c r="T357" i="2"/>
  <c r="U357" i="2"/>
  <c r="V357" i="2"/>
  <c r="W357" i="2"/>
  <c r="T358" i="2"/>
  <c r="U358" i="2"/>
  <c r="V358" i="2"/>
  <c r="W358" i="2"/>
  <c r="T359" i="2"/>
  <c r="U359" i="2"/>
  <c r="V359" i="2"/>
  <c r="W359" i="2"/>
  <c r="T360" i="2"/>
  <c r="U360" i="2"/>
  <c r="V360" i="2"/>
  <c r="W360" i="2"/>
  <c r="T361" i="2"/>
  <c r="U361" i="2"/>
  <c r="V361" i="2"/>
  <c r="W361" i="2"/>
  <c r="T362" i="2"/>
  <c r="U362" i="2"/>
  <c r="V362" i="2"/>
  <c r="W362" i="2"/>
  <c r="T363" i="2"/>
  <c r="U363" i="2"/>
  <c r="V363" i="2"/>
  <c r="W363" i="2"/>
  <c r="T364" i="2"/>
  <c r="U364" i="2"/>
  <c r="V364" i="2"/>
  <c r="W364" i="2"/>
  <c r="T365" i="2"/>
  <c r="U365" i="2"/>
  <c r="V365" i="2"/>
  <c r="W365" i="2"/>
  <c r="T366" i="2"/>
  <c r="U366" i="2"/>
  <c r="V366" i="2"/>
  <c r="W366" i="2"/>
  <c r="T367" i="2"/>
  <c r="U367" i="2"/>
  <c r="V367" i="2"/>
  <c r="W367" i="2"/>
  <c r="T368" i="2"/>
  <c r="U368" i="2"/>
  <c r="V368" i="2"/>
  <c r="W368" i="2"/>
  <c r="T369" i="2"/>
  <c r="U369" i="2"/>
  <c r="V369" i="2"/>
  <c r="W369" i="2"/>
  <c r="T371" i="2"/>
  <c r="U371" i="2"/>
  <c r="V371" i="2"/>
  <c r="W371" i="2"/>
  <c r="T372" i="2"/>
  <c r="U372" i="2"/>
  <c r="V372" i="2"/>
  <c r="W372" i="2"/>
  <c r="T373" i="2"/>
  <c r="U373" i="2"/>
  <c r="V373" i="2"/>
  <c r="W373" i="2"/>
  <c r="T379" i="2"/>
  <c r="U379" i="2"/>
  <c r="V379" i="2"/>
  <c r="W379" i="2"/>
  <c r="T380" i="2"/>
  <c r="U380" i="2"/>
  <c r="V380" i="2"/>
  <c r="W380" i="2"/>
  <c r="T381" i="2"/>
  <c r="U381" i="2"/>
  <c r="V381" i="2"/>
  <c r="W381" i="2"/>
  <c r="T382" i="2"/>
  <c r="U382" i="2"/>
  <c r="V382" i="2"/>
  <c r="W382" i="2"/>
  <c r="T383" i="2"/>
  <c r="U383" i="2"/>
  <c r="V383" i="2"/>
  <c r="W383" i="2"/>
  <c r="T384" i="2"/>
  <c r="U384" i="2"/>
  <c r="V384" i="2"/>
  <c r="W384" i="2"/>
  <c r="T385" i="2"/>
  <c r="U385" i="2"/>
  <c r="V385" i="2"/>
  <c r="W385" i="2"/>
  <c r="T386" i="2"/>
  <c r="U386" i="2"/>
  <c r="V386" i="2"/>
  <c r="W386" i="2"/>
  <c r="T387" i="2"/>
  <c r="U387" i="2"/>
  <c r="V387" i="2"/>
  <c r="W387" i="2"/>
  <c r="T388" i="2"/>
  <c r="U388" i="2"/>
  <c r="V388" i="2"/>
  <c r="W388" i="2"/>
  <c r="T389" i="2"/>
  <c r="U389" i="2"/>
  <c r="V389" i="2"/>
  <c r="W389" i="2"/>
  <c r="T390" i="2"/>
  <c r="U390" i="2"/>
  <c r="V390" i="2"/>
  <c r="W390" i="2"/>
  <c r="T391" i="2"/>
  <c r="U391" i="2"/>
  <c r="V391" i="2"/>
  <c r="W391" i="2"/>
  <c r="T392" i="2"/>
  <c r="U392" i="2"/>
  <c r="V392" i="2"/>
  <c r="W392" i="2"/>
  <c r="T393" i="2"/>
  <c r="U393" i="2"/>
  <c r="V393" i="2"/>
  <c r="W393" i="2"/>
  <c r="T394" i="2"/>
  <c r="U394" i="2"/>
  <c r="V394" i="2"/>
  <c r="W394" i="2"/>
  <c r="T395" i="2"/>
  <c r="U395" i="2"/>
  <c r="V395" i="2"/>
  <c r="W395" i="2"/>
  <c r="T396" i="2"/>
  <c r="U396" i="2"/>
  <c r="V396" i="2"/>
  <c r="W396" i="2"/>
  <c r="T397" i="2"/>
  <c r="U397" i="2"/>
  <c r="V397" i="2"/>
  <c r="W397" i="2"/>
  <c r="T398" i="2"/>
  <c r="U398" i="2"/>
  <c r="V398" i="2"/>
  <c r="W398" i="2"/>
  <c r="T400" i="2"/>
  <c r="U400" i="2"/>
  <c r="V400" i="2"/>
  <c r="W400" i="2"/>
  <c r="T401" i="2"/>
  <c r="U401" i="2"/>
  <c r="V401" i="2"/>
  <c r="W401" i="2"/>
  <c r="T402" i="2"/>
  <c r="U402" i="2"/>
  <c r="V402" i="2"/>
  <c r="W402" i="2"/>
  <c r="T408" i="2"/>
  <c r="U408" i="2"/>
  <c r="V408" i="2"/>
  <c r="W408" i="2"/>
  <c r="T409" i="2"/>
  <c r="U409" i="2"/>
  <c r="V409" i="2"/>
  <c r="W409" i="2"/>
  <c r="T410" i="2"/>
  <c r="U410" i="2"/>
  <c r="V410" i="2"/>
  <c r="W410" i="2"/>
  <c r="T411" i="2"/>
  <c r="U411" i="2"/>
  <c r="V411" i="2"/>
  <c r="W411" i="2"/>
  <c r="T412" i="2"/>
  <c r="U412" i="2"/>
  <c r="V412" i="2"/>
  <c r="W412" i="2"/>
  <c r="T413" i="2"/>
  <c r="U413" i="2"/>
  <c r="V413" i="2"/>
  <c r="W413" i="2"/>
  <c r="T414" i="2"/>
  <c r="U414" i="2"/>
  <c r="V414" i="2"/>
  <c r="W414" i="2"/>
  <c r="T415" i="2"/>
  <c r="U415" i="2"/>
  <c r="V415" i="2"/>
  <c r="W415" i="2"/>
  <c r="T416" i="2"/>
  <c r="U416" i="2"/>
  <c r="V416" i="2"/>
  <c r="W416" i="2"/>
  <c r="T417" i="2"/>
  <c r="U417" i="2"/>
  <c r="V417" i="2"/>
  <c r="W417" i="2"/>
  <c r="T418" i="2"/>
  <c r="U418" i="2"/>
  <c r="V418" i="2"/>
  <c r="W418" i="2"/>
  <c r="T419" i="2"/>
  <c r="U419" i="2"/>
  <c r="V419" i="2"/>
  <c r="W419" i="2"/>
  <c r="T420" i="2"/>
  <c r="U420" i="2"/>
  <c r="V420" i="2"/>
  <c r="W420" i="2"/>
  <c r="T421" i="2"/>
  <c r="U421" i="2"/>
  <c r="V421" i="2"/>
  <c r="W421" i="2"/>
  <c r="T422" i="2"/>
  <c r="U422" i="2"/>
  <c r="V422" i="2"/>
  <c r="W422" i="2"/>
  <c r="T423" i="2"/>
  <c r="U423" i="2"/>
  <c r="V423" i="2"/>
  <c r="W423" i="2"/>
  <c r="T424" i="2"/>
  <c r="U424" i="2"/>
  <c r="V424" i="2"/>
  <c r="W424" i="2"/>
  <c r="T425" i="2"/>
  <c r="U425" i="2"/>
  <c r="V425" i="2"/>
  <c r="W425" i="2"/>
  <c r="T426" i="2"/>
  <c r="U426" i="2"/>
  <c r="V426" i="2"/>
  <c r="W426" i="2"/>
  <c r="T427" i="2"/>
  <c r="U427" i="2"/>
  <c r="V427" i="2"/>
  <c r="W427" i="2"/>
  <c r="T429" i="2"/>
  <c r="U429" i="2"/>
  <c r="V429" i="2"/>
  <c r="W429" i="2"/>
  <c r="T430" i="2"/>
  <c r="U430" i="2"/>
  <c r="V430" i="2"/>
  <c r="W430" i="2"/>
  <c r="T431" i="2"/>
  <c r="U431" i="2"/>
  <c r="V431" i="2"/>
  <c r="W431" i="2"/>
  <c r="T437" i="2"/>
  <c r="U437" i="2"/>
  <c r="V437" i="2"/>
  <c r="W437" i="2"/>
  <c r="T438" i="2"/>
  <c r="U438" i="2"/>
  <c r="V438" i="2"/>
  <c r="W438" i="2"/>
  <c r="T439" i="2"/>
  <c r="U439" i="2"/>
  <c r="V439" i="2"/>
  <c r="W439" i="2"/>
  <c r="T440" i="2"/>
  <c r="U440" i="2"/>
  <c r="V440" i="2"/>
  <c r="W440" i="2"/>
  <c r="T441" i="2"/>
  <c r="U441" i="2"/>
  <c r="V441" i="2"/>
  <c r="W441" i="2"/>
  <c r="T442" i="2"/>
  <c r="U442" i="2"/>
  <c r="V442" i="2"/>
  <c r="W442" i="2"/>
  <c r="T443" i="2"/>
  <c r="U443" i="2"/>
  <c r="V443" i="2"/>
  <c r="W443" i="2"/>
  <c r="T444" i="2"/>
  <c r="U444" i="2"/>
  <c r="V444" i="2"/>
  <c r="W444" i="2"/>
  <c r="T445" i="2"/>
  <c r="U445" i="2"/>
  <c r="V445" i="2"/>
  <c r="W445" i="2"/>
  <c r="T446" i="2"/>
  <c r="U446" i="2"/>
  <c r="V446" i="2"/>
  <c r="W446" i="2"/>
  <c r="T447" i="2"/>
  <c r="U447" i="2"/>
  <c r="V447" i="2"/>
  <c r="W447" i="2"/>
  <c r="T448" i="2"/>
  <c r="U448" i="2"/>
  <c r="V448" i="2"/>
  <c r="W448" i="2"/>
  <c r="T449" i="2"/>
  <c r="U449" i="2"/>
  <c r="V449" i="2"/>
  <c r="W449" i="2"/>
  <c r="T450" i="2"/>
  <c r="U450" i="2"/>
  <c r="V450" i="2"/>
  <c r="W450" i="2"/>
  <c r="T451" i="2"/>
  <c r="U451" i="2"/>
  <c r="V451" i="2"/>
  <c r="W451" i="2"/>
  <c r="T452" i="2"/>
  <c r="U452" i="2"/>
  <c r="V452" i="2"/>
  <c r="W452" i="2"/>
  <c r="T453" i="2"/>
  <c r="U453" i="2"/>
  <c r="V453" i="2"/>
  <c r="W453" i="2"/>
  <c r="T454" i="2"/>
  <c r="U454" i="2"/>
  <c r="V454" i="2"/>
  <c r="W454" i="2"/>
  <c r="T455" i="2"/>
  <c r="U455" i="2"/>
  <c r="V455" i="2"/>
  <c r="W455" i="2"/>
  <c r="T456" i="2"/>
  <c r="U456" i="2"/>
  <c r="V456" i="2"/>
  <c r="W456" i="2"/>
  <c r="T458" i="2"/>
  <c r="U458" i="2"/>
  <c r="V458" i="2"/>
  <c r="W458" i="2"/>
  <c r="T459" i="2"/>
  <c r="U459" i="2"/>
  <c r="V459" i="2"/>
  <c r="W459" i="2"/>
  <c r="T460" i="2"/>
  <c r="U460" i="2"/>
  <c r="V460" i="2"/>
  <c r="W460" i="2"/>
  <c r="T466" i="2"/>
  <c r="U466" i="2"/>
  <c r="V466" i="2"/>
  <c r="W466" i="2"/>
  <c r="T467" i="2"/>
  <c r="U467" i="2"/>
  <c r="V467" i="2"/>
  <c r="W467" i="2"/>
  <c r="T468" i="2"/>
  <c r="U468" i="2"/>
  <c r="V468" i="2"/>
  <c r="W468" i="2"/>
  <c r="T469" i="2"/>
  <c r="U469" i="2"/>
  <c r="V469" i="2"/>
  <c r="W469" i="2"/>
  <c r="T470" i="2"/>
  <c r="U470" i="2"/>
  <c r="V470" i="2"/>
  <c r="W470" i="2"/>
  <c r="T471" i="2"/>
  <c r="U471" i="2"/>
  <c r="V471" i="2"/>
  <c r="W471" i="2"/>
  <c r="T472" i="2"/>
  <c r="U472" i="2"/>
  <c r="V472" i="2"/>
  <c r="W472" i="2"/>
  <c r="T473" i="2"/>
  <c r="U473" i="2"/>
  <c r="V473" i="2"/>
  <c r="W473" i="2"/>
  <c r="T474" i="2"/>
  <c r="U474" i="2"/>
  <c r="V474" i="2"/>
  <c r="W474" i="2"/>
  <c r="T475" i="2"/>
  <c r="U475" i="2"/>
  <c r="V475" i="2"/>
  <c r="W475" i="2"/>
  <c r="T476" i="2"/>
  <c r="U476" i="2"/>
  <c r="V476" i="2"/>
  <c r="W476" i="2"/>
  <c r="T477" i="2"/>
  <c r="U477" i="2"/>
  <c r="V477" i="2"/>
  <c r="W477" i="2"/>
  <c r="T478" i="2"/>
  <c r="U478" i="2"/>
  <c r="V478" i="2"/>
  <c r="W478" i="2"/>
  <c r="T479" i="2"/>
  <c r="U479" i="2"/>
  <c r="V479" i="2"/>
  <c r="W479" i="2"/>
  <c r="T480" i="2"/>
  <c r="U480" i="2"/>
  <c r="V480" i="2"/>
  <c r="W480" i="2"/>
  <c r="T481" i="2"/>
  <c r="U481" i="2"/>
  <c r="V481" i="2"/>
  <c r="W481" i="2"/>
  <c r="T482" i="2"/>
  <c r="U482" i="2"/>
  <c r="V482" i="2"/>
  <c r="W482" i="2"/>
  <c r="T483" i="2"/>
  <c r="U483" i="2"/>
  <c r="V483" i="2"/>
  <c r="W483" i="2"/>
  <c r="T484" i="2"/>
  <c r="U484" i="2"/>
  <c r="V484" i="2"/>
  <c r="W484" i="2"/>
  <c r="T485" i="2"/>
  <c r="U485" i="2"/>
  <c r="V485" i="2"/>
  <c r="W485" i="2"/>
  <c r="T487" i="2"/>
  <c r="U487" i="2"/>
  <c r="V487" i="2"/>
  <c r="W487" i="2"/>
  <c r="T488" i="2"/>
  <c r="U488" i="2"/>
  <c r="V488" i="2"/>
  <c r="W488" i="2"/>
  <c r="T489" i="2"/>
  <c r="U489" i="2"/>
  <c r="V489" i="2"/>
  <c r="W489" i="2"/>
  <c r="T495" i="2"/>
  <c r="U495" i="2"/>
  <c r="V495" i="2"/>
  <c r="W495" i="2"/>
  <c r="T496" i="2"/>
  <c r="U496" i="2"/>
  <c r="V496" i="2"/>
  <c r="W496" i="2"/>
  <c r="T497" i="2"/>
  <c r="U497" i="2"/>
  <c r="V497" i="2"/>
  <c r="W497" i="2"/>
  <c r="T498" i="2"/>
  <c r="U498" i="2"/>
  <c r="V498" i="2"/>
  <c r="W498" i="2"/>
  <c r="T499" i="2"/>
  <c r="U499" i="2"/>
  <c r="V499" i="2"/>
  <c r="W499" i="2"/>
  <c r="T500" i="2"/>
  <c r="U500" i="2"/>
  <c r="V500" i="2"/>
  <c r="W500" i="2"/>
  <c r="T501" i="2"/>
  <c r="U501" i="2"/>
  <c r="V501" i="2"/>
  <c r="W501" i="2"/>
  <c r="T502" i="2"/>
  <c r="U502" i="2"/>
  <c r="V502" i="2"/>
  <c r="W502" i="2"/>
  <c r="T503" i="2"/>
  <c r="U503" i="2"/>
  <c r="V503" i="2"/>
  <c r="W503" i="2"/>
  <c r="T504" i="2"/>
  <c r="U504" i="2"/>
  <c r="V504" i="2"/>
  <c r="W504" i="2"/>
  <c r="T505" i="2"/>
  <c r="U505" i="2"/>
  <c r="V505" i="2"/>
  <c r="W505" i="2"/>
  <c r="T506" i="2"/>
  <c r="U506" i="2"/>
  <c r="V506" i="2"/>
  <c r="W506" i="2"/>
  <c r="T507" i="2"/>
  <c r="U507" i="2"/>
  <c r="V507" i="2"/>
  <c r="W507" i="2"/>
  <c r="T508" i="2"/>
  <c r="U508" i="2"/>
  <c r="V508" i="2"/>
  <c r="W508" i="2"/>
  <c r="T509" i="2"/>
  <c r="U509" i="2"/>
  <c r="V509" i="2"/>
  <c r="W509" i="2"/>
  <c r="T510" i="2"/>
  <c r="U510" i="2"/>
  <c r="V510" i="2"/>
  <c r="W510" i="2"/>
  <c r="T511" i="2"/>
  <c r="U511" i="2"/>
  <c r="V511" i="2"/>
  <c r="W511" i="2"/>
  <c r="T512" i="2"/>
  <c r="U512" i="2"/>
  <c r="V512" i="2"/>
  <c r="W512" i="2"/>
  <c r="T513" i="2"/>
  <c r="U513" i="2"/>
  <c r="V513" i="2"/>
  <c r="W513" i="2"/>
  <c r="T514" i="2"/>
  <c r="U514" i="2"/>
  <c r="V514" i="2"/>
  <c r="W514" i="2"/>
  <c r="T516" i="2"/>
  <c r="U516" i="2"/>
  <c r="V516" i="2"/>
  <c r="W516" i="2"/>
  <c r="T517" i="2"/>
  <c r="U517" i="2"/>
  <c r="V517" i="2"/>
  <c r="W517" i="2"/>
  <c r="T518" i="2"/>
  <c r="U518" i="2"/>
  <c r="V518" i="2"/>
  <c r="W518" i="2"/>
  <c r="T524" i="2"/>
  <c r="U524" i="2"/>
  <c r="V524" i="2"/>
  <c r="W524" i="2"/>
  <c r="T525" i="2"/>
  <c r="U525" i="2"/>
  <c r="V525" i="2"/>
  <c r="W525" i="2"/>
  <c r="T526" i="2"/>
  <c r="U526" i="2"/>
  <c r="V526" i="2"/>
  <c r="W526" i="2"/>
  <c r="T527" i="2"/>
  <c r="U527" i="2"/>
  <c r="V527" i="2"/>
  <c r="W527" i="2"/>
  <c r="T528" i="2"/>
  <c r="U528" i="2"/>
  <c r="V528" i="2"/>
  <c r="W528" i="2"/>
  <c r="T529" i="2"/>
  <c r="U529" i="2"/>
  <c r="V529" i="2"/>
  <c r="W529" i="2"/>
  <c r="T530" i="2"/>
  <c r="U530" i="2"/>
  <c r="V530" i="2"/>
  <c r="W530" i="2"/>
  <c r="T531" i="2"/>
  <c r="U531" i="2"/>
  <c r="V531" i="2"/>
  <c r="W531" i="2"/>
  <c r="T532" i="2"/>
  <c r="U532" i="2"/>
  <c r="V532" i="2"/>
  <c r="W532" i="2"/>
  <c r="T533" i="2"/>
  <c r="U533" i="2"/>
  <c r="V533" i="2"/>
  <c r="W533" i="2"/>
  <c r="T534" i="2"/>
  <c r="U534" i="2"/>
  <c r="V534" i="2"/>
  <c r="W534" i="2"/>
  <c r="T535" i="2"/>
  <c r="U535" i="2"/>
  <c r="V535" i="2"/>
  <c r="W535" i="2"/>
  <c r="T536" i="2"/>
  <c r="U536" i="2"/>
  <c r="V536" i="2"/>
  <c r="W536" i="2"/>
  <c r="T537" i="2"/>
  <c r="U537" i="2"/>
  <c r="V537" i="2"/>
  <c r="W537" i="2"/>
  <c r="T538" i="2"/>
  <c r="U538" i="2"/>
  <c r="V538" i="2"/>
  <c r="W538" i="2"/>
  <c r="T539" i="2"/>
  <c r="U539" i="2"/>
  <c r="V539" i="2"/>
  <c r="W539" i="2"/>
  <c r="T540" i="2"/>
  <c r="U540" i="2"/>
  <c r="V540" i="2"/>
  <c r="W540" i="2"/>
  <c r="T541" i="2"/>
  <c r="U541" i="2"/>
  <c r="V541" i="2"/>
  <c r="W541" i="2"/>
  <c r="T542" i="2"/>
  <c r="U542" i="2"/>
  <c r="V542" i="2"/>
  <c r="W542" i="2"/>
  <c r="T543" i="2"/>
  <c r="U543" i="2"/>
  <c r="V543" i="2"/>
  <c r="W543" i="2"/>
  <c r="T545" i="2"/>
  <c r="U545" i="2"/>
  <c r="V545" i="2"/>
  <c r="W545" i="2"/>
  <c r="T546" i="2"/>
  <c r="U546" i="2"/>
  <c r="V546" i="2"/>
  <c r="W546" i="2"/>
  <c r="T547" i="2"/>
  <c r="U547" i="2"/>
  <c r="V547" i="2"/>
  <c r="W547" i="2"/>
  <c r="T553" i="2"/>
  <c r="U553" i="2"/>
  <c r="V553" i="2"/>
  <c r="W553" i="2"/>
  <c r="T554" i="2"/>
  <c r="U554" i="2"/>
  <c r="V554" i="2"/>
  <c r="W554" i="2"/>
  <c r="T555" i="2"/>
  <c r="U555" i="2"/>
  <c r="V555" i="2"/>
  <c r="W555" i="2"/>
  <c r="T556" i="2"/>
  <c r="U556" i="2"/>
  <c r="V556" i="2"/>
  <c r="W556" i="2"/>
  <c r="T557" i="2"/>
  <c r="U557" i="2"/>
  <c r="V557" i="2"/>
  <c r="W557" i="2"/>
  <c r="T558" i="2"/>
  <c r="U558" i="2"/>
  <c r="V558" i="2"/>
  <c r="W558" i="2"/>
  <c r="T559" i="2"/>
  <c r="U559" i="2"/>
  <c r="V559" i="2"/>
  <c r="W559" i="2"/>
  <c r="T560" i="2"/>
  <c r="U560" i="2"/>
  <c r="V560" i="2"/>
  <c r="W560" i="2"/>
  <c r="T561" i="2"/>
  <c r="U561" i="2"/>
  <c r="V561" i="2"/>
  <c r="W561" i="2"/>
  <c r="T562" i="2"/>
  <c r="U562" i="2"/>
  <c r="V562" i="2"/>
  <c r="W562" i="2"/>
  <c r="T563" i="2"/>
  <c r="U563" i="2"/>
  <c r="V563" i="2"/>
  <c r="W563" i="2"/>
  <c r="T564" i="2"/>
  <c r="U564" i="2"/>
  <c r="V564" i="2"/>
  <c r="W564" i="2"/>
  <c r="T565" i="2"/>
  <c r="U565" i="2"/>
  <c r="V565" i="2"/>
  <c r="W565" i="2"/>
  <c r="T566" i="2"/>
  <c r="U566" i="2"/>
  <c r="V566" i="2"/>
  <c r="W566" i="2"/>
  <c r="T567" i="2"/>
  <c r="U567" i="2"/>
  <c r="V567" i="2"/>
  <c r="W567" i="2"/>
  <c r="T568" i="2"/>
  <c r="U568" i="2"/>
  <c r="V568" i="2"/>
  <c r="W568" i="2"/>
  <c r="T569" i="2"/>
  <c r="U569" i="2"/>
  <c r="V569" i="2"/>
  <c r="W569" i="2"/>
  <c r="T570" i="2"/>
  <c r="U570" i="2"/>
  <c r="V570" i="2"/>
  <c r="W570" i="2"/>
  <c r="T571" i="2"/>
  <c r="U571" i="2"/>
  <c r="V571" i="2"/>
  <c r="W571" i="2"/>
  <c r="T572" i="2"/>
  <c r="U572" i="2"/>
  <c r="V572" i="2"/>
  <c r="W572" i="2"/>
  <c r="T574" i="2"/>
  <c r="U574" i="2"/>
  <c r="V574" i="2"/>
  <c r="W574" i="2"/>
  <c r="T575" i="2"/>
  <c r="U575" i="2"/>
  <c r="V575" i="2"/>
  <c r="W575" i="2"/>
  <c r="T576" i="2"/>
  <c r="U576" i="2"/>
  <c r="V576" i="2"/>
  <c r="W576" i="2"/>
  <c r="T582" i="2"/>
  <c r="U582" i="2"/>
  <c r="V582" i="2"/>
  <c r="W582" i="2"/>
  <c r="T583" i="2"/>
  <c r="U583" i="2"/>
  <c r="V583" i="2"/>
  <c r="W583" i="2"/>
  <c r="T584" i="2"/>
  <c r="U584" i="2"/>
  <c r="V584" i="2"/>
  <c r="W584" i="2"/>
  <c r="T585" i="2"/>
  <c r="U585" i="2"/>
  <c r="V585" i="2"/>
  <c r="W585" i="2"/>
  <c r="T586" i="2"/>
  <c r="U586" i="2"/>
  <c r="V586" i="2"/>
  <c r="W586" i="2"/>
  <c r="T587" i="2"/>
  <c r="U587" i="2"/>
  <c r="V587" i="2"/>
  <c r="W587" i="2"/>
  <c r="T588" i="2"/>
  <c r="U588" i="2"/>
  <c r="V588" i="2"/>
  <c r="W588" i="2"/>
  <c r="T589" i="2"/>
  <c r="U589" i="2"/>
  <c r="V589" i="2"/>
  <c r="W589" i="2"/>
  <c r="T590" i="2"/>
  <c r="U590" i="2"/>
  <c r="V590" i="2"/>
  <c r="W590" i="2"/>
  <c r="T591" i="2"/>
  <c r="U591" i="2"/>
  <c r="V591" i="2"/>
  <c r="W591" i="2"/>
  <c r="T592" i="2"/>
  <c r="U592" i="2"/>
  <c r="V592" i="2"/>
  <c r="W592" i="2"/>
  <c r="T593" i="2"/>
  <c r="U593" i="2"/>
  <c r="V593" i="2"/>
  <c r="W593" i="2"/>
  <c r="T594" i="2"/>
  <c r="U594" i="2"/>
  <c r="V594" i="2"/>
  <c r="W594" i="2"/>
  <c r="T595" i="2"/>
  <c r="U595" i="2"/>
  <c r="V595" i="2"/>
  <c r="W595" i="2"/>
  <c r="T596" i="2"/>
  <c r="U596" i="2"/>
  <c r="V596" i="2"/>
  <c r="W596" i="2"/>
  <c r="T597" i="2"/>
  <c r="U597" i="2"/>
  <c r="V597" i="2"/>
  <c r="W597" i="2"/>
  <c r="T598" i="2"/>
  <c r="U598" i="2"/>
  <c r="V598" i="2"/>
  <c r="W598" i="2"/>
  <c r="T599" i="2"/>
  <c r="U599" i="2"/>
  <c r="V599" i="2"/>
  <c r="W599" i="2"/>
  <c r="T600" i="2"/>
  <c r="U600" i="2"/>
  <c r="V600" i="2"/>
  <c r="W600" i="2"/>
  <c r="T601" i="2"/>
  <c r="U601" i="2"/>
  <c r="V601" i="2"/>
  <c r="W601" i="2"/>
  <c r="T603" i="2"/>
  <c r="U603" i="2"/>
  <c r="V603" i="2"/>
  <c r="W603" i="2"/>
  <c r="T604" i="2"/>
  <c r="U604" i="2"/>
  <c r="V604" i="2"/>
  <c r="W604" i="2"/>
  <c r="T605" i="2"/>
  <c r="U605" i="2"/>
  <c r="V605" i="2"/>
  <c r="W605" i="2"/>
  <c r="T611" i="2"/>
  <c r="U611" i="2"/>
  <c r="V611" i="2"/>
  <c r="W611" i="2"/>
  <c r="T612" i="2"/>
  <c r="U612" i="2"/>
  <c r="V612" i="2"/>
  <c r="W612" i="2"/>
  <c r="T613" i="2"/>
  <c r="U613" i="2"/>
  <c r="V613" i="2"/>
  <c r="W613" i="2"/>
  <c r="T614" i="2"/>
  <c r="U614" i="2"/>
  <c r="V614" i="2"/>
  <c r="W614" i="2"/>
  <c r="T615" i="2"/>
  <c r="U615" i="2"/>
  <c r="V615" i="2"/>
  <c r="W615" i="2"/>
  <c r="T616" i="2"/>
  <c r="U616" i="2"/>
  <c r="V616" i="2"/>
  <c r="W616" i="2"/>
  <c r="T617" i="2"/>
  <c r="U617" i="2"/>
  <c r="V617" i="2"/>
  <c r="W617" i="2"/>
  <c r="T618" i="2"/>
  <c r="U618" i="2"/>
  <c r="V618" i="2"/>
  <c r="W618" i="2"/>
  <c r="T619" i="2"/>
  <c r="U619" i="2"/>
  <c r="V619" i="2"/>
  <c r="W619" i="2"/>
  <c r="T620" i="2"/>
  <c r="U620" i="2"/>
  <c r="V620" i="2"/>
  <c r="W620" i="2"/>
  <c r="T621" i="2"/>
  <c r="U621" i="2"/>
  <c r="V621" i="2"/>
  <c r="W621" i="2"/>
  <c r="T622" i="2"/>
  <c r="U622" i="2"/>
  <c r="V622" i="2"/>
  <c r="W622" i="2"/>
  <c r="T623" i="2"/>
  <c r="U623" i="2"/>
  <c r="V623" i="2"/>
  <c r="W623" i="2"/>
  <c r="T624" i="2"/>
  <c r="U624" i="2"/>
  <c r="V624" i="2"/>
  <c r="W624" i="2"/>
  <c r="T625" i="2"/>
  <c r="U625" i="2"/>
  <c r="V625" i="2"/>
  <c r="W625" i="2"/>
  <c r="T626" i="2"/>
  <c r="U626" i="2"/>
  <c r="V626" i="2"/>
  <c r="W626" i="2"/>
  <c r="T627" i="2"/>
  <c r="U627" i="2"/>
  <c r="V627" i="2"/>
  <c r="W627" i="2"/>
  <c r="T628" i="2"/>
  <c r="U628" i="2"/>
  <c r="V628" i="2"/>
  <c r="W628" i="2"/>
  <c r="T629" i="2"/>
  <c r="U629" i="2"/>
  <c r="V629" i="2"/>
  <c r="W629" i="2"/>
  <c r="T630" i="2"/>
  <c r="U630" i="2"/>
  <c r="V630" i="2"/>
  <c r="W630" i="2"/>
  <c r="T632" i="2"/>
  <c r="U632" i="2"/>
  <c r="V632" i="2"/>
  <c r="W632" i="2"/>
  <c r="T633" i="2"/>
  <c r="U633" i="2"/>
  <c r="V633" i="2"/>
  <c r="W633" i="2"/>
  <c r="T634" i="2"/>
  <c r="U634" i="2"/>
  <c r="V634" i="2"/>
  <c r="W634" i="2"/>
  <c r="T640" i="2"/>
  <c r="U640" i="2"/>
  <c r="V640" i="2"/>
  <c r="W640" i="2"/>
  <c r="T641" i="2"/>
  <c r="U641" i="2"/>
  <c r="V641" i="2"/>
  <c r="W641" i="2"/>
  <c r="T642" i="2"/>
  <c r="U642" i="2"/>
  <c r="V642" i="2"/>
  <c r="W642" i="2"/>
  <c r="T643" i="2"/>
  <c r="U643" i="2"/>
  <c r="V643" i="2"/>
  <c r="W643" i="2"/>
  <c r="T644" i="2"/>
  <c r="U644" i="2"/>
  <c r="V644" i="2"/>
  <c r="W644" i="2"/>
  <c r="T645" i="2"/>
  <c r="U645" i="2"/>
  <c r="V645" i="2"/>
  <c r="W645" i="2"/>
  <c r="T646" i="2"/>
  <c r="U646" i="2"/>
  <c r="V646" i="2"/>
  <c r="W646" i="2"/>
  <c r="T647" i="2"/>
  <c r="U647" i="2"/>
  <c r="V647" i="2"/>
  <c r="W647" i="2"/>
  <c r="T648" i="2"/>
  <c r="U648" i="2"/>
  <c r="V648" i="2"/>
  <c r="W648" i="2"/>
  <c r="T649" i="2"/>
  <c r="U649" i="2"/>
  <c r="V649" i="2"/>
  <c r="W649" i="2"/>
  <c r="T650" i="2"/>
  <c r="U650" i="2"/>
  <c r="V650" i="2"/>
  <c r="W650" i="2"/>
  <c r="T651" i="2"/>
  <c r="U651" i="2"/>
  <c r="V651" i="2"/>
  <c r="W651" i="2"/>
  <c r="T652" i="2"/>
  <c r="U652" i="2"/>
  <c r="V652" i="2"/>
  <c r="W652" i="2"/>
  <c r="T653" i="2"/>
  <c r="U653" i="2"/>
  <c r="V653" i="2"/>
  <c r="W653" i="2"/>
  <c r="T654" i="2"/>
  <c r="U654" i="2"/>
  <c r="V654" i="2"/>
  <c r="W654" i="2"/>
  <c r="T655" i="2"/>
  <c r="U655" i="2"/>
  <c r="V655" i="2"/>
  <c r="W655" i="2"/>
  <c r="T656" i="2"/>
  <c r="U656" i="2"/>
  <c r="V656" i="2"/>
  <c r="W656" i="2"/>
  <c r="T657" i="2"/>
  <c r="U657" i="2"/>
  <c r="V657" i="2"/>
  <c r="W657" i="2"/>
  <c r="T658" i="2"/>
  <c r="U658" i="2"/>
  <c r="V658" i="2"/>
  <c r="W658" i="2"/>
  <c r="T659" i="2"/>
  <c r="U659" i="2"/>
  <c r="V659" i="2"/>
  <c r="W659" i="2"/>
  <c r="T661" i="2"/>
  <c r="U661" i="2"/>
  <c r="V661" i="2"/>
  <c r="W661" i="2"/>
  <c r="T662" i="2"/>
  <c r="U662" i="2"/>
  <c r="V662" i="2"/>
  <c r="W662" i="2"/>
  <c r="T663" i="2"/>
  <c r="U663" i="2"/>
  <c r="V663" i="2"/>
  <c r="W663" i="2"/>
  <c r="T669" i="2"/>
  <c r="U669" i="2"/>
  <c r="V669" i="2"/>
  <c r="W669" i="2"/>
  <c r="T670" i="2"/>
  <c r="U670" i="2"/>
  <c r="V670" i="2"/>
  <c r="W670" i="2"/>
  <c r="T671" i="2"/>
  <c r="U671" i="2"/>
  <c r="V671" i="2"/>
  <c r="W671" i="2"/>
  <c r="T672" i="2"/>
  <c r="U672" i="2"/>
  <c r="V672" i="2"/>
  <c r="W672" i="2"/>
  <c r="T673" i="2"/>
  <c r="U673" i="2"/>
  <c r="V673" i="2"/>
  <c r="W673" i="2"/>
  <c r="T674" i="2"/>
  <c r="U674" i="2"/>
  <c r="V674" i="2"/>
  <c r="W674" i="2"/>
  <c r="T675" i="2"/>
  <c r="U675" i="2"/>
  <c r="V675" i="2"/>
  <c r="W675" i="2"/>
  <c r="T676" i="2"/>
  <c r="U676" i="2"/>
  <c r="V676" i="2"/>
  <c r="W676" i="2"/>
  <c r="T677" i="2"/>
  <c r="U677" i="2"/>
  <c r="V677" i="2"/>
  <c r="W677" i="2"/>
  <c r="T678" i="2"/>
  <c r="U678" i="2"/>
  <c r="V678" i="2"/>
  <c r="W678" i="2"/>
  <c r="T679" i="2"/>
  <c r="U679" i="2"/>
  <c r="V679" i="2"/>
  <c r="W679" i="2"/>
  <c r="T680" i="2"/>
  <c r="U680" i="2"/>
  <c r="V680" i="2"/>
  <c r="W680" i="2"/>
  <c r="T681" i="2"/>
  <c r="U681" i="2"/>
  <c r="V681" i="2"/>
  <c r="W681" i="2"/>
  <c r="T682" i="2"/>
  <c r="U682" i="2"/>
  <c r="V682" i="2"/>
  <c r="W682" i="2"/>
  <c r="T683" i="2"/>
  <c r="U683" i="2"/>
  <c r="V683" i="2"/>
  <c r="W683" i="2"/>
  <c r="T684" i="2"/>
  <c r="U684" i="2"/>
  <c r="V684" i="2"/>
  <c r="W684" i="2"/>
  <c r="T685" i="2"/>
  <c r="U685" i="2"/>
  <c r="V685" i="2"/>
  <c r="W685" i="2"/>
  <c r="T686" i="2"/>
  <c r="U686" i="2"/>
  <c r="V686" i="2"/>
  <c r="W686" i="2"/>
  <c r="T687" i="2"/>
  <c r="U687" i="2"/>
  <c r="V687" i="2"/>
  <c r="W687" i="2"/>
  <c r="T688" i="2"/>
  <c r="U688" i="2"/>
  <c r="V688" i="2"/>
  <c r="W688" i="2"/>
  <c r="T690" i="2"/>
  <c r="U690" i="2"/>
  <c r="V690" i="2"/>
  <c r="W690" i="2"/>
  <c r="T691" i="2"/>
  <c r="U691" i="2"/>
  <c r="V691" i="2"/>
  <c r="W691" i="2"/>
  <c r="T692" i="2"/>
  <c r="U692" i="2"/>
  <c r="V692" i="2"/>
  <c r="W692" i="2"/>
  <c r="T698" i="2"/>
  <c r="U698" i="2"/>
  <c r="V698" i="2"/>
  <c r="W698" i="2"/>
  <c r="T699" i="2"/>
  <c r="U699" i="2"/>
  <c r="V699" i="2"/>
  <c r="W699" i="2"/>
  <c r="T700" i="2"/>
  <c r="U700" i="2"/>
  <c r="V700" i="2"/>
  <c r="W700" i="2"/>
  <c r="T701" i="2"/>
  <c r="U701" i="2"/>
  <c r="V701" i="2"/>
  <c r="W701" i="2"/>
  <c r="T702" i="2"/>
  <c r="U702" i="2"/>
  <c r="V702" i="2"/>
  <c r="W702" i="2"/>
  <c r="T703" i="2"/>
  <c r="U703" i="2"/>
  <c r="V703" i="2"/>
  <c r="W703" i="2"/>
  <c r="T704" i="2"/>
  <c r="U704" i="2"/>
  <c r="V704" i="2"/>
  <c r="W704" i="2"/>
  <c r="T705" i="2"/>
  <c r="U705" i="2"/>
  <c r="V705" i="2"/>
  <c r="W705" i="2"/>
  <c r="T706" i="2"/>
  <c r="U706" i="2"/>
  <c r="V706" i="2"/>
  <c r="W706" i="2"/>
  <c r="T707" i="2"/>
  <c r="U707" i="2"/>
  <c r="V707" i="2"/>
  <c r="W707" i="2"/>
  <c r="T708" i="2"/>
  <c r="U708" i="2"/>
  <c r="V708" i="2"/>
  <c r="W708" i="2"/>
  <c r="T709" i="2"/>
  <c r="U709" i="2"/>
  <c r="V709" i="2"/>
  <c r="W709" i="2"/>
  <c r="T710" i="2"/>
  <c r="U710" i="2"/>
  <c r="V710" i="2"/>
  <c r="W710" i="2"/>
  <c r="T711" i="2"/>
  <c r="U711" i="2"/>
  <c r="V711" i="2"/>
  <c r="W711" i="2"/>
  <c r="T712" i="2"/>
  <c r="U712" i="2"/>
  <c r="V712" i="2"/>
  <c r="W712" i="2"/>
  <c r="T713" i="2"/>
  <c r="U713" i="2"/>
  <c r="V713" i="2"/>
  <c r="W713" i="2"/>
  <c r="T714" i="2"/>
  <c r="U714" i="2"/>
  <c r="V714" i="2"/>
  <c r="W714" i="2"/>
  <c r="T715" i="2"/>
  <c r="U715" i="2"/>
  <c r="V715" i="2"/>
  <c r="W715" i="2"/>
  <c r="T716" i="2"/>
  <c r="U716" i="2"/>
  <c r="V716" i="2"/>
  <c r="W716" i="2"/>
  <c r="T717" i="2"/>
  <c r="U717" i="2"/>
  <c r="V717" i="2"/>
  <c r="W717" i="2"/>
  <c r="T719" i="2"/>
  <c r="U719" i="2"/>
  <c r="V719" i="2"/>
  <c r="W719" i="2"/>
  <c r="T720" i="2"/>
  <c r="U720" i="2"/>
  <c r="V720" i="2"/>
  <c r="W720" i="2"/>
  <c r="T721" i="2"/>
  <c r="U721" i="2"/>
  <c r="V721" i="2"/>
  <c r="W721" i="2"/>
  <c r="T727" i="2"/>
  <c r="U727" i="2"/>
  <c r="V727" i="2"/>
  <c r="W727" i="2"/>
  <c r="T728" i="2"/>
  <c r="U728" i="2"/>
  <c r="V728" i="2"/>
  <c r="W728" i="2"/>
  <c r="T729" i="2"/>
  <c r="U729" i="2"/>
  <c r="V729" i="2"/>
  <c r="W729" i="2"/>
  <c r="T730" i="2"/>
  <c r="U730" i="2"/>
  <c r="V730" i="2"/>
  <c r="W730" i="2"/>
  <c r="T731" i="2"/>
  <c r="U731" i="2"/>
  <c r="V731" i="2"/>
  <c r="W731" i="2"/>
  <c r="T732" i="2"/>
  <c r="U732" i="2"/>
  <c r="V732" i="2"/>
  <c r="W732" i="2"/>
  <c r="T733" i="2"/>
  <c r="U733" i="2"/>
  <c r="V733" i="2"/>
  <c r="W733" i="2"/>
  <c r="T734" i="2"/>
  <c r="U734" i="2"/>
  <c r="V734" i="2"/>
  <c r="W734" i="2"/>
  <c r="T735" i="2"/>
  <c r="U735" i="2"/>
  <c r="V735" i="2"/>
  <c r="W735" i="2"/>
  <c r="T736" i="2"/>
  <c r="U736" i="2"/>
  <c r="V736" i="2"/>
  <c r="W736" i="2"/>
  <c r="T737" i="2"/>
  <c r="U737" i="2"/>
  <c r="V737" i="2"/>
  <c r="W737" i="2"/>
  <c r="T738" i="2"/>
  <c r="U738" i="2"/>
  <c r="V738" i="2"/>
  <c r="W738" i="2"/>
  <c r="T739" i="2"/>
  <c r="U739" i="2"/>
  <c r="V739" i="2"/>
  <c r="W739" i="2"/>
  <c r="T740" i="2"/>
  <c r="U740" i="2"/>
  <c r="V740" i="2"/>
  <c r="W740" i="2"/>
  <c r="T741" i="2"/>
  <c r="U741" i="2"/>
  <c r="V741" i="2"/>
  <c r="W741" i="2"/>
  <c r="T742" i="2"/>
  <c r="U742" i="2"/>
  <c r="V742" i="2"/>
  <c r="W742" i="2"/>
  <c r="T743" i="2"/>
  <c r="U743" i="2"/>
  <c r="V743" i="2"/>
  <c r="W743" i="2"/>
  <c r="T744" i="2"/>
  <c r="U744" i="2"/>
  <c r="V744" i="2"/>
  <c r="W744" i="2"/>
  <c r="T745" i="2"/>
  <c r="U745" i="2"/>
  <c r="V745" i="2"/>
  <c r="W745" i="2"/>
  <c r="T746" i="2"/>
  <c r="U746" i="2"/>
  <c r="V746" i="2"/>
  <c r="W746" i="2"/>
  <c r="T748" i="2"/>
  <c r="U748" i="2"/>
  <c r="V748" i="2"/>
  <c r="W748" i="2"/>
  <c r="T749" i="2"/>
  <c r="U749" i="2"/>
  <c r="V749" i="2"/>
  <c r="W749" i="2"/>
  <c r="T750" i="2"/>
  <c r="U750" i="2"/>
  <c r="V750" i="2"/>
  <c r="W750" i="2"/>
  <c r="T756" i="2"/>
  <c r="U756" i="2"/>
  <c r="V756" i="2"/>
  <c r="W756" i="2"/>
  <c r="T757" i="2"/>
  <c r="U757" i="2"/>
  <c r="V757" i="2"/>
  <c r="W757" i="2"/>
  <c r="T758" i="2"/>
  <c r="U758" i="2"/>
  <c r="V758" i="2"/>
  <c r="W758" i="2"/>
  <c r="T759" i="2"/>
  <c r="U759" i="2"/>
  <c r="V759" i="2"/>
  <c r="W759" i="2"/>
  <c r="T760" i="2"/>
  <c r="U760" i="2"/>
  <c r="V760" i="2"/>
  <c r="W760" i="2"/>
  <c r="T761" i="2"/>
  <c r="U761" i="2"/>
  <c r="V761" i="2"/>
  <c r="W761" i="2"/>
  <c r="T762" i="2"/>
  <c r="U762" i="2"/>
  <c r="V762" i="2"/>
  <c r="W762" i="2"/>
  <c r="T763" i="2"/>
  <c r="U763" i="2"/>
  <c r="V763" i="2"/>
  <c r="W763" i="2"/>
  <c r="T764" i="2"/>
  <c r="U764" i="2"/>
  <c r="V764" i="2"/>
  <c r="W764" i="2"/>
  <c r="T765" i="2"/>
  <c r="U765" i="2"/>
  <c r="V765" i="2"/>
  <c r="W765" i="2"/>
  <c r="T766" i="2"/>
  <c r="U766" i="2"/>
  <c r="V766" i="2"/>
  <c r="W766" i="2"/>
  <c r="T767" i="2"/>
  <c r="U767" i="2"/>
  <c r="V767" i="2"/>
  <c r="W767" i="2"/>
  <c r="T768" i="2"/>
  <c r="U768" i="2"/>
  <c r="V768" i="2"/>
  <c r="W768" i="2"/>
  <c r="T769" i="2"/>
  <c r="U769" i="2"/>
  <c r="V769" i="2"/>
  <c r="W769" i="2"/>
  <c r="T770" i="2"/>
  <c r="U770" i="2"/>
  <c r="V770" i="2"/>
  <c r="W770" i="2"/>
  <c r="T771" i="2"/>
  <c r="U771" i="2"/>
  <c r="V771" i="2"/>
  <c r="W771" i="2"/>
  <c r="T772" i="2"/>
  <c r="U772" i="2"/>
  <c r="V772" i="2"/>
  <c r="W772" i="2"/>
  <c r="T773" i="2"/>
  <c r="U773" i="2"/>
  <c r="V773" i="2"/>
  <c r="W773" i="2"/>
  <c r="T774" i="2"/>
  <c r="U774" i="2"/>
  <c r="V774" i="2"/>
  <c r="W774" i="2"/>
  <c r="T775" i="2"/>
  <c r="U775" i="2"/>
  <c r="V775" i="2"/>
  <c r="W775" i="2"/>
  <c r="T777" i="2"/>
  <c r="U777" i="2"/>
  <c r="V777" i="2"/>
  <c r="W777" i="2"/>
  <c r="T778" i="2"/>
  <c r="U778" i="2"/>
  <c r="V778" i="2"/>
  <c r="W778" i="2"/>
  <c r="T779" i="2"/>
  <c r="U779" i="2"/>
  <c r="V779" i="2"/>
  <c r="W779" i="2"/>
  <c r="T785" i="2"/>
  <c r="U785" i="2"/>
  <c r="V785" i="2"/>
  <c r="W785" i="2"/>
  <c r="T786" i="2"/>
  <c r="U786" i="2"/>
  <c r="V786" i="2"/>
  <c r="W786" i="2"/>
  <c r="T787" i="2"/>
  <c r="U787" i="2"/>
  <c r="V787" i="2"/>
  <c r="W787" i="2"/>
  <c r="T788" i="2"/>
  <c r="U788" i="2"/>
  <c r="V788" i="2"/>
  <c r="W788" i="2"/>
  <c r="T789" i="2"/>
  <c r="U789" i="2"/>
  <c r="V789" i="2"/>
  <c r="W789" i="2"/>
  <c r="T790" i="2"/>
  <c r="U790" i="2"/>
  <c r="V790" i="2"/>
  <c r="W790" i="2"/>
  <c r="T791" i="2"/>
  <c r="U791" i="2"/>
  <c r="V791" i="2"/>
  <c r="W791" i="2"/>
  <c r="T792" i="2"/>
  <c r="U792" i="2"/>
  <c r="V792" i="2"/>
  <c r="W792" i="2"/>
  <c r="T793" i="2"/>
  <c r="U793" i="2"/>
  <c r="V793" i="2"/>
  <c r="W793" i="2"/>
  <c r="T794" i="2"/>
  <c r="U794" i="2"/>
  <c r="V794" i="2"/>
  <c r="W794" i="2"/>
  <c r="T795" i="2"/>
  <c r="U795" i="2"/>
  <c r="V795" i="2"/>
  <c r="W795" i="2"/>
  <c r="T796" i="2"/>
  <c r="U796" i="2"/>
  <c r="V796" i="2"/>
  <c r="W796" i="2"/>
  <c r="T797" i="2"/>
  <c r="U797" i="2"/>
  <c r="V797" i="2"/>
  <c r="W797" i="2"/>
  <c r="T798" i="2"/>
  <c r="U798" i="2"/>
  <c r="V798" i="2"/>
  <c r="W798" i="2"/>
  <c r="T799" i="2"/>
  <c r="U799" i="2"/>
  <c r="V799" i="2"/>
  <c r="W799" i="2"/>
  <c r="T800" i="2"/>
  <c r="U800" i="2"/>
  <c r="V800" i="2"/>
  <c r="W800" i="2"/>
  <c r="T801" i="2"/>
  <c r="U801" i="2"/>
  <c r="V801" i="2"/>
  <c r="W801" i="2"/>
  <c r="T802" i="2"/>
  <c r="U802" i="2"/>
  <c r="V802" i="2"/>
  <c r="W802" i="2"/>
  <c r="T803" i="2"/>
  <c r="U803" i="2"/>
  <c r="V803" i="2"/>
  <c r="W803" i="2"/>
  <c r="T804" i="2"/>
  <c r="U804" i="2"/>
  <c r="V804" i="2"/>
  <c r="W804" i="2"/>
  <c r="T806" i="2"/>
  <c r="U806" i="2"/>
  <c r="V806" i="2"/>
  <c r="W806" i="2"/>
  <c r="T807" i="2"/>
  <c r="U807" i="2"/>
  <c r="V807" i="2"/>
  <c r="W807" i="2"/>
  <c r="T808" i="2"/>
  <c r="U808" i="2"/>
  <c r="V808" i="2"/>
  <c r="W808" i="2"/>
  <c r="W781" i="2" l="1"/>
  <c r="W723" i="2"/>
  <c r="W636" i="2"/>
  <c r="W578" i="2"/>
  <c r="W462" i="2"/>
  <c r="W404" i="2"/>
  <c r="W288" i="2"/>
  <c r="W230" i="2"/>
  <c r="V810" i="2"/>
  <c r="V781" i="2"/>
  <c r="V752" i="2"/>
  <c r="V723" i="2"/>
  <c r="V694" i="2"/>
  <c r="V665" i="2"/>
  <c r="V636" i="2"/>
  <c r="V607" i="2"/>
  <c r="V578" i="2"/>
  <c r="V549" i="2"/>
  <c r="V520" i="2"/>
  <c r="V491" i="2"/>
  <c r="V462" i="2"/>
  <c r="V433" i="2"/>
  <c r="V404" i="2"/>
  <c r="V375" i="2"/>
  <c r="V317" i="2"/>
  <c r="V288" i="2"/>
  <c r="V259" i="2"/>
  <c r="V230" i="2"/>
  <c r="W752" i="2"/>
  <c r="W665" i="2"/>
  <c r="W549" i="2"/>
  <c r="W491" i="2"/>
  <c r="W375" i="2"/>
  <c r="W259" i="2"/>
  <c r="U810" i="2"/>
  <c r="U781" i="2"/>
  <c r="U752" i="2"/>
  <c r="U723" i="2"/>
  <c r="U694" i="2"/>
  <c r="U665" i="2"/>
  <c r="U636" i="2"/>
  <c r="U607" i="2"/>
  <c r="U578" i="2"/>
  <c r="U549" i="2"/>
  <c r="U520" i="2"/>
  <c r="U491" i="2"/>
  <c r="U462" i="2"/>
  <c r="U433" i="2"/>
  <c r="U404" i="2"/>
  <c r="U375" i="2"/>
  <c r="U317" i="2"/>
  <c r="U288" i="2"/>
  <c r="U259" i="2"/>
  <c r="U230" i="2"/>
  <c r="W810" i="2"/>
  <c r="W694" i="2"/>
  <c r="W607" i="2"/>
  <c r="W520" i="2"/>
  <c r="W433" i="2"/>
  <c r="W317" i="2"/>
  <c r="T810" i="2"/>
  <c r="T781" i="2"/>
  <c r="T752" i="2"/>
  <c r="T723" i="2"/>
  <c r="T694" i="2"/>
  <c r="T665" i="2"/>
  <c r="T636" i="2"/>
  <c r="T607" i="2"/>
  <c r="T578" i="2"/>
  <c r="T549" i="2"/>
  <c r="T520" i="2"/>
  <c r="T491" i="2"/>
  <c r="T462" i="2"/>
  <c r="T433" i="2"/>
  <c r="T404" i="2"/>
  <c r="T375" i="2"/>
  <c r="T317" i="2"/>
  <c r="T288" i="2"/>
  <c r="T259" i="2"/>
  <c r="T230" i="2"/>
  <c r="P205" i="2"/>
  <c r="Q205" i="2"/>
  <c r="R205" i="2"/>
  <c r="S205" i="2"/>
  <c r="P206" i="2"/>
  <c r="Q206" i="2"/>
  <c r="R206" i="2"/>
  <c r="S206" i="2"/>
  <c r="P207" i="2"/>
  <c r="Q207" i="2"/>
  <c r="R207" i="2"/>
  <c r="S207" i="2"/>
  <c r="P208" i="2"/>
  <c r="Q208" i="2"/>
  <c r="R208" i="2"/>
  <c r="S208" i="2"/>
  <c r="P209" i="2"/>
  <c r="Q209" i="2"/>
  <c r="R209" i="2"/>
  <c r="S209" i="2"/>
  <c r="P210" i="2"/>
  <c r="Q210" i="2"/>
  <c r="R210" i="2"/>
  <c r="S210" i="2"/>
  <c r="P211" i="2"/>
  <c r="Q211" i="2"/>
  <c r="R211" i="2"/>
  <c r="S211" i="2"/>
  <c r="P212" i="2"/>
  <c r="Q212" i="2"/>
  <c r="R212" i="2"/>
  <c r="S212" i="2"/>
  <c r="P213" i="2"/>
  <c r="Q213" i="2"/>
  <c r="R213" i="2"/>
  <c r="S213" i="2"/>
  <c r="P214" i="2"/>
  <c r="Q214" i="2"/>
  <c r="R214" i="2"/>
  <c r="S214" i="2"/>
  <c r="P215" i="2"/>
  <c r="Q215" i="2"/>
  <c r="R215" i="2"/>
  <c r="S215" i="2"/>
  <c r="P216" i="2"/>
  <c r="Q216" i="2"/>
  <c r="R216" i="2"/>
  <c r="S216" i="2"/>
  <c r="P217" i="2"/>
  <c r="Q217" i="2"/>
  <c r="R217" i="2"/>
  <c r="S217" i="2"/>
  <c r="P218" i="2"/>
  <c r="Q218" i="2"/>
  <c r="R218" i="2"/>
  <c r="S218" i="2"/>
  <c r="P219" i="2"/>
  <c r="Q219" i="2"/>
  <c r="R219" i="2"/>
  <c r="S219" i="2"/>
  <c r="P220" i="2"/>
  <c r="Q220" i="2"/>
  <c r="R220" i="2"/>
  <c r="S220" i="2"/>
  <c r="P221" i="2"/>
  <c r="Q221" i="2"/>
  <c r="R221" i="2"/>
  <c r="S221" i="2"/>
  <c r="P222" i="2"/>
  <c r="Q222" i="2"/>
  <c r="R222" i="2"/>
  <c r="S222" i="2"/>
  <c r="P223" i="2"/>
  <c r="Q223" i="2"/>
  <c r="R223" i="2"/>
  <c r="S223" i="2"/>
  <c r="P224" i="2"/>
  <c r="Q224" i="2"/>
  <c r="R224" i="2"/>
  <c r="S224" i="2"/>
  <c r="P226" i="2"/>
  <c r="Q226" i="2"/>
  <c r="R226" i="2"/>
  <c r="S226" i="2"/>
  <c r="P227" i="2"/>
  <c r="Q227" i="2"/>
  <c r="R227" i="2"/>
  <c r="S227" i="2"/>
  <c r="P228" i="2"/>
  <c r="Q228" i="2"/>
  <c r="R228" i="2"/>
  <c r="S228" i="2"/>
  <c r="P234" i="2"/>
  <c r="Q234" i="2"/>
  <c r="R234" i="2"/>
  <c r="S234" i="2"/>
  <c r="P235" i="2"/>
  <c r="Q235" i="2"/>
  <c r="R235" i="2"/>
  <c r="S235" i="2"/>
  <c r="P236" i="2"/>
  <c r="Q236" i="2"/>
  <c r="R236" i="2"/>
  <c r="S236" i="2"/>
  <c r="P237" i="2"/>
  <c r="Q237" i="2"/>
  <c r="R237" i="2"/>
  <c r="S237" i="2"/>
  <c r="P238" i="2"/>
  <c r="Q238" i="2"/>
  <c r="R238" i="2"/>
  <c r="S238" i="2"/>
  <c r="P239" i="2"/>
  <c r="Q239" i="2"/>
  <c r="R239" i="2"/>
  <c r="S239" i="2"/>
  <c r="P240" i="2"/>
  <c r="Q240" i="2"/>
  <c r="R240" i="2"/>
  <c r="S240" i="2"/>
  <c r="P241" i="2"/>
  <c r="Q241" i="2"/>
  <c r="R241" i="2"/>
  <c r="S241" i="2"/>
  <c r="P242" i="2"/>
  <c r="Q242" i="2"/>
  <c r="R242" i="2"/>
  <c r="S242" i="2"/>
  <c r="P243" i="2"/>
  <c r="Q243" i="2"/>
  <c r="R243" i="2"/>
  <c r="S243" i="2"/>
  <c r="P244" i="2"/>
  <c r="Q244" i="2"/>
  <c r="R244" i="2"/>
  <c r="S244" i="2"/>
  <c r="P245" i="2"/>
  <c r="Q245" i="2"/>
  <c r="R245" i="2"/>
  <c r="S245" i="2"/>
  <c r="P246" i="2"/>
  <c r="Q246" i="2"/>
  <c r="R246" i="2"/>
  <c r="S246" i="2"/>
  <c r="P247" i="2"/>
  <c r="Q247" i="2"/>
  <c r="R247" i="2"/>
  <c r="S247" i="2"/>
  <c r="P248" i="2"/>
  <c r="Q248" i="2"/>
  <c r="R248" i="2"/>
  <c r="S248" i="2"/>
  <c r="P249" i="2"/>
  <c r="Q249" i="2"/>
  <c r="R249" i="2"/>
  <c r="S249" i="2"/>
  <c r="P250" i="2"/>
  <c r="Q250" i="2"/>
  <c r="R250" i="2"/>
  <c r="S250" i="2"/>
  <c r="P251" i="2"/>
  <c r="Q251" i="2"/>
  <c r="R251" i="2"/>
  <c r="S251" i="2"/>
  <c r="P252" i="2"/>
  <c r="Q252" i="2"/>
  <c r="R252" i="2"/>
  <c r="S252" i="2"/>
  <c r="P253" i="2"/>
  <c r="Q253" i="2"/>
  <c r="R253" i="2"/>
  <c r="S253" i="2"/>
  <c r="P255" i="2"/>
  <c r="Q255" i="2"/>
  <c r="R255" i="2"/>
  <c r="S255" i="2"/>
  <c r="P256" i="2"/>
  <c r="Q256" i="2"/>
  <c r="R256" i="2"/>
  <c r="S256" i="2"/>
  <c r="P257" i="2"/>
  <c r="Q257" i="2"/>
  <c r="R257" i="2"/>
  <c r="S257" i="2"/>
  <c r="P263" i="2"/>
  <c r="Q263" i="2"/>
  <c r="R263" i="2"/>
  <c r="S263" i="2"/>
  <c r="P264" i="2"/>
  <c r="Q264" i="2"/>
  <c r="R264" i="2"/>
  <c r="S264" i="2"/>
  <c r="P265" i="2"/>
  <c r="Q265" i="2"/>
  <c r="R265" i="2"/>
  <c r="S265" i="2"/>
  <c r="P266" i="2"/>
  <c r="Q266" i="2"/>
  <c r="R266" i="2"/>
  <c r="S266" i="2"/>
  <c r="P267" i="2"/>
  <c r="Q267" i="2"/>
  <c r="R267" i="2"/>
  <c r="S267" i="2"/>
  <c r="P268" i="2"/>
  <c r="Q268" i="2"/>
  <c r="R268" i="2"/>
  <c r="S268" i="2"/>
  <c r="P269" i="2"/>
  <c r="Q269" i="2"/>
  <c r="R269" i="2"/>
  <c r="S269" i="2"/>
  <c r="P270" i="2"/>
  <c r="Q270" i="2"/>
  <c r="R270" i="2"/>
  <c r="S270" i="2"/>
  <c r="P271" i="2"/>
  <c r="Q271" i="2"/>
  <c r="R271" i="2"/>
  <c r="S271" i="2"/>
  <c r="P272" i="2"/>
  <c r="Q272" i="2"/>
  <c r="R272" i="2"/>
  <c r="S272" i="2"/>
  <c r="P273" i="2"/>
  <c r="Q273" i="2"/>
  <c r="R273" i="2"/>
  <c r="S273" i="2"/>
  <c r="P274" i="2"/>
  <c r="Q274" i="2"/>
  <c r="R274" i="2"/>
  <c r="S274" i="2"/>
  <c r="P275" i="2"/>
  <c r="Q275" i="2"/>
  <c r="R275" i="2"/>
  <c r="S275" i="2"/>
  <c r="P276" i="2"/>
  <c r="Q276" i="2"/>
  <c r="R276" i="2"/>
  <c r="S276" i="2"/>
  <c r="P277" i="2"/>
  <c r="Q277" i="2"/>
  <c r="R277" i="2"/>
  <c r="S277" i="2"/>
  <c r="P278" i="2"/>
  <c r="Q278" i="2"/>
  <c r="R278" i="2"/>
  <c r="S278" i="2"/>
  <c r="P279" i="2"/>
  <c r="Q279" i="2"/>
  <c r="R279" i="2"/>
  <c r="S279" i="2"/>
  <c r="P280" i="2"/>
  <c r="Q280" i="2"/>
  <c r="R280" i="2"/>
  <c r="S280" i="2"/>
  <c r="P281" i="2"/>
  <c r="Q281" i="2"/>
  <c r="R281" i="2"/>
  <c r="S281" i="2"/>
  <c r="P282" i="2"/>
  <c r="Q282" i="2"/>
  <c r="R282" i="2"/>
  <c r="S282" i="2"/>
  <c r="P284" i="2"/>
  <c r="Q284" i="2"/>
  <c r="R284" i="2"/>
  <c r="S284" i="2"/>
  <c r="P285" i="2"/>
  <c r="Q285" i="2"/>
  <c r="R285" i="2"/>
  <c r="S285" i="2"/>
  <c r="P286" i="2"/>
  <c r="Q286" i="2"/>
  <c r="R286" i="2"/>
  <c r="S286" i="2"/>
  <c r="P292" i="2"/>
  <c r="Q292" i="2"/>
  <c r="R292" i="2"/>
  <c r="S292" i="2"/>
  <c r="P293" i="2"/>
  <c r="Q293" i="2"/>
  <c r="R293" i="2"/>
  <c r="S293" i="2"/>
  <c r="P294" i="2"/>
  <c r="Q294" i="2"/>
  <c r="R294" i="2"/>
  <c r="S294" i="2"/>
  <c r="P295" i="2"/>
  <c r="Q295" i="2"/>
  <c r="R295" i="2"/>
  <c r="S295" i="2"/>
  <c r="P296" i="2"/>
  <c r="Q296" i="2"/>
  <c r="R296" i="2"/>
  <c r="S296" i="2"/>
  <c r="P297" i="2"/>
  <c r="Q297" i="2"/>
  <c r="R297" i="2"/>
  <c r="S297" i="2"/>
  <c r="P298" i="2"/>
  <c r="Q298" i="2"/>
  <c r="R298" i="2"/>
  <c r="S298" i="2"/>
  <c r="P299" i="2"/>
  <c r="Q299" i="2"/>
  <c r="R299" i="2"/>
  <c r="S299" i="2"/>
  <c r="P300" i="2"/>
  <c r="Q300" i="2"/>
  <c r="R300" i="2"/>
  <c r="S300" i="2"/>
  <c r="P301" i="2"/>
  <c r="Q301" i="2"/>
  <c r="R301" i="2"/>
  <c r="S301" i="2"/>
  <c r="P302" i="2"/>
  <c r="Q302" i="2"/>
  <c r="R302" i="2"/>
  <c r="S302" i="2"/>
  <c r="P303" i="2"/>
  <c r="Q303" i="2"/>
  <c r="R303" i="2"/>
  <c r="S303" i="2"/>
  <c r="P304" i="2"/>
  <c r="Q304" i="2"/>
  <c r="R304" i="2"/>
  <c r="S304" i="2"/>
  <c r="P305" i="2"/>
  <c r="Q305" i="2"/>
  <c r="R305" i="2"/>
  <c r="S305" i="2"/>
  <c r="P306" i="2"/>
  <c r="Q306" i="2"/>
  <c r="R306" i="2"/>
  <c r="S306" i="2"/>
  <c r="P307" i="2"/>
  <c r="Q307" i="2"/>
  <c r="R307" i="2"/>
  <c r="S307" i="2"/>
  <c r="P308" i="2"/>
  <c r="Q308" i="2"/>
  <c r="R308" i="2"/>
  <c r="S308" i="2"/>
  <c r="P309" i="2"/>
  <c r="Q309" i="2"/>
  <c r="R309" i="2"/>
  <c r="S309" i="2"/>
  <c r="P310" i="2"/>
  <c r="Q310" i="2"/>
  <c r="R310" i="2"/>
  <c r="S310" i="2"/>
  <c r="P311" i="2"/>
  <c r="Q311" i="2"/>
  <c r="R311" i="2"/>
  <c r="S311" i="2"/>
  <c r="P313" i="2"/>
  <c r="Q313" i="2"/>
  <c r="R313" i="2"/>
  <c r="S313" i="2"/>
  <c r="P314" i="2"/>
  <c r="Q314" i="2"/>
  <c r="R314" i="2"/>
  <c r="S314" i="2"/>
  <c r="P315" i="2"/>
  <c r="Q315" i="2"/>
  <c r="R315" i="2"/>
  <c r="S315" i="2"/>
  <c r="P321" i="2"/>
  <c r="Q321" i="2"/>
  <c r="R321" i="2"/>
  <c r="S321" i="2"/>
  <c r="P322" i="2"/>
  <c r="Q322" i="2"/>
  <c r="R322" i="2"/>
  <c r="S322" i="2"/>
  <c r="P323" i="2"/>
  <c r="Q323" i="2"/>
  <c r="R323" i="2"/>
  <c r="S323" i="2"/>
  <c r="P324" i="2"/>
  <c r="Q324" i="2"/>
  <c r="R324" i="2"/>
  <c r="S324" i="2"/>
  <c r="P325" i="2"/>
  <c r="Q325" i="2"/>
  <c r="R325" i="2"/>
  <c r="S325" i="2"/>
  <c r="P326" i="2"/>
  <c r="Q326" i="2"/>
  <c r="R326" i="2"/>
  <c r="S326" i="2"/>
  <c r="P327" i="2"/>
  <c r="Q327" i="2"/>
  <c r="R327" i="2"/>
  <c r="S327" i="2"/>
  <c r="P328" i="2"/>
  <c r="Q328" i="2"/>
  <c r="R328" i="2"/>
  <c r="S328" i="2"/>
  <c r="P329" i="2"/>
  <c r="Q329" i="2"/>
  <c r="R329" i="2"/>
  <c r="S329" i="2"/>
  <c r="P330" i="2"/>
  <c r="Q330" i="2"/>
  <c r="R330" i="2"/>
  <c r="S330" i="2"/>
  <c r="P331" i="2"/>
  <c r="Q331" i="2"/>
  <c r="R331" i="2"/>
  <c r="S331" i="2"/>
  <c r="P332" i="2"/>
  <c r="Q332" i="2"/>
  <c r="R332" i="2"/>
  <c r="S332" i="2"/>
  <c r="P333" i="2"/>
  <c r="Q333" i="2"/>
  <c r="R333" i="2"/>
  <c r="S333" i="2"/>
  <c r="P334" i="2"/>
  <c r="Q334" i="2"/>
  <c r="R334" i="2"/>
  <c r="S334" i="2"/>
  <c r="P335" i="2"/>
  <c r="Q335" i="2"/>
  <c r="R335" i="2"/>
  <c r="S335" i="2"/>
  <c r="P336" i="2"/>
  <c r="Q336" i="2"/>
  <c r="R336" i="2"/>
  <c r="S336" i="2"/>
  <c r="P337" i="2"/>
  <c r="Q337" i="2"/>
  <c r="R337" i="2"/>
  <c r="S337" i="2"/>
  <c r="P338" i="2"/>
  <c r="Q338" i="2"/>
  <c r="R338" i="2"/>
  <c r="S338" i="2"/>
  <c r="P339" i="2"/>
  <c r="Q339" i="2"/>
  <c r="R339" i="2"/>
  <c r="S339" i="2"/>
  <c r="P340" i="2"/>
  <c r="Q340" i="2"/>
  <c r="R340" i="2"/>
  <c r="S340" i="2"/>
  <c r="P342" i="2"/>
  <c r="Q342" i="2"/>
  <c r="R342" i="2"/>
  <c r="S342" i="2"/>
  <c r="P343" i="2"/>
  <c r="Q343" i="2"/>
  <c r="R343" i="2"/>
  <c r="S343" i="2"/>
  <c r="P344" i="2"/>
  <c r="Q344" i="2"/>
  <c r="R344" i="2"/>
  <c r="S344" i="2"/>
  <c r="P350" i="2"/>
  <c r="Q350" i="2"/>
  <c r="R350" i="2"/>
  <c r="S350" i="2"/>
  <c r="P351" i="2"/>
  <c r="Q351" i="2"/>
  <c r="R351" i="2"/>
  <c r="S351" i="2"/>
  <c r="P352" i="2"/>
  <c r="Q352" i="2"/>
  <c r="R352" i="2"/>
  <c r="S352" i="2"/>
  <c r="P353" i="2"/>
  <c r="Q353" i="2"/>
  <c r="R353" i="2"/>
  <c r="S353" i="2"/>
  <c r="P354" i="2"/>
  <c r="Q354" i="2"/>
  <c r="R354" i="2"/>
  <c r="S354" i="2"/>
  <c r="P355" i="2"/>
  <c r="Q355" i="2"/>
  <c r="R355" i="2"/>
  <c r="S355" i="2"/>
  <c r="P356" i="2"/>
  <c r="Q356" i="2"/>
  <c r="R356" i="2"/>
  <c r="S356" i="2"/>
  <c r="P357" i="2"/>
  <c r="Q357" i="2"/>
  <c r="R357" i="2"/>
  <c r="S357" i="2"/>
  <c r="P358" i="2"/>
  <c r="Q358" i="2"/>
  <c r="R358" i="2"/>
  <c r="S358" i="2"/>
  <c r="P359" i="2"/>
  <c r="Q359" i="2"/>
  <c r="R359" i="2"/>
  <c r="S359" i="2"/>
  <c r="P360" i="2"/>
  <c r="Q360" i="2"/>
  <c r="R360" i="2"/>
  <c r="S360" i="2"/>
  <c r="P361" i="2"/>
  <c r="Q361" i="2"/>
  <c r="R361" i="2"/>
  <c r="S361" i="2"/>
  <c r="P362" i="2"/>
  <c r="Q362" i="2"/>
  <c r="R362" i="2"/>
  <c r="S362" i="2"/>
  <c r="P363" i="2"/>
  <c r="Q363" i="2"/>
  <c r="R363" i="2"/>
  <c r="S363" i="2"/>
  <c r="P364" i="2"/>
  <c r="Q364" i="2"/>
  <c r="R364" i="2"/>
  <c r="S364" i="2"/>
  <c r="P365" i="2"/>
  <c r="Q365" i="2"/>
  <c r="R365" i="2"/>
  <c r="S365" i="2"/>
  <c r="P366" i="2"/>
  <c r="Q366" i="2"/>
  <c r="R366" i="2"/>
  <c r="S366" i="2"/>
  <c r="P367" i="2"/>
  <c r="Q367" i="2"/>
  <c r="R367" i="2"/>
  <c r="S367" i="2"/>
  <c r="P368" i="2"/>
  <c r="Q368" i="2"/>
  <c r="R368" i="2"/>
  <c r="S368" i="2"/>
  <c r="P369" i="2"/>
  <c r="Q369" i="2"/>
  <c r="R369" i="2"/>
  <c r="S369" i="2"/>
  <c r="P371" i="2"/>
  <c r="Q371" i="2"/>
  <c r="R371" i="2"/>
  <c r="S371" i="2"/>
  <c r="P372" i="2"/>
  <c r="Q372" i="2"/>
  <c r="R372" i="2"/>
  <c r="S372" i="2"/>
  <c r="P373" i="2"/>
  <c r="Q373" i="2"/>
  <c r="R373" i="2"/>
  <c r="S373" i="2"/>
  <c r="P379" i="2"/>
  <c r="Q379" i="2"/>
  <c r="R379" i="2"/>
  <c r="S379" i="2"/>
  <c r="P380" i="2"/>
  <c r="Q380" i="2"/>
  <c r="R380" i="2"/>
  <c r="S380" i="2"/>
  <c r="P381" i="2"/>
  <c r="Q381" i="2"/>
  <c r="R381" i="2"/>
  <c r="S381" i="2"/>
  <c r="P382" i="2"/>
  <c r="Q382" i="2"/>
  <c r="R382" i="2"/>
  <c r="S382" i="2"/>
  <c r="P383" i="2"/>
  <c r="Q383" i="2"/>
  <c r="R383" i="2"/>
  <c r="S383" i="2"/>
  <c r="P384" i="2"/>
  <c r="Q384" i="2"/>
  <c r="R384" i="2"/>
  <c r="S384" i="2"/>
  <c r="P385" i="2"/>
  <c r="Q385" i="2"/>
  <c r="R385" i="2"/>
  <c r="S385" i="2"/>
  <c r="P386" i="2"/>
  <c r="Q386" i="2"/>
  <c r="R386" i="2"/>
  <c r="S386" i="2"/>
  <c r="P387" i="2"/>
  <c r="Q387" i="2"/>
  <c r="R387" i="2"/>
  <c r="S387" i="2"/>
  <c r="P388" i="2"/>
  <c r="Q388" i="2"/>
  <c r="R388" i="2"/>
  <c r="S388" i="2"/>
  <c r="P389" i="2"/>
  <c r="Q389" i="2"/>
  <c r="R389" i="2"/>
  <c r="S389" i="2"/>
  <c r="P390" i="2"/>
  <c r="Q390" i="2"/>
  <c r="R390" i="2"/>
  <c r="S390" i="2"/>
  <c r="P391" i="2"/>
  <c r="Q391" i="2"/>
  <c r="R391" i="2"/>
  <c r="S391" i="2"/>
  <c r="P392" i="2"/>
  <c r="Q392" i="2"/>
  <c r="R392" i="2"/>
  <c r="S392" i="2"/>
  <c r="P393" i="2"/>
  <c r="Q393" i="2"/>
  <c r="R393" i="2"/>
  <c r="S393" i="2"/>
  <c r="P394" i="2"/>
  <c r="Q394" i="2"/>
  <c r="R394" i="2"/>
  <c r="S394" i="2"/>
  <c r="P395" i="2"/>
  <c r="Q395" i="2"/>
  <c r="R395" i="2"/>
  <c r="S395" i="2"/>
  <c r="P396" i="2"/>
  <c r="Q396" i="2"/>
  <c r="R396" i="2"/>
  <c r="S396" i="2"/>
  <c r="P397" i="2"/>
  <c r="Q397" i="2"/>
  <c r="R397" i="2"/>
  <c r="S397" i="2"/>
  <c r="P398" i="2"/>
  <c r="Q398" i="2"/>
  <c r="R398" i="2"/>
  <c r="S398" i="2"/>
  <c r="P400" i="2"/>
  <c r="Q400" i="2"/>
  <c r="R400" i="2"/>
  <c r="S400" i="2"/>
  <c r="P401" i="2"/>
  <c r="Q401" i="2"/>
  <c r="R401" i="2"/>
  <c r="S401" i="2"/>
  <c r="P402" i="2"/>
  <c r="Q402" i="2"/>
  <c r="R402" i="2"/>
  <c r="S402" i="2"/>
  <c r="P408" i="2"/>
  <c r="Q408" i="2"/>
  <c r="R408" i="2"/>
  <c r="S408" i="2"/>
  <c r="P409" i="2"/>
  <c r="Q409" i="2"/>
  <c r="R409" i="2"/>
  <c r="S409" i="2"/>
  <c r="P410" i="2"/>
  <c r="Q410" i="2"/>
  <c r="R410" i="2"/>
  <c r="S410" i="2"/>
  <c r="P411" i="2"/>
  <c r="Q411" i="2"/>
  <c r="R411" i="2"/>
  <c r="S411" i="2"/>
  <c r="P412" i="2"/>
  <c r="Q412" i="2"/>
  <c r="R412" i="2"/>
  <c r="S412" i="2"/>
  <c r="P413" i="2"/>
  <c r="Q413" i="2"/>
  <c r="R413" i="2"/>
  <c r="S413" i="2"/>
  <c r="P414" i="2"/>
  <c r="Q414" i="2"/>
  <c r="R414" i="2"/>
  <c r="S414" i="2"/>
  <c r="P415" i="2"/>
  <c r="Q415" i="2"/>
  <c r="R415" i="2"/>
  <c r="S415" i="2"/>
  <c r="P416" i="2"/>
  <c r="Q416" i="2"/>
  <c r="R416" i="2"/>
  <c r="S416" i="2"/>
  <c r="P417" i="2"/>
  <c r="Q417" i="2"/>
  <c r="R417" i="2"/>
  <c r="S417" i="2"/>
  <c r="P418" i="2"/>
  <c r="Q418" i="2"/>
  <c r="R418" i="2"/>
  <c r="S418" i="2"/>
  <c r="P419" i="2"/>
  <c r="Q419" i="2"/>
  <c r="R419" i="2"/>
  <c r="S419" i="2"/>
  <c r="P420" i="2"/>
  <c r="Q420" i="2"/>
  <c r="R420" i="2"/>
  <c r="S420" i="2"/>
  <c r="P421" i="2"/>
  <c r="Q421" i="2"/>
  <c r="R421" i="2"/>
  <c r="S421" i="2"/>
  <c r="P422" i="2"/>
  <c r="Q422" i="2"/>
  <c r="R422" i="2"/>
  <c r="S422" i="2"/>
  <c r="P423" i="2"/>
  <c r="Q423" i="2"/>
  <c r="R423" i="2"/>
  <c r="S423" i="2"/>
  <c r="P424" i="2"/>
  <c r="Q424" i="2"/>
  <c r="R424" i="2"/>
  <c r="S424" i="2"/>
  <c r="P425" i="2"/>
  <c r="Q425" i="2"/>
  <c r="R425" i="2"/>
  <c r="S425" i="2"/>
  <c r="P426" i="2"/>
  <c r="Q426" i="2"/>
  <c r="R426" i="2"/>
  <c r="S426" i="2"/>
  <c r="P427" i="2"/>
  <c r="Q427" i="2"/>
  <c r="R427" i="2"/>
  <c r="S427" i="2"/>
  <c r="P429" i="2"/>
  <c r="Q429" i="2"/>
  <c r="R429" i="2"/>
  <c r="S429" i="2"/>
  <c r="P430" i="2"/>
  <c r="Q430" i="2"/>
  <c r="R430" i="2"/>
  <c r="S430" i="2"/>
  <c r="P431" i="2"/>
  <c r="Q431" i="2"/>
  <c r="R431" i="2"/>
  <c r="S431" i="2"/>
  <c r="P437" i="2"/>
  <c r="Q437" i="2"/>
  <c r="R437" i="2"/>
  <c r="S437" i="2"/>
  <c r="P438" i="2"/>
  <c r="Q438" i="2"/>
  <c r="R438" i="2"/>
  <c r="S438" i="2"/>
  <c r="P439" i="2"/>
  <c r="Q439" i="2"/>
  <c r="R439" i="2"/>
  <c r="S439" i="2"/>
  <c r="P440" i="2"/>
  <c r="Q440" i="2"/>
  <c r="R440" i="2"/>
  <c r="S440" i="2"/>
  <c r="P441" i="2"/>
  <c r="Q441" i="2"/>
  <c r="R441" i="2"/>
  <c r="S441" i="2"/>
  <c r="P442" i="2"/>
  <c r="Q442" i="2"/>
  <c r="R442" i="2"/>
  <c r="S442" i="2"/>
  <c r="P443" i="2"/>
  <c r="Q443" i="2"/>
  <c r="R443" i="2"/>
  <c r="S443" i="2"/>
  <c r="P444" i="2"/>
  <c r="Q444" i="2"/>
  <c r="R444" i="2"/>
  <c r="S444" i="2"/>
  <c r="P445" i="2"/>
  <c r="Q445" i="2"/>
  <c r="R445" i="2"/>
  <c r="S445" i="2"/>
  <c r="P446" i="2"/>
  <c r="Q446" i="2"/>
  <c r="R446" i="2"/>
  <c r="S446" i="2"/>
  <c r="P447" i="2"/>
  <c r="Q447" i="2"/>
  <c r="R447" i="2"/>
  <c r="S447" i="2"/>
  <c r="P448" i="2"/>
  <c r="Q448" i="2"/>
  <c r="R448" i="2"/>
  <c r="S448" i="2"/>
  <c r="P449" i="2"/>
  <c r="Q449" i="2"/>
  <c r="R449" i="2"/>
  <c r="S449" i="2"/>
  <c r="P450" i="2"/>
  <c r="Q450" i="2"/>
  <c r="R450" i="2"/>
  <c r="S450" i="2"/>
  <c r="P451" i="2"/>
  <c r="Q451" i="2"/>
  <c r="R451" i="2"/>
  <c r="S451" i="2"/>
  <c r="P452" i="2"/>
  <c r="Q452" i="2"/>
  <c r="R452" i="2"/>
  <c r="S452" i="2"/>
  <c r="P453" i="2"/>
  <c r="Q453" i="2"/>
  <c r="R453" i="2"/>
  <c r="S453" i="2"/>
  <c r="P454" i="2"/>
  <c r="Q454" i="2"/>
  <c r="R454" i="2"/>
  <c r="S454" i="2"/>
  <c r="P455" i="2"/>
  <c r="Q455" i="2"/>
  <c r="R455" i="2"/>
  <c r="S455" i="2"/>
  <c r="P456" i="2"/>
  <c r="Q456" i="2"/>
  <c r="R456" i="2"/>
  <c r="S456" i="2"/>
  <c r="P458" i="2"/>
  <c r="Q458" i="2"/>
  <c r="R458" i="2"/>
  <c r="S458" i="2"/>
  <c r="P459" i="2"/>
  <c r="Q459" i="2"/>
  <c r="R459" i="2"/>
  <c r="S459" i="2"/>
  <c r="P460" i="2"/>
  <c r="Q460" i="2"/>
  <c r="R460" i="2"/>
  <c r="S460" i="2"/>
  <c r="P466" i="2"/>
  <c r="Q466" i="2"/>
  <c r="R466" i="2"/>
  <c r="S466" i="2"/>
  <c r="P467" i="2"/>
  <c r="Q467" i="2"/>
  <c r="R467" i="2"/>
  <c r="S467" i="2"/>
  <c r="P468" i="2"/>
  <c r="Q468" i="2"/>
  <c r="R468" i="2"/>
  <c r="S468" i="2"/>
  <c r="P469" i="2"/>
  <c r="Q469" i="2"/>
  <c r="R469" i="2"/>
  <c r="S469" i="2"/>
  <c r="P470" i="2"/>
  <c r="Q470" i="2"/>
  <c r="R470" i="2"/>
  <c r="S470" i="2"/>
  <c r="P471" i="2"/>
  <c r="Q471" i="2"/>
  <c r="R471" i="2"/>
  <c r="S471" i="2"/>
  <c r="P472" i="2"/>
  <c r="Q472" i="2"/>
  <c r="R472" i="2"/>
  <c r="S472" i="2"/>
  <c r="P473" i="2"/>
  <c r="Q473" i="2"/>
  <c r="R473" i="2"/>
  <c r="S473" i="2"/>
  <c r="P474" i="2"/>
  <c r="Q474" i="2"/>
  <c r="R474" i="2"/>
  <c r="S474" i="2"/>
  <c r="P475" i="2"/>
  <c r="Q475" i="2"/>
  <c r="R475" i="2"/>
  <c r="S475" i="2"/>
  <c r="P476" i="2"/>
  <c r="Q476" i="2"/>
  <c r="R476" i="2"/>
  <c r="S476" i="2"/>
  <c r="P477" i="2"/>
  <c r="Q477" i="2"/>
  <c r="R477" i="2"/>
  <c r="S477" i="2"/>
  <c r="P478" i="2"/>
  <c r="Q478" i="2"/>
  <c r="R478" i="2"/>
  <c r="S478" i="2"/>
  <c r="P479" i="2"/>
  <c r="Q479" i="2"/>
  <c r="R479" i="2"/>
  <c r="S479" i="2"/>
  <c r="P480" i="2"/>
  <c r="Q480" i="2"/>
  <c r="R480" i="2"/>
  <c r="S480" i="2"/>
  <c r="P481" i="2"/>
  <c r="Q481" i="2"/>
  <c r="R481" i="2"/>
  <c r="S481" i="2"/>
  <c r="P482" i="2"/>
  <c r="Q482" i="2"/>
  <c r="R482" i="2"/>
  <c r="S482" i="2"/>
  <c r="P483" i="2"/>
  <c r="Q483" i="2"/>
  <c r="R483" i="2"/>
  <c r="S483" i="2"/>
  <c r="P484" i="2"/>
  <c r="Q484" i="2"/>
  <c r="R484" i="2"/>
  <c r="S484" i="2"/>
  <c r="P485" i="2"/>
  <c r="Q485" i="2"/>
  <c r="R485" i="2"/>
  <c r="S485" i="2"/>
  <c r="P487" i="2"/>
  <c r="Q487" i="2"/>
  <c r="R487" i="2"/>
  <c r="S487" i="2"/>
  <c r="P488" i="2"/>
  <c r="Q488" i="2"/>
  <c r="R488" i="2"/>
  <c r="S488" i="2"/>
  <c r="P489" i="2"/>
  <c r="Q489" i="2"/>
  <c r="R489" i="2"/>
  <c r="S489" i="2"/>
  <c r="P495" i="2"/>
  <c r="Q495" i="2"/>
  <c r="R495" i="2"/>
  <c r="S495" i="2"/>
  <c r="P496" i="2"/>
  <c r="Q496" i="2"/>
  <c r="R496" i="2"/>
  <c r="S496" i="2"/>
  <c r="P497" i="2"/>
  <c r="Q497" i="2"/>
  <c r="R497" i="2"/>
  <c r="S497" i="2"/>
  <c r="P498" i="2"/>
  <c r="Q498" i="2"/>
  <c r="R498" i="2"/>
  <c r="S498" i="2"/>
  <c r="P499" i="2"/>
  <c r="Q499" i="2"/>
  <c r="R499" i="2"/>
  <c r="S499" i="2"/>
  <c r="P500" i="2"/>
  <c r="Q500" i="2"/>
  <c r="R500" i="2"/>
  <c r="S500" i="2"/>
  <c r="P501" i="2"/>
  <c r="Q501" i="2"/>
  <c r="R501" i="2"/>
  <c r="S501" i="2"/>
  <c r="P502" i="2"/>
  <c r="Q502" i="2"/>
  <c r="R502" i="2"/>
  <c r="S502" i="2"/>
  <c r="P503" i="2"/>
  <c r="Q503" i="2"/>
  <c r="R503" i="2"/>
  <c r="S503" i="2"/>
  <c r="P504" i="2"/>
  <c r="Q504" i="2"/>
  <c r="R504" i="2"/>
  <c r="S504" i="2"/>
  <c r="P505" i="2"/>
  <c r="Q505" i="2"/>
  <c r="R505" i="2"/>
  <c r="S505" i="2"/>
  <c r="P506" i="2"/>
  <c r="Q506" i="2"/>
  <c r="R506" i="2"/>
  <c r="S506" i="2"/>
  <c r="P507" i="2"/>
  <c r="Q507" i="2"/>
  <c r="R507" i="2"/>
  <c r="S507" i="2"/>
  <c r="P508" i="2"/>
  <c r="Q508" i="2"/>
  <c r="R508" i="2"/>
  <c r="S508" i="2"/>
  <c r="P509" i="2"/>
  <c r="Q509" i="2"/>
  <c r="R509" i="2"/>
  <c r="S509" i="2"/>
  <c r="P510" i="2"/>
  <c r="Q510" i="2"/>
  <c r="R510" i="2"/>
  <c r="S510" i="2"/>
  <c r="P511" i="2"/>
  <c r="Q511" i="2"/>
  <c r="R511" i="2"/>
  <c r="S511" i="2"/>
  <c r="P512" i="2"/>
  <c r="Q512" i="2"/>
  <c r="R512" i="2"/>
  <c r="S512" i="2"/>
  <c r="P513" i="2"/>
  <c r="Q513" i="2"/>
  <c r="R513" i="2"/>
  <c r="S513" i="2"/>
  <c r="P514" i="2"/>
  <c r="Q514" i="2"/>
  <c r="R514" i="2"/>
  <c r="S514" i="2"/>
  <c r="P516" i="2"/>
  <c r="Q516" i="2"/>
  <c r="R516" i="2"/>
  <c r="S516" i="2"/>
  <c r="P517" i="2"/>
  <c r="Q517" i="2"/>
  <c r="R517" i="2"/>
  <c r="S517" i="2"/>
  <c r="P518" i="2"/>
  <c r="Q518" i="2"/>
  <c r="R518" i="2"/>
  <c r="S518" i="2"/>
  <c r="P524" i="2"/>
  <c r="Q524" i="2"/>
  <c r="R524" i="2"/>
  <c r="S524" i="2"/>
  <c r="P525" i="2"/>
  <c r="Q525" i="2"/>
  <c r="R525" i="2"/>
  <c r="S525" i="2"/>
  <c r="P526" i="2"/>
  <c r="Q526" i="2"/>
  <c r="R526" i="2"/>
  <c r="S526" i="2"/>
  <c r="P527" i="2"/>
  <c r="Q527" i="2"/>
  <c r="R527" i="2"/>
  <c r="S527" i="2"/>
  <c r="P528" i="2"/>
  <c r="Q528" i="2"/>
  <c r="R528" i="2"/>
  <c r="S528" i="2"/>
  <c r="P529" i="2"/>
  <c r="Q529" i="2"/>
  <c r="R529" i="2"/>
  <c r="S529" i="2"/>
  <c r="P530" i="2"/>
  <c r="Q530" i="2"/>
  <c r="R530" i="2"/>
  <c r="S530" i="2"/>
  <c r="P531" i="2"/>
  <c r="Q531" i="2"/>
  <c r="R531" i="2"/>
  <c r="S531" i="2"/>
  <c r="P532" i="2"/>
  <c r="Q532" i="2"/>
  <c r="R532" i="2"/>
  <c r="S532" i="2"/>
  <c r="P533" i="2"/>
  <c r="Q533" i="2"/>
  <c r="R533" i="2"/>
  <c r="S533" i="2"/>
  <c r="P534" i="2"/>
  <c r="Q534" i="2"/>
  <c r="R534" i="2"/>
  <c r="S534" i="2"/>
  <c r="P535" i="2"/>
  <c r="Q535" i="2"/>
  <c r="R535" i="2"/>
  <c r="S535" i="2"/>
  <c r="P536" i="2"/>
  <c r="Q536" i="2"/>
  <c r="R536" i="2"/>
  <c r="S536" i="2"/>
  <c r="P537" i="2"/>
  <c r="Q537" i="2"/>
  <c r="R537" i="2"/>
  <c r="S537" i="2"/>
  <c r="P538" i="2"/>
  <c r="Q538" i="2"/>
  <c r="R538" i="2"/>
  <c r="S538" i="2"/>
  <c r="P539" i="2"/>
  <c r="Q539" i="2"/>
  <c r="R539" i="2"/>
  <c r="S539" i="2"/>
  <c r="P540" i="2"/>
  <c r="Q540" i="2"/>
  <c r="R540" i="2"/>
  <c r="S540" i="2"/>
  <c r="P541" i="2"/>
  <c r="Q541" i="2"/>
  <c r="R541" i="2"/>
  <c r="S541" i="2"/>
  <c r="P542" i="2"/>
  <c r="Q542" i="2"/>
  <c r="R542" i="2"/>
  <c r="S542" i="2"/>
  <c r="P543" i="2"/>
  <c r="Q543" i="2"/>
  <c r="R543" i="2"/>
  <c r="S543" i="2"/>
  <c r="P545" i="2"/>
  <c r="Q545" i="2"/>
  <c r="R545" i="2"/>
  <c r="S545" i="2"/>
  <c r="P546" i="2"/>
  <c r="Q546" i="2"/>
  <c r="R546" i="2"/>
  <c r="S546" i="2"/>
  <c r="P547" i="2"/>
  <c r="Q547" i="2"/>
  <c r="R547" i="2"/>
  <c r="S547" i="2"/>
  <c r="P553" i="2"/>
  <c r="Q553" i="2"/>
  <c r="R553" i="2"/>
  <c r="S553" i="2"/>
  <c r="P554" i="2"/>
  <c r="Q554" i="2"/>
  <c r="R554" i="2"/>
  <c r="S554" i="2"/>
  <c r="P555" i="2"/>
  <c r="Q555" i="2"/>
  <c r="R555" i="2"/>
  <c r="S555" i="2"/>
  <c r="P556" i="2"/>
  <c r="Q556" i="2"/>
  <c r="R556" i="2"/>
  <c r="S556" i="2"/>
  <c r="P557" i="2"/>
  <c r="Q557" i="2"/>
  <c r="R557" i="2"/>
  <c r="S557" i="2"/>
  <c r="P558" i="2"/>
  <c r="Q558" i="2"/>
  <c r="R558" i="2"/>
  <c r="S558" i="2"/>
  <c r="P559" i="2"/>
  <c r="Q559" i="2"/>
  <c r="R559" i="2"/>
  <c r="S559" i="2"/>
  <c r="P560" i="2"/>
  <c r="Q560" i="2"/>
  <c r="R560" i="2"/>
  <c r="S560" i="2"/>
  <c r="P561" i="2"/>
  <c r="Q561" i="2"/>
  <c r="R561" i="2"/>
  <c r="S561" i="2"/>
  <c r="P562" i="2"/>
  <c r="Q562" i="2"/>
  <c r="R562" i="2"/>
  <c r="S562" i="2"/>
  <c r="P563" i="2"/>
  <c r="Q563" i="2"/>
  <c r="R563" i="2"/>
  <c r="S563" i="2"/>
  <c r="P564" i="2"/>
  <c r="Q564" i="2"/>
  <c r="R564" i="2"/>
  <c r="S564" i="2"/>
  <c r="P565" i="2"/>
  <c r="Q565" i="2"/>
  <c r="R565" i="2"/>
  <c r="S565" i="2"/>
  <c r="P566" i="2"/>
  <c r="Q566" i="2"/>
  <c r="R566" i="2"/>
  <c r="S566" i="2"/>
  <c r="P567" i="2"/>
  <c r="Q567" i="2"/>
  <c r="R567" i="2"/>
  <c r="S567" i="2"/>
  <c r="P568" i="2"/>
  <c r="Q568" i="2"/>
  <c r="R568" i="2"/>
  <c r="S568" i="2"/>
  <c r="P569" i="2"/>
  <c r="Q569" i="2"/>
  <c r="R569" i="2"/>
  <c r="S569" i="2"/>
  <c r="P570" i="2"/>
  <c r="Q570" i="2"/>
  <c r="R570" i="2"/>
  <c r="S570" i="2"/>
  <c r="P571" i="2"/>
  <c r="Q571" i="2"/>
  <c r="R571" i="2"/>
  <c r="S571" i="2"/>
  <c r="P572" i="2"/>
  <c r="Q572" i="2"/>
  <c r="R572" i="2"/>
  <c r="S572" i="2"/>
  <c r="P574" i="2"/>
  <c r="Q574" i="2"/>
  <c r="R574" i="2"/>
  <c r="S574" i="2"/>
  <c r="P575" i="2"/>
  <c r="Q575" i="2"/>
  <c r="R575" i="2"/>
  <c r="S575" i="2"/>
  <c r="P576" i="2"/>
  <c r="Q576" i="2"/>
  <c r="R576" i="2"/>
  <c r="S576" i="2"/>
  <c r="P582" i="2"/>
  <c r="Q582" i="2"/>
  <c r="R582" i="2"/>
  <c r="S582" i="2"/>
  <c r="P583" i="2"/>
  <c r="Q583" i="2"/>
  <c r="R583" i="2"/>
  <c r="S583" i="2"/>
  <c r="P584" i="2"/>
  <c r="Q584" i="2"/>
  <c r="R584" i="2"/>
  <c r="S584" i="2"/>
  <c r="P585" i="2"/>
  <c r="Q585" i="2"/>
  <c r="R585" i="2"/>
  <c r="S585" i="2"/>
  <c r="P586" i="2"/>
  <c r="Q586" i="2"/>
  <c r="R586" i="2"/>
  <c r="S586" i="2"/>
  <c r="P587" i="2"/>
  <c r="Q587" i="2"/>
  <c r="R587" i="2"/>
  <c r="S587" i="2"/>
  <c r="P588" i="2"/>
  <c r="Q588" i="2"/>
  <c r="R588" i="2"/>
  <c r="S588" i="2"/>
  <c r="P589" i="2"/>
  <c r="Q589" i="2"/>
  <c r="R589" i="2"/>
  <c r="S589" i="2"/>
  <c r="P590" i="2"/>
  <c r="Q590" i="2"/>
  <c r="R590" i="2"/>
  <c r="S590" i="2"/>
  <c r="P591" i="2"/>
  <c r="Q591" i="2"/>
  <c r="R591" i="2"/>
  <c r="S591" i="2"/>
  <c r="P592" i="2"/>
  <c r="Q592" i="2"/>
  <c r="R592" i="2"/>
  <c r="S592" i="2"/>
  <c r="P593" i="2"/>
  <c r="Q593" i="2"/>
  <c r="R593" i="2"/>
  <c r="S593" i="2"/>
  <c r="P594" i="2"/>
  <c r="Q594" i="2"/>
  <c r="R594" i="2"/>
  <c r="S594" i="2"/>
  <c r="P595" i="2"/>
  <c r="Q595" i="2"/>
  <c r="R595" i="2"/>
  <c r="S595" i="2"/>
  <c r="P596" i="2"/>
  <c r="Q596" i="2"/>
  <c r="R596" i="2"/>
  <c r="S596" i="2"/>
  <c r="P597" i="2"/>
  <c r="Q597" i="2"/>
  <c r="R597" i="2"/>
  <c r="S597" i="2"/>
  <c r="P598" i="2"/>
  <c r="Q598" i="2"/>
  <c r="R598" i="2"/>
  <c r="S598" i="2"/>
  <c r="P599" i="2"/>
  <c r="Q599" i="2"/>
  <c r="R599" i="2"/>
  <c r="S599" i="2"/>
  <c r="P600" i="2"/>
  <c r="Q600" i="2"/>
  <c r="R600" i="2"/>
  <c r="S600" i="2"/>
  <c r="P601" i="2"/>
  <c r="Q601" i="2"/>
  <c r="R601" i="2"/>
  <c r="S601" i="2"/>
  <c r="P603" i="2"/>
  <c r="Q603" i="2"/>
  <c r="R603" i="2"/>
  <c r="S603" i="2"/>
  <c r="P604" i="2"/>
  <c r="Q604" i="2"/>
  <c r="R604" i="2"/>
  <c r="S604" i="2"/>
  <c r="P605" i="2"/>
  <c r="Q605" i="2"/>
  <c r="R605" i="2"/>
  <c r="S605" i="2"/>
  <c r="P611" i="2"/>
  <c r="Q611" i="2"/>
  <c r="R611" i="2"/>
  <c r="S611" i="2"/>
  <c r="P612" i="2"/>
  <c r="Q612" i="2"/>
  <c r="R612" i="2"/>
  <c r="S612" i="2"/>
  <c r="P613" i="2"/>
  <c r="Q613" i="2"/>
  <c r="R613" i="2"/>
  <c r="S613" i="2"/>
  <c r="P614" i="2"/>
  <c r="Q614" i="2"/>
  <c r="R614" i="2"/>
  <c r="S614" i="2"/>
  <c r="P615" i="2"/>
  <c r="Q615" i="2"/>
  <c r="R615" i="2"/>
  <c r="S615" i="2"/>
  <c r="P616" i="2"/>
  <c r="Q616" i="2"/>
  <c r="R616" i="2"/>
  <c r="S616" i="2"/>
  <c r="P617" i="2"/>
  <c r="Q617" i="2"/>
  <c r="R617" i="2"/>
  <c r="S617" i="2"/>
  <c r="P618" i="2"/>
  <c r="Q618" i="2"/>
  <c r="R618" i="2"/>
  <c r="S618" i="2"/>
  <c r="P619" i="2"/>
  <c r="Q619" i="2"/>
  <c r="R619" i="2"/>
  <c r="S619" i="2"/>
  <c r="P620" i="2"/>
  <c r="Q620" i="2"/>
  <c r="R620" i="2"/>
  <c r="S620" i="2"/>
  <c r="P621" i="2"/>
  <c r="Q621" i="2"/>
  <c r="R621" i="2"/>
  <c r="S621" i="2"/>
  <c r="P622" i="2"/>
  <c r="Q622" i="2"/>
  <c r="R622" i="2"/>
  <c r="S622" i="2"/>
  <c r="P623" i="2"/>
  <c r="Q623" i="2"/>
  <c r="R623" i="2"/>
  <c r="S623" i="2"/>
  <c r="P624" i="2"/>
  <c r="Q624" i="2"/>
  <c r="R624" i="2"/>
  <c r="S624" i="2"/>
  <c r="P625" i="2"/>
  <c r="Q625" i="2"/>
  <c r="R625" i="2"/>
  <c r="S625" i="2"/>
  <c r="P626" i="2"/>
  <c r="Q626" i="2"/>
  <c r="R626" i="2"/>
  <c r="S626" i="2"/>
  <c r="P627" i="2"/>
  <c r="Q627" i="2"/>
  <c r="R627" i="2"/>
  <c r="S627" i="2"/>
  <c r="P628" i="2"/>
  <c r="Q628" i="2"/>
  <c r="R628" i="2"/>
  <c r="S628" i="2"/>
  <c r="P629" i="2"/>
  <c r="Q629" i="2"/>
  <c r="R629" i="2"/>
  <c r="S629" i="2"/>
  <c r="P630" i="2"/>
  <c r="Q630" i="2"/>
  <c r="R630" i="2"/>
  <c r="S630" i="2"/>
  <c r="P632" i="2"/>
  <c r="Q632" i="2"/>
  <c r="R632" i="2"/>
  <c r="S632" i="2"/>
  <c r="P633" i="2"/>
  <c r="Q633" i="2"/>
  <c r="R633" i="2"/>
  <c r="S633" i="2"/>
  <c r="P634" i="2"/>
  <c r="Q634" i="2"/>
  <c r="R634" i="2"/>
  <c r="S634" i="2"/>
  <c r="P640" i="2"/>
  <c r="Q640" i="2"/>
  <c r="R640" i="2"/>
  <c r="S640" i="2"/>
  <c r="P641" i="2"/>
  <c r="Q641" i="2"/>
  <c r="R641" i="2"/>
  <c r="S641" i="2"/>
  <c r="P642" i="2"/>
  <c r="Q642" i="2"/>
  <c r="R642" i="2"/>
  <c r="S642" i="2"/>
  <c r="P643" i="2"/>
  <c r="Q643" i="2"/>
  <c r="R643" i="2"/>
  <c r="S643" i="2"/>
  <c r="P644" i="2"/>
  <c r="Q644" i="2"/>
  <c r="R644" i="2"/>
  <c r="S644" i="2"/>
  <c r="P645" i="2"/>
  <c r="Q645" i="2"/>
  <c r="R645" i="2"/>
  <c r="S645" i="2"/>
  <c r="P646" i="2"/>
  <c r="Q646" i="2"/>
  <c r="R646" i="2"/>
  <c r="S646" i="2"/>
  <c r="P647" i="2"/>
  <c r="Q647" i="2"/>
  <c r="R647" i="2"/>
  <c r="S647" i="2"/>
  <c r="P648" i="2"/>
  <c r="Q648" i="2"/>
  <c r="R648" i="2"/>
  <c r="S648" i="2"/>
  <c r="P649" i="2"/>
  <c r="Q649" i="2"/>
  <c r="R649" i="2"/>
  <c r="S649" i="2"/>
  <c r="P650" i="2"/>
  <c r="Q650" i="2"/>
  <c r="R650" i="2"/>
  <c r="S650" i="2"/>
  <c r="P651" i="2"/>
  <c r="Q651" i="2"/>
  <c r="R651" i="2"/>
  <c r="S651" i="2"/>
  <c r="P652" i="2"/>
  <c r="Q652" i="2"/>
  <c r="R652" i="2"/>
  <c r="S652" i="2"/>
  <c r="P653" i="2"/>
  <c r="Q653" i="2"/>
  <c r="R653" i="2"/>
  <c r="S653" i="2"/>
  <c r="P654" i="2"/>
  <c r="Q654" i="2"/>
  <c r="R654" i="2"/>
  <c r="S654" i="2"/>
  <c r="P655" i="2"/>
  <c r="Q655" i="2"/>
  <c r="R655" i="2"/>
  <c r="S655" i="2"/>
  <c r="P656" i="2"/>
  <c r="Q656" i="2"/>
  <c r="R656" i="2"/>
  <c r="S656" i="2"/>
  <c r="P657" i="2"/>
  <c r="Q657" i="2"/>
  <c r="R657" i="2"/>
  <c r="S657" i="2"/>
  <c r="P658" i="2"/>
  <c r="Q658" i="2"/>
  <c r="R658" i="2"/>
  <c r="S658" i="2"/>
  <c r="P659" i="2"/>
  <c r="Q659" i="2"/>
  <c r="R659" i="2"/>
  <c r="S659" i="2"/>
  <c r="P661" i="2"/>
  <c r="Q661" i="2"/>
  <c r="R661" i="2"/>
  <c r="S661" i="2"/>
  <c r="P662" i="2"/>
  <c r="Q662" i="2"/>
  <c r="R662" i="2"/>
  <c r="S662" i="2"/>
  <c r="P663" i="2"/>
  <c r="Q663" i="2"/>
  <c r="R663" i="2"/>
  <c r="S663" i="2"/>
  <c r="P669" i="2"/>
  <c r="Q669" i="2"/>
  <c r="R669" i="2"/>
  <c r="S669" i="2"/>
  <c r="P670" i="2"/>
  <c r="Q670" i="2"/>
  <c r="R670" i="2"/>
  <c r="S670" i="2"/>
  <c r="P671" i="2"/>
  <c r="Q671" i="2"/>
  <c r="R671" i="2"/>
  <c r="S671" i="2"/>
  <c r="P672" i="2"/>
  <c r="Q672" i="2"/>
  <c r="R672" i="2"/>
  <c r="S672" i="2"/>
  <c r="P673" i="2"/>
  <c r="Q673" i="2"/>
  <c r="R673" i="2"/>
  <c r="S673" i="2"/>
  <c r="P674" i="2"/>
  <c r="Q674" i="2"/>
  <c r="R674" i="2"/>
  <c r="S674" i="2"/>
  <c r="P675" i="2"/>
  <c r="Q675" i="2"/>
  <c r="R675" i="2"/>
  <c r="S675" i="2"/>
  <c r="P676" i="2"/>
  <c r="Q676" i="2"/>
  <c r="R676" i="2"/>
  <c r="S676" i="2"/>
  <c r="P677" i="2"/>
  <c r="Q677" i="2"/>
  <c r="R677" i="2"/>
  <c r="S677" i="2"/>
  <c r="P678" i="2"/>
  <c r="Q678" i="2"/>
  <c r="R678" i="2"/>
  <c r="S678" i="2"/>
  <c r="P679" i="2"/>
  <c r="Q679" i="2"/>
  <c r="R679" i="2"/>
  <c r="S679" i="2"/>
  <c r="P680" i="2"/>
  <c r="Q680" i="2"/>
  <c r="R680" i="2"/>
  <c r="S680" i="2"/>
  <c r="P681" i="2"/>
  <c r="Q681" i="2"/>
  <c r="R681" i="2"/>
  <c r="S681" i="2"/>
  <c r="P682" i="2"/>
  <c r="Q682" i="2"/>
  <c r="R682" i="2"/>
  <c r="S682" i="2"/>
  <c r="P683" i="2"/>
  <c r="Q683" i="2"/>
  <c r="R683" i="2"/>
  <c r="S683" i="2"/>
  <c r="P684" i="2"/>
  <c r="Q684" i="2"/>
  <c r="R684" i="2"/>
  <c r="S684" i="2"/>
  <c r="P685" i="2"/>
  <c r="Q685" i="2"/>
  <c r="R685" i="2"/>
  <c r="S685" i="2"/>
  <c r="P686" i="2"/>
  <c r="Q686" i="2"/>
  <c r="R686" i="2"/>
  <c r="S686" i="2"/>
  <c r="P687" i="2"/>
  <c r="Q687" i="2"/>
  <c r="R687" i="2"/>
  <c r="S687" i="2"/>
  <c r="P688" i="2"/>
  <c r="Q688" i="2"/>
  <c r="R688" i="2"/>
  <c r="S688" i="2"/>
  <c r="P690" i="2"/>
  <c r="Q690" i="2"/>
  <c r="R690" i="2"/>
  <c r="S690" i="2"/>
  <c r="P691" i="2"/>
  <c r="Q691" i="2"/>
  <c r="R691" i="2"/>
  <c r="S691" i="2"/>
  <c r="P692" i="2"/>
  <c r="Q692" i="2"/>
  <c r="R692" i="2"/>
  <c r="S692" i="2"/>
  <c r="P698" i="2"/>
  <c r="Q698" i="2"/>
  <c r="R698" i="2"/>
  <c r="S698" i="2"/>
  <c r="P699" i="2"/>
  <c r="Q699" i="2"/>
  <c r="R699" i="2"/>
  <c r="S699" i="2"/>
  <c r="P700" i="2"/>
  <c r="Q700" i="2"/>
  <c r="R700" i="2"/>
  <c r="S700" i="2"/>
  <c r="P701" i="2"/>
  <c r="Q701" i="2"/>
  <c r="R701" i="2"/>
  <c r="S701" i="2"/>
  <c r="P702" i="2"/>
  <c r="Q702" i="2"/>
  <c r="R702" i="2"/>
  <c r="S702" i="2"/>
  <c r="P703" i="2"/>
  <c r="Q703" i="2"/>
  <c r="R703" i="2"/>
  <c r="S703" i="2"/>
  <c r="P704" i="2"/>
  <c r="Q704" i="2"/>
  <c r="R704" i="2"/>
  <c r="S704" i="2"/>
  <c r="P705" i="2"/>
  <c r="Q705" i="2"/>
  <c r="R705" i="2"/>
  <c r="S705" i="2"/>
  <c r="P706" i="2"/>
  <c r="Q706" i="2"/>
  <c r="R706" i="2"/>
  <c r="S706" i="2"/>
  <c r="P707" i="2"/>
  <c r="Q707" i="2"/>
  <c r="R707" i="2"/>
  <c r="S707" i="2"/>
  <c r="P708" i="2"/>
  <c r="Q708" i="2"/>
  <c r="R708" i="2"/>
  <c r="S708" i="2"/>
  <c r="P709" i="2"/>
  <c r="Q709" i="2"/>
  <c r="R709" i="2"/>
  <c r="S709" i="2"/>
  <c r="P710" i="2"/>
  <c r="Q710" i="2"/>
  <c r="R710" i="2"/>
  <c r="S710" i="2"/>
  <c r="P711" i="2"/>
  <c r="Q711" i="2"/>
  <c r="R711" i="2"/>
  <c r="S711" i="2"/>
  <c r="P712" i="2"/>
  <c r="Q712" i="2"/>
  <c r="R712" i="2"/>
  <c r="S712" i="2"/>
  <c r="P713" i="2"/>
  <c r="Q713" i="2"/>
  <c r="R713" i="2"/>
  <c r="S713" i="2"/>
  <c r="P714" i="2"/>
  <c r="Q714" i="2"/>
  <c r="R714" i="2"/>
  <c r="S714" i="2"/>
  <c r="P715" i="2"/>
  <c r="Q715" i="2"/>
  <c r="R715" i="2"/>
  <c r="S715" i="2"/>
  <c r="P716" i="2"/>
  <c r="Q716" i="2"/>
  <c r="R716" i="2"/>
  <c r="S716" i="2"/>
  <c r="P717" i="2"/>
  <c r="Q717" i="2"/>
  <c r="R717" i="2"/>
  <c r="S717" i="2"/>
  <c r="P719" i="2"/>
  <c r="Q719" i="2"/>
  <c r="R719" i="2"/>
  <c r="S719" i="2"/>
  <c r="P720" i="2"/>
  <c r="Q720" i="2"/>
  <c r="R720" i="2"/>
  <c r="S720" i="2"/>
  <c r="P721" i="2"/>
  <c r="Q721" i="2"/>
  <c r="R721" i="2"/>
  <c r="S721" i="2"/>
  <c r="P727" i="2"/>
  <c r="Q727" i="2"/>
  <c r="R727" i="2"/>
  <c r="S727" i="2"/>
  <c r="P728" i="2"/>
  <c r="Q728" i="2"/>
  <c r="R728" i="2"/>
  <c r="S728" i="2"/>
  <c r="P729" i="2"/>
  <c r="Q729" i="2"/>
  <c r="R729" i="2"/>
  <c r="S729" i="2"/>
  <c r="P730" i="2"/>
  <c r="Q730" i="2"/>
  <c r="R730" i="2"/>
  <c r="S730" i="2"/>
  <c r="P731" i="2"/>
  <c r="Q731" i="2"/>
  <c r="R731" i="2"/>
  <c r="S731" i="2"/>
  <c r="P732" i="2"/>
  <c r="Q732" i="2"/>
  <c r="R732" i="2"/>
  <c r="S732" i="2"/>
  <c r="P733" i="2"/>
  <c r="Q733" i="2"/>
  <c r="R733" i="2"/>
  <c r="S733" i="2"/>
  <c r="P734" i="2"/>
  <c r="Q734" i="2"/>
  <c r="R734" i="2"/>
  <c r="S734" i="2"/>
  <c r="P735" i="2"/>
  <c r="Q735" i="2"/>
  <c r="R735" i="2"/>
  <c r="S735" i="2"/>
  <c r="P736" i="2"/>
  <c r="Q736" i="2"/>
  <c r="R736" i="2"/>
  <c r="S736" i="2"/>
  <c r="P737" i="2"/>
  <c r="Q737" i="2"/>
  <c r="R737" i="2"/>
  <c r="S737" i="2"/>
  <c r="P738" i="2"/>
  <c r="Q738" i="2"/>
  <c r="R738" i="2"/>
  <c r="S738" i="2"/>
  <c r="P739" i="2"/>
  <c r="Q739" i="2"/>
  <c r="R739" i="2"/>
  <c r="S739" i="2"/>
  <c r="P740" i="2"/>
  <c r="Q740" i="2"/>
  <c r="R740" i="2"/>
  <c r="S740" i="2"/>
  <c r="P741" i="2"/>
  <c r="Q741" i="2"/>
  <c r="R741" i="2"/>
  <c r="S741" i="2"/>
  <c r="P742" i="2"/>
  <c r="Q742" i="2"/>
  <c r="R742" i="2"/>
  <c r="S742" i="2"/>
  <c r="P743" i="2"/>
  <c r="Q743" i="2"/>
  <c r="R743" i="2"/>
  <c r="S743" i="2"/>
  <c r="P744" i="2"/>
  <c r="Q744" i="2"/>
  <c r="R744" i="2"/>
  <c r="S744" i="2"/>
  <c r="P745" i="2"/>
  <c r="Q745" i="2"/>
  <c r="R745" i="2"/>
  <c r="S745" i="2"/>
  <c r="P746" i="2"/>
  <c r="Q746" i="2"/>
  <c r="R746" i="2"/>
  <c r="S746" i="2"/>
  <c r="P748" i="2"/>
  <c r="Q748" i="2"/>
  <c r="R748" i="2"/>
  <c r="S748" i="2"/>
  <c r="P749" i="2"/>
  <c r="Q749" i="2"/>
  <c r="R749" i="2"/>
  <c r="S749" i="2"/>
  <c r="P750" i="2"/>
  <c r="Q750" i="2"/>
  <c r="R750" i="2"/>
  <c r="S750" i="2"/>
  <c r="P756" i="2"/>
  <c r="Q756" i="2"/>
  <c r="R756" i="2"/>
  <c r="S756" i="2"/>
  <c r="S781" i="2" s="1"/>
  <c r="P757" i="2"/>
  <c r="Q757" i="2"/>
  <c r="R757" i="2"/>
  <c r="S757" i="2"/>
  <c r="P758" i="2"/>
  <c r="Q758" i="2"/>
  <c r="R758" i="2"/>
  <c r="S758" i="2"/>
  <c r="P759" i="2"/>
  <c r="Q759" i="2"/>
  <c r="R759" i="2"/>
  <c r="S759" i="2"/>
  <c r="P760" i="2"/>
  <c r="Q760" i="2"/>
  <c r="R760" i="2"/>
  <c r="S760" i="2"/>
  <c r="P761" i="2"/>
  <c r="Q761" i="2"/>
  <c r="R761" i="2"/>
  <c r="S761" i="2"/>
  <c r="P762" i="2"/>
  <c r="Q762" i="2"/>
  <c r="R762" i="2"/>
  <c r="S762" i="2"/>
  <c r="P763" i="2"/>
  <c r="Q763" i="2"/>
  <c r="R763" i="2"/>
  <c r="S763" i="2"/>
  <c r="P764" i="2"/>
  <c r="Q764" i="2"/>
  <c r="R764" i="2"/>
  <c r="S764" i="2"/>
  <c r="P765" i="2"/>
  <c r="Q765" i="2"/>
  <c r="R765" i="2"/>
  <c r="S765" i="2"/>
  <c r="P766" i="2"/>
  <c r="Q766" i="2"/>
  <c r="R766" i="2"/>
  <c r="S766" i="2"/>
  <c r="P767" i="2"/>
  <c r="Q767" i="2"/>
  <c r="R767" i="2"/>
  <c r="S767" i="2"/>
  <c r="P768" i="2"/>
  <c r="Q768" i="2"/>
  <c r="R768" i="2"/>
  <c r="S768" i="2"/>
  <c r="P769" i="2"/>
  <c r="Q769" i="2"/>
  <c r="R769" i="2"/>
  <c r="S769" i="2"/>
  <c r="P770" i="2"/>
  <c r="Q770" i="2"/>
  <c r="R770" i="2"/>
  <c r="S770" i="2"/>
  <c r="P771" i="2"/>
  <c r="Q771" i="2"/>
  <c r="R771" i="2"/>
  <c r="S771" i="2"/>
  <c r="P772" i="2"/>
  <c r="Q772" i="2"/>
  <c r="R772" i="2"/>
  <c r="S772" i="2"/>
  <c r="P773" i="2"/>
  <c r="Q773" i="2"/>
  <c r="R773" i="2"/>
  <c r="S773" i="2"/>
  <c r="P774" i="2"/>
  <c r="Q774" i="2"/>
  <c r="R774" i="2"/>
  <c r="S774" i="2"/>
  <c r="P775" i="2"/>
  <c r="Q775" i="2"/>
  <c r="R775" i="2"/>
  <c r="S775" i="2"/>
  <c r="P777" i="2"/>
  <c r="Q777" i="2"/>
  <c r="R777" i="2"/>
  <c r="S777" i="2"/>
  <c r="P778" i="2"/>
  <c r="Q778" i="2"/>
  <c r="R778" i="2"/>
  <c r="S778" i="2"/>
  <c r="P779" i="2"/>
  <c r="Q779" i="2"/>
  <c r="R779" i="2"/>
  <c r="S779" i="2"/>
  <c r="P785" i="2"/>
  <c r="Q785" i="2"/>
  <c r="R785" i="2"/>
  <c r="S785" i="2"/>
  <c r="P786" i="2"/>
  <c r="Q786" i="2"/>
  <c r="R786" i="2"/>
  <c r="S786" i="2"/>
  <c r="P787" i="2"/>
  <c r="Q787" i="2"/>
  <c r="R787" i="2"/>
  <c r="S787" i="2"/>
  <c r="P788" i="2"/>
  <c r="Q788" i="2"/>
  <c r="R788" i="2"/>
  <c r="S788" i="2"/>
  <c r="P789" i="2"/>
  <c r="Q789" i="2"/>
  <c r="R789" i="2"/>
  <c r="S789" i="2"/>
  <c r="P790" i="2"/>
  <c r="Q790" i="2"/>
  <c r="R790" i="2"/>
  <c r="S790" i="2"/>
  <c r="P791" i="2"/>
  <c r="Q791" i="2"/>
  <c r="R791" i="2"/>
  <c r="S791" i="2"/>
  <c r="P792" i="2"/>
  <c r="Q792" i="2"/>
  <c r="R792" i="2"/>
  <c r="S792" i="2"/>
  <c r="P793" i="2"/>
  <c r="Q793" i="2"/>
  <c r="R793" i="2"/>
  <c r="S793" i="2"/>
  <c r="P794" i="2"/>
  <c r="Q794" i="2"/>
  <c r="R794" i="2"/>
  <c r="S794" i="2"/>
  <c r="P795" i="2"/>
  <c r="Q795" i="2"/>
  <c r="R795" i="2"/>
  <c r="S795" i="2"/>
  <c r="P796" i="2"/>
  <c r="Q796" i="2"/>
  <c r="R796" i="2"/>
  <c r="S796" i="2"/>
  <c r="P797" i="2"/>
  <c r="Q797" i="2"/>
  <c r="R797" i="2"/>
  <c r="S797" i="2"/>
  <c r="P798" i="2"/>
  <c r="Q798" i="2"/>
  <c r="R798" i="2"/>
  <c r="S798" i="2"/>
  <c r="P799" i="2"/>
  <c r="Q799" i="2"/>
  <c r="R799" i="2"/>
  <c r="S799" i="2"/>
  <c r="P800" i="2"/>
  <c r="Q800" i="2"/>
  <c r="R800" i="2"/>
  <c r="S800" i="2"/>
  <c r="P801" i="2"/>
  <c r="Q801" i="2"/>
  <c r="R801" i="2"/>
  <c r="S801" i="2"/>
  <c r="P802" i="2"/>
  <c r="Q802" i="2"/>
  <c r="R802" i="2"/>
  <c r="S802" i="2"/>
  <c r="P803" i="2"/>
  <c r="Q803" i="2"/>
  <c r="R803" i="2"/>
  <c r="S803" i="2"/>
  <c r="P804" i="2"/>
  <c r="Q804" i="2"/>
  <c r="R804" i="2"/>
  <c r="S804" i="2"/>
  <c r="P806" i="2"/>
  <c r="Q806" i="2"/>
  <c r="R806" i="2"/>
  <c r="S806" i="2"/>
  <c r="P807" i="2"/>
  <c r="Q807" i="2"/>
  <c r="R807" i="2"/>
  <c r="S807" i="2"/>
  <c r="P808" i="2"/>
  <c r="Q808" i="2"/>
  <c r="R808" i="2"/>
  <c r="S808" i="2"/>
  <c r="S694" i="2" l="1"/>
  <c r="S520" i="2"/>
  <c r="S375" i="2"/>
  <c r="S288" i="2"/>
  <c r="S230" i="2"/>
  <c r="R810" i="2"/>
  <c r="R781" i="2"/>
  <c r="R752" i="2"/>
  <c r="R723" i="2"/>
  <c r="R694" i="2"/>
  <c r="R665" i="2"/>
  <c r="R636" i="2"/>
  <c r="R607" i="2"/>
  <c r="R578" i="2"/>
  <c r="R549" i="2"/>
  <c r="R520" i="2"/>
  <c r="R491" i="2"/>
  <c r="R462" i="2"/>
  <c r="R433" i="2"/>
  <c r="R404" i="2"/>
  <c r="R375" i="2"/>
  <c r="R317" i="2"/>
  <c r="R288" i="2"/>
  <c r="R259" i="2"/>
  <c r="R230" i="2"/>
  <c r="S810" i="2"/>
  <c r="S723" i="2"/>
  <c r="S665" i="2"/>
  <c r="S636" i="2"/>
  <c r="S578" i="2"/>
  <c r="S549" i="2"/>
  <c r="S491" i="2"/>
  <c r="S433" i="2"/>
  <c r="S259" i="2"/>
  <c r="Q810" i="2"/>
  <c r="Q781" i="2"/>
  <c r="Q752" i="2"/>
  <c r="Q723" i="2"/>
  <c r="Q694" i="2"/>
  <c r="Q665" i="2"/>
  <c r="Q636" i="2"/>
  <c r="Q607" i="2"/>
  <c r="Q578" i="2"/>
  <c r="Q549" i="2"/>
  <c r="Q520" i="2"/>
  <c r="Q491" i="2"/>
  <c r="Q462" i="2"/>
  <c r="Q433" i="2"/>
  <c r="Q404" i="2"/>
  <c r="Q375" i="2"/>
  <c r="Q317" i="2"/>
  <c r="Q288" i="2"/>
  <c r="Q259" i="2"/>
  <c r="Q230" i="2"/>
  <c r="S752" i="2"/>
  <c r="S607" i="2"/>
  <c r="S462" i="2"/>
  <c r="S404" i="2"/>
  <c r="S317" i="2"/>
  <c r="P810" i="2"/>
  <c r="P781" i="2"/>
  <c r="P752" i="2"/>
  <c r="P723" i="2"/>
  <c r="P694" i="2"/>
  <c r="P665" i="2"/>
  <c r="P636" i="2"/>
  <c r="P607" i="2"/>
  <c r="P578" i="2"/>
  <c r="P549" i="2"/>
  <c r="P520" i="2"/>
  <c r="P491" i="2"/>
  <c r="P462" i="2"/>
  <c r="P433" i="2"/>
  <c r="P404" i="2"/>
  <c r="P375" i="2"/>
  <c r="P317" i="2"/>
  <c r="P288" i="2"/>
  <c r="P259" i="2"/>
  <c r="P230" i="2"/>
  <c r="D23" i="3"/>
  <c r="D21" i="3"/>
  <c r="L785" i="2" l="1"/>
  <c r="M785" i="2"/>
  <c r="N785" i="2"/>
  <c r="O785" i="2"/>
  <c r="L786" i="2"/>
  <c r="M786" i="2"/>
  <c r="N786" i="2"/>
  <c r="O786" i="2"/>
  <c r="L787" i="2"/>
  <c r="M787" i="2"/>
  <c r="N787" i="2"/>
  <c r="O787" i="2"/>
  <c r="L788" i="2"/>
  <c r="M788" i="2"/>
  <c r="N788" i="2"/>
  <c r="O788" i="2"/>
  <c r="L789" i="2"/>
  <c r="M789" i="2"/>
  <c r="N789" i="2"/>
  <c r="O789" i="2"/>
  <c r="L790" i="2"/>
  <c r="M790" i="2"/>
  <c r="N790" i="2"/>
  <c r="O790" i="2"/>
  <c r="L791" i="2"/>
  <c r="M791" i="2"/>
  <c r="N791" i="2"/>
  <c r="O791" i="2"/>
  <c r="L792" i="2"/>
  <c r="M792" i="2"/>
  <c r="N792" i="2"/>
  <c r="O792" i="2"/>
  <c r="L793" i="2"/>
  <c r="M793" i="2"/>
  <c r="N793" i="2"/>
  <c r="O793" i="2"/>
  <c r="L794" i="2"/>
  <c r="M794" i="2"/>
  <c r="N794" i="2"/>
  <c r="O794" i="2"/>
  <c r="L795" i="2"/>
  <c r="M795" i="2"/>
  <c r="N795" i="2"/>
  <c r="O795" i="2"/>
  <c r="L796" i="2"/>
  <c r="M796" i="2"/>
  <c r="N796" i="2"/>
  <c r="O796" i="2"/>
  <c r="L797" i="2"/>
  <c r="M797" i="2"/>
  <c r="N797" i="2"/>
  <c r="O797" i="2"/>
  <c r="L798" i="2"/>
  <c r="M798" i="2"/>
  <c r="N798" i="2"/>
  <c r="O798" i="2"/>
  <c r="L799" i="2"/>
  <c r="M799" i="2"/>
  <c r="N799" i="2"/>
  <c r="O799" i="2"/>
  <c r="L800" i="2"/>
  <c r="M800" i="2"/>
  <c r="N800" i="2"/>
  <c r="O800" i="2"/>
  <c r="L801" i="2"/>
  <c r="M801" i="2"/>
  <c r="N801" i="2"/>
  <c r="O801" i="2"/>
  <c r="L802" i="2"/>
  <c r="M802" i="2"/>
  <c r="N802" i="2"/>
  <c r="O802" i="2"/>
  <c r="L803" i="2"/>
  <c r="M803" i="2"/>
  <c r="N803" i="2"/>
  <c r="O803" i="2"/>
  <c r="L804" i="2"/>
  <c r="M804" i="2"/>
  <c r="N804" i="2"/>
  <c r="O804" i="2"/>
  <c r="L806" i="2"/>
  <c r="M806" i="2"/>
  <c r="N806" i="2"/>
  <c r="O806" i="2"/>
  <c r="L807" i="2"/>
  <c r="M807" i="2"/>
  <c r="N807" i="2"/>
  <c r="O807" i="2"/>
  <c r="L808" i="2"/>
  <c r="M808" i="2"/>
  <c r="N808" i="2"/>
  <c r="O808" i="2"/>
  <c r="L756" i="2"/>
  <c r="M756" i="2"/>
  <c r="N756" i="2"/>
  <c r="O756" i="2"/>
  <c r="L757" i="2"/>
  <c r="M757" i="2"/>
  <c r="N757" i="2"/>
  <c r="O757" i="2"/>
  <c r="L758" i="2"/>
  <c r="M758" i="2"/>
  <c r="N758" i="2"/>
  <c r="O758" i="2"/>
  <c r="L759" i="2"/>
  <c r="M759" i="2"/>
  <c r="N759" i="2"/>
  <c r="O759" i="2"/>
  <c r="L760" i="2"/>
  <c r="M760" i="2"/>
  <c r="N760" i="2"/>
  <c r="O760" i="2"/>
  <c r="L761" i="2"/>
  <c r="M761" i="2"/>
  <c r="N761" i="2"/>
  <c r="O761" i="2"/>
  <c r="L762" i="2"/>
  <c r="M762" i="2"/>
  <c r="N762" i="2"/>
  <c r="O762" i="2"/>
  <c r="L763" i="2"/>
  <c r="M763" i="2"/>
  <c r="N763" i="2"/>
  <c r="O763" i="2"/>
  <c r="L764" i="2"/>
  <c r="M764" i="2"/>
  <c r="N764" i="2"/>
  <c r="O764" i="2"/>
  <c r="L765" i="2"/>
  <c r="M765" i="2"/>
  <c r="N765" i="2"/>
  <c r="O765" i="2"/>
  <c r="L766" i="2"/>
  <c r="M766" i="2"/>
  <c r="N766" i="2"/>
  <c r="O766" i="2"/>
  <c r="L767" i="2"/>
  <c r="M767" i="2"/>
  <c r="N767" i="2"/>
  <c r="O767" i="2"/>
  <c r="L768" i="2"/>
  <c r="M768" i="2"/>
  <c r="N768" i="2"/>
  <c r="O768" i="2"/>
  <c r="L769" i="2"/>
  <c r="M769" i="2"/>
  <c r="N769" i="2"/>
  <c r="O769" i="2"/>
  <c r="L770" i="2"/>
  <c r="M770" i="2"/>
  <c r="N770" i="2"/>
  <c r="O770" i="2"/>
  <c r="L771" i="2"/>
  <c r="M771" i="2"/>
  <c r="N771" i="2"/>
  <c r="O771" i="2"/>
  <c r="L772" i="2"/>
  <c r="M772" i="2"/>
  <c r="N772" i="2"/>
  <c r="O772" i="2"/>
  <c r="L773" i="2"/>
  <c r="M773" i="2"/>
  <c r="N773" i="2"/>
  <c r="O773" i="2"/>
  <c r="L774" i="2"/>
  <c r="M774" i="2"/>
  <c r="N774" i="2"/>
  <c r="O774" i="2"/>
  <c r="L775" i="2"/>
  <c r="M775" i="2"/>
  <c r="N775" i="2"/>
  <c r="O775" i="2"/>
  <c r="L777" i="2"/>
  <c r="M777" i="2"/>
  <c r="N777" i="2"/>
  <c r="O777" i="2"/>
  <c r="L778" i="2"/>
  <c r="M778" i="2"/>
  <c r="N778" i="2"/>
  <c r="O778" i="2"/>
  <c r="L779" i="2"/>
  <c r="M779" i="2"/>
  <c r="N779" i="2"/>
  <c r="O779" i="2"/>
  <c r="L727" i="2"/>
  <c r="M727" i="2"/>
  <c r="N727" i="2"/>
  <c r="O727" i="2"/>
  <c r="L728" i="2"/>
  <c r="M728" i="2"/>
  <c r="N728" i="2"/>
  <c r="O728" i="2"/>
  <c r="L729" i="2"/>
  <c r="M729" i="2"/>
  <c r="N729" i="2"/>
  <c r="O729" i="2"/>
  <c r="L730" i="2"/>
  <c r="M730" i="2"/>
  <c r="N730" i="2"/>
  <c r="O730" i="2"/>
  <c r="L731" i="2"/>
  <c r="M731" i="2"/>
  <c r="N731" i="2"/>
  <c r="O731" i="2"/>
  <c r="L732" i="2"/>
  <c r="M732" i="2"/>
  <c r="N732" i="2"/>
  <c r="O732" i="2"/>
  <c r="L733" i="2"/>
  <c r="M733" i="2"/>
  <c r="N733" i="2"/>
  <c r="O733" i="2"/>
  <c r="L734" i="2"/>
  <c r="M734" i="2"/>
  <c r="N734" i="2"/>
  <c r="O734" i="2"/>
  <c r="L735" i="2"/>
  <c r="M735" i="2"/>
  <c r="N735" i="2"/>
  <c r="O735" i="2"/>
  <c r="L736" i="2"/>
  <c r="M736" i="2"/>
  <c r="N736" i="2"/>
  <c r="O736" i="2"/>
  <c r="L737" i="2"/>
  <c r="M737" i="2"/>
  <c r="N737" i="2"/>
  <c r="O737" i="2"/>
  <c r="L738" i="2"/>
  <c r="M738" i="2"/>
  <c r="N738" i="2"/>
  <c r="O738" i="2"/>
  <c r="L739" i="2"/>
  <c r="M739" i="2"/>
  <c r="N739" i="2"/>
  <c r="O739" i="2"/>
  <c r="L740" i="2"/>
  <c r="M740" i="2"/>
  <c r="N740" i="2"/>
  <c r="O740" i="2"/>
  <c r="L741" i="2"/>
  <c r="M741" i="2"/>
  <c r="N741" i="2"/>
  <c r="O741" i="2"/>
  <c r="L742" i="2"/>
  <c r="M742" i="2"/>
  <c r="N742" i="2"/>
  <c r="O742" i="2"/>
  <c r="L743" i="2"/>
  <c r="M743" i="2"/>
  <c r="N743" i="2"/>
  <c r="O743" i="2"/>
  <c r="L744" i="2"/>
  <c r="M744" i="2"/>
  <c r="N744" i="2"/>
  <c r="O744" i="2"/>
  <c r="L745" i="2"/>
  <c r="M745" i="2"/>
  <c r="N745" i="2"/>
  <c r="O745" i="2"/>
  <c r="L746" i="2"/>
  <c r="M746" i="2"/>
  <c r="N746" i="2"/>
  <c r="O746" i="2"/>
  <c r="L748" i="2"/>
  <c r="M748" i="2"/>
  <c r="N748" i="2"/>
  <c r="O748" i="2"/>
  <c r="L749" i="2"/>
  <c r="M749" i="2"/>
  <c r="N749" i="2"/>
  <c r="O749" i="2"/>
  <c r="L750" i="2"/>
  <c r="M750" i="2"/>
  <c r="N750" i="2"/>
  <c r="O750" i="2"/>
  <c r="L698" i="2"/>
  <c r="M698" i="2"/>
  <c r="N698" i="2"/>
  <c r="O698" i="2"/>
  <c r="L699" i="2"/>
  <c r="M699" i="2"/>
  <c r="N699" i="2"/>
  <c r="O699" i="2"/>
  <c r="L700" i="2"/>
  <c r="M700" i="2"/>
  <c r="N700" i="2"/>
  <c r="O700" i="2"/>
  <c r="L701" i="2"/>
  <c r="M701" i="2"/>
  <c r="N701" i="2"/>
  <c r="O701" i="2"/>
  <c r="L702" i="2"/>
  <c r="M702" i="2"/>
  <c r="N702" i="2"/>
  <c r="O702" i="2"/>
  <c r="L703" i="2"/>
  <c r="M703" i="2"/>
  <c r="N703" i="2"/>
  <c r="O703" i="2"/>
  <c r="L704" i="2"/>
  <c r="M704" i="2"/>
  <c r="N704" i="2"/>
  <c r="O704" i="2"/>
  <c r="L705" i="2"/>
  <c r="M705" i="2"/>
  <c r="N705" i="2"/>
  <c r="O705" i="2"/>
  <c r="L706" i="2"/>
  <c r="M706" i="2"/>
  <c r="N706" i="2"/>
  <c r="O706" i="2"/>
  <c r="L707" i="2"/>
  <c r="M707" i="2"/>
  <c r="N707" i="2"/>
  <c r="O707" i="2"/>
  <c r="L708" i="2"/>
  <c r="M708" i="2"/>
  <c r="N708" i="2"/>
  <c r="O708" i="2"/>
  <c r="L709" i="2"/>
  <c r="M709" i="2"/>
  <c r="N709" i="2"/>
  <c r="O709" i="2"/>
  <c r="L710" i="2"/>
  <c r="M710" i="2"/>
  <c r="N710" i="2"/>
  <c r="O710" i="2"/>
  <c r="L711" i="2"/>
  <c r="M711" i="2"/>
  <c r="N711" i="2"/>
  <c r="O711" i="2"/>
  <c r="L712" i="2"/>
  <c r="M712" i="2"/>
  <c r="N712" i="2"/>
  <c r="O712" i="2"/>
  <c r="L713" i="2"/>
  <c r="M713" i="2"/>
  <c r="N713" i="2"/>
  <c r="O713" i="2"/>
  <c r="L714" i="2"/>
  <c r="M714" i="2"/>
  <c r="N714" i="2"/>
  <c r="O714" i="2"/>
  <c r="L715" i="2"/>
  <c r="M715" i="2"/>
  <c r="N715" i="2"/>
  <c r="O715" i="2"/>
  <c r="L716" i="2"/>
  <c r="M716" i="2"/>
  <c r="N716" i="2"/>
  <c r="O716" i="2"/>
  <c r="L717" i="2"/>
  <c r="M717" i="2"/>
  <c r="N717" i="2"/>
  <c r="O717" i="2"/>
  <c r="L719" i="2"/>
  <c r="M719" i="2"/>
  <c r="N719" i="2"/>
  <c r="O719" i="2"/>
  <c r="L720" i="2"/>
  <c r="M720" i="2"/>
  <c r="N720" i="2"/>
  <c r="O720" i="2"/>
  <c r="L721" i="2"/>
  <c r="M721" i="2"/>
  <c r="N721" i="2"/>
  <c r="O721" i="2"/>
  <c r="L669" i="2"/>
  <c r="M669" i="2"/>
  <c r="N669" i="2"/>
  <c r="O669" i="2"/>
  <c r="O694" i="2" s="1"/>
  <c r="L670" i="2"/>
  <c r="M670" i="2"/>
  <c r="N670" i="2"/>
  <c r="O670" i="2"/>
  <c r="L671" i="2"/>
  <c r="M671" i="2"/>
  <c r="N671" i="2"/>
  <c r="O671" i="2"/>
  <c r="L672" i="2"/>
  <c r="M672" i="2"/>
  <c r="N672" i="2"/>
  <c r="O672" i="2"/>
  <c r="L673" i="2"/>
  <c r="M673" i="2"/>
  <c r="N673" i="2"/>
  <c r="O673" i="2"/>
  <c r="L674" i="2"/>
  <c r="M674" i="2"/>
  <c r="N674" i="2"/>
  <c r="O674" i="2"/>
  <c r="L675" i="2"/>
  <c r="M675" i="2"/>
  <c r="N675" i="2"/>
  <c r="O675" i="2"/>
  <c r="L676" i="2"/>
  <c r="M676" i="2"/>
  <c r="N676" i="2"/>
  <c r="O676" i="2"/>
  <c r="L677" i="2"/>
  <c r="M677" i="2"/>
  <c r="N677" i="2"/>
  <c r="O677" i="2"/>
  <c r="L678" i="2"/>
  <c r="M678" i="2"/>
  <c r="N678" i="2"/>
  <c r="O678" i="2"/>
  <c r="L679" i="2"/>
  <c r="M679" i="2"/>
  <c r="N679" i="2"/>
  <c r="O679" i="2"/>
  <c r="L680" i="2"/>
  <c r="M680" i="2"/>
  <c r="N680" i="2"/>
  <c r="O680" i="2"/>
  <c r="L681" i="2"/>
  <c r="M681" i="2"/>
  <c r="N681" i="2"/>
  <c r="O681" i="2"/>
  <c r="L682" i="2"/>
  <c r="M682" i="2"/>
  <c r="N682" i="2"/>
  <c r="O682" i="2"/>
  <c r="L683" i="2"/>
  <c r="M683" i="2"/>
  <c r="N683" i="2"/>
  <c r="O683" i="2"/>
  <c r="L684" i="2"/>
  <c r="M684" i="2"/>
  <c r="N684" i="2"/>
  <c r="O684" i="2"/>
  <c r="L685" i="2"/>
  <c r="M685" i="2"/>
  <c r="N685" i="2"/>
  <c r="O685" i="2"/>
  <c r="L686" i="2"/>
  <c r="M686" i="2"/>
  <c r="N686" i="2"/>
  <c r="O686" i="2"/>
  <c r="L687" i="2"/>
  <c r="M687" i="2"/>
  <c r="N687" i="2"/>
  <c r="O687" i="2"/>
  <c r="L688" i="2"/>
  <c r="M688" i="2"/>
  <c r="N688" i="2"/>
  <c r="O688" i="2"/>
  <c r="L690" i="2"/>
  <c r="M690" i="2"/>
  <c r="N690" i="2"/>
  <c r="O690" i="2"/>
  <c r="L691" i="2"/>
  <c r="M691" i="2"/>
  <c r="N691" i="2"/>
  <c r="O691" i="2"/>
  <c r="L692" i="2"/>
  <c r="M692" i="2"/>
  <c r="N692" i="2"/>
  <c r="O692" i="2"/>
  <c r="L640" i="2"/>
  <c r="M640" i="2"/>
  <c r="N640" i="2"/>
  <c r="O640" i="2"/>
  <c r="L641" i="2"/>
  <c r="M641" i="2"/>
  <c r="N641" i="2"/>
  <c r="O641" i="2"/>
  <c r="L642" i="2"/>
  <c r="M642" i="2"/>
  <c r="N642" i="2"/>
  <c r="O642" i="2"/>
  <c r="L643" i="2"/>
  <c r="M643" i="2"/>
  <c r="N643" i="2"/>
  <c r="O643" i="2"/>
  <c r="L644" i="2"/>
  <c r="M644" i="2"/>
  <c r="N644" i="2"/>
  <c r="O644" i="2"/>
  <c r="L645" i="2"/>
  <c r="M645" i="2"/>
  <c r="N645" i="2"/>
  <c r="O645" i="2"/>
  <c r="L646" i="2"/>
  <c r="M646" i="2"/>
  <c r="N646" i="2"/>
  <c r="O646" i="2"/>
  <c r="L647" i="2"/>
  <c r="M647" i="2"/>
  <c r="N647" i="2"/>
  <c r="O647" i="2"/>
  <c r="L648" i="2"/>
  <c r="M648" i="2"/>
  <c r="N648" i="2"/>
  <c r="O648" i="2"/>
  <c r="L649" i="2"/>
  <c r="M649" i="2"/>
  <c r="N649" i="2"/>
  <c r="O649" i="2"/>
  <c r="L650" i="2"/>
  <c r="M650" i="2"/>
  <c r="N650" i="2"/>
  <c r="O650" i="2"/>
  <c r="L651" i="2"/>
  <c r="M651" i="2"/>
  <c r="N651" i="2"/>
  <c r="O651" i="2"/>
  <c r="L652" i="2"/>
  <c r="M652" i="2"/>
  <c r="N652" i="2"/>
  <c r="O652" i="2"/>
  <c r="L653" i="2"/>
  <c r="M653" i="2"/>
  <c r="N653" i="2"/>
  <c r="O653" i="2"/>
  <c r="L654" i="2"/>
  <c r="M654" i="2"/>
  <c r="N654" i="2"/>
  <c r="O654" i="2"/>
  <c r="L655" i="2"/>
  <c r="M655" i="2"/>
  <c r="N655" i="2"/>
  <c r="O655" i="2"/>
  <c r="L656" i="2"/>
  <c r="M656" i="2"/>
  <c r="N656" i="2"/>
  <c r="O656" i="2"/>
  <c r="L657" i="2"/>
  <c r="M657" i="2"/>
  <c r="N657" i="2"/>
  <c r="O657" i="2"/>
  <c r="L658" i="2"/>
  <c r="M658" i="2"/>
  <c r="N658" i="2"/>
  <c r="O658" i="2"/>
  <c r="L659" i="2"/>
  <c r="M659" i="2"/>
  <c r="N659" i="2"/>
  <c r="O659" i="2"/>
  <c r="L661" i="2"/>
  <c r="M661" i="2"/>
  <c r="N661" i="2"/>
  <c r="O661" i="2"/>
  <c r="L662" i="2"/>
  <c r="M662" i="2"/>
  <c r="N662" i="2"/>
  <c r="O662" i="2"/>
  <c r="L663" i="2"/>
  <c r="M663" i="2"/>
  <c r="N663" i="2"/>
  <c r="O663" i="2"/>
  <c r="L611" i="2"/>
  <c r="M611" i="2"/>
  <c r="N611" i="2"/>
  <c r="O611" i="2"/>
  <c r="L612" i="2"/>
  <c r="M612" i="2"/>
  <c r="N612" i="2"/>
  <c r="O612" i="2"/>
  <c r="L613" i="2"/>
  <c r="M613" i="2"/>
  <c r="N613" i="2"/>
  <c r="O613" i="2"/>
  <c r="L614" i="2"/>
  <c r="M614" i="2"/>
  <c r="N614" i="2"/>
  <c r="O614" i="2"/>
  <c r="L615" i="2"/>
  <c r="M615" i="2"/>
  <c r="N615" i="2"/>
  <c r="O615" i="2"/>
  <c r="L616" i="2"/>
  <c r="M616" i="2"/>
  <c r="N616" i="2"/>
  <c r="O616" i="2"/>
  <c r="L617" i="2"/>
  <c r="M617" i="2"/>
  <c r="N617" i="2"/>
  <c r="O617" i="2"/>
  <c r="L618" i="2"/>
  <c r="M618" i="2"/>
  <c r="N618" i="2"/>
  <c r="O618" i="2"/>
  <c r="L619" i="2"/>
  <c r="M619" i="2"/>
  <c r="N619" i="2"/>
  <c r="O619" i="2"/>
  <c r="L620" i="2"/>
  <c r="M620" i="2"/>
  <c r="N620" i="2"/>
  <c r="O620" i="2"/>
  <c r="L621" i="2"/>
  <c r="M621" i="2"/>
  <c r="N621" i="2"/>
  <c r="O621" i="2"/>
  <c r="L622" i="2"/>
  <c r="M622" i="2"/>
  <c r="N622" i="2"/>
  <c r="O622" i="2"/>
  <c r="L623" i="2"/>
  <c r="M623" i="2"/>
  <c r="N623" i="2"/>
  <c r="O623" i="2"/>
  <c r="L624" i="2"/>
  <c r="M624" i="2"/>
  <c r="N624" i="2"/>
  <c r="O624" i="2"/>
  <c r="L625" i="2"/>
  <c r="M625" i="2"/>
  <c r="N625" i="2"/>
  <c r="O625" i="2"/>
  <c r="L626" i="2"/>
  <c r="M626" i="2"/>
  <c r="N626" i="2"/>
  <c r="O626" i="2"/>
  <c r="L627" i="2"/>
  <c r="M627" i="2"/>
  <c r="N627" i="2"/>
  <c r="O627" i="2"/>
  <c r="L628" i="2"/>
  <c r="M628" i="2"/>
  <c r="N628" i="2"/>
  <c r="O628" i="2"/>
  <c r="L629" i="2"/>
  <c r="M629" i="2"/>
  <c r="N629" i="2"/>
  <c r="O629" i="2"/>
  <c r="L630" i="2"/>
  <c r="M630" i="2"/>
  <c r="N630" i="2"/>
  <c r="O630" i="2"/>
  <c r="L632" i="2"/>
  <c r="M632" i="2"/>
  <c r="N632" i="2"/>
  <c r="O632" i="2"/>
  <c r="L633" i="2"/>
  <c r="M633" i="2"/>
  <c r="N633" i="2"/>
  <c r="O633" i="2"/>
  <c r="L634" i="2"/>
  <c r="M634" i="2"/>
  <c r="N634" i="2"/>
  <c r="O634" i="2"/>
  <c r="L582" i="2"/>
  <c r="M582" i="2"/>
  <c r="N582" i="2"/>
  <c r="O582" i="2"/>
  <c r="L583" i="2"/>
  <c r="M583" i="2"/>
  <c r="N583" i="2"/>
  <c r="O583" i="2"/>
  <c r="L584" i="2"/>
  <c r="M584" i="2"/>
  <c r="N584" i="2"/>
  <c r="O584" i="2"/>
  <c r="L585" i="2"/>
  <c r="M585" i="2"/>
  <c r="N585" i="2"/>
  <c r="O585" i="2"/>
  <c r="L586" i="2"/>
  <c r="M586" i="2"/>
  <c r="N586" i="2"/>
  <c r="O586" i="2"/>
  <c r="L587" i="2"/>
  <c r="M587" i="2"/>
  <c r="N587" i="2"/>
  <c r="O587" i="2"/>
  <c r="L588" i="2"/>
  <c r="M588" i="2"/>
  <c r="N588" i="2"/>
  <c r="O588" i="2"/>
  <c r="L589" i="2"/>
  <c r="M589" i="2"/>
  <c r="N589" i="2"/>
  <c r="O589" i="2"/>
  <c r="L590" i="2"/>
  <c r="M590" i="2"/>
  <c r="N590" i="2"/>
  <c r="O590" i="2"/>
  <c r="L591" i="2"/>
  <c r="M591" i="2"/>
  <c r="N591" i="2"/>
  <c r="O591" i="2"/>
  <c r="L592" i="2"/>
  <c r="M592" i="2"/>
  <c r="N592" i="2"/>
  <c r="O592" i="2"/>
  <c r="L593" i="2"/>
  <c r="M593" i="2"/>
  <c r="N593" i="2"/>
  <c r="O593" i="2"/>
  <c r="L594" i="2"/>
  <c r="M594" i="2"/>
  <c r="N594" i="2"/>
  <c r="O594" i="2"/>
  <c r="L595" i="2"/>
  <c r="M595" i="2"/>
  <c r="N595" i="2"/>
  <c r="O595" i="2"/>
  <c r="L596" i="2"/>
  <c r="M596" i="2"/>
  <c r="N596" i="2"/>
  <c r="O596" i="2"/>
  <c r="L597" i="2"/>
  <c r="M597" i="2"/>
  <c r="N597" i="2"/>
  <c r="O597" i="2"/>
  <c r="L598" i="2"/>
  <c r="M598" i="2"/>
  <c r="N598" i="2"/>
  <c r="O598" i="2"/>
  <c r="L599" i="2"/>
  <c r="M599" i="2"/>
  <c r="N599" i="2"/>
  <c r="O599" i="2"/>
  <c r="L600" i="2"/>
  <c r="M600" i="2"/>
  <c r="N600" i="2"/>
  <c r="O600" i="2"/>
  <c r="L601" i="2"/>
  <c r="M601" i="2"/>
  <c r="N601" i="2"/>
  <c r="O601" i="2"/>
  <c r="L603" i="2"/>
  <c r="M603" i="2"/>
  <c r="N603" i="2"/>
  <c r="O603" i="2"/>
  <c r="L604" i="2"/>
  <c r="M604" i="2"/>
  <c r="N604" i="2"/>
  <c r="O604" i="2"/>
  <c r="L605" i="2"/>
  <c r="M605" i="2"/>
  <c r="N605" i="2"/>
  <c r="O605" i="2"/>
  <c r="L553" i="2"/>
  <c r="M553" i="2"/>
  <c r="N553" i="2"/>
  <c r="O553" i="2"/>
  <c r="L554" i="2"/>
  <c r="M554" i="2"/>
  <c r="N554" i="2"/>
  <c r="O554" i="2"/>
  <c r="L555" i="2"/>
  <c r="M555" i="2"/>
  <c r="N555" i="2"/>
  <c r="O555" i="2"/>
  <c r="L556" i="2"/>
  <c r="M556" i="2"/>
  <c r="N556" i="2"/>
  <c r="O556" i="2"/>
  <c r="L557" i="2"/>
  <c r="M557" i="2"/>
  <c r="N557" i="2"/>
  <c r="O557" i="2"/>
  <c r="L558" i="2"/>
  <c r="M558" i="2"/>
  <c r="N558" i="2"/>
  <c r="O558" i="2"/>
  <c r="L559" i="2"/>
  <c r="M559" i="2"/>
  <c r="N559" i="2"/>
  <c r="O559" i="2"/>
  <c r="L560" i="2"/>
  <c r="M560" i="2"/>
  <c r="N560" i="2"/>
  <c r="O560" i="2"/>
  <c r="L561" i="2"/>
  <c r="M561" i="2"/>
  <c r="N561" i="2"/>
  <c r="O561" i="2"/>
  <c r="L562" i="2"/>
  <c r="M562" i="2"/>
  <c r="N562" i="2"/>
  <c r="O562" i="2"/>
  <c r="L563" i="2"/>
  <c r="M563" i="2"/>
  <c r="N563" i="2"/>
  <c r="O563" i="2"/>
  <c r="L564" i="2"/>
  <c r="M564" i="2"/>
  <c r="N564" i="2"/>
  <c r="O564" i="2"/>
  <c r="L565" i="2"/>
  <c r="M565" i="2"/>
  <c r="N565" i="2"/>
  <c r="O565" i="2"/>
  <c r="L566" i="2"/>
  <c r="M566" i="2"/>
  <c r="N566" i="2"/>
  <c r="O566" i="2"/>
  <c r="L567" i="2"/>
  <c r="M567" i="2"/>
  <c r="N567" i="2"/>
  <c r="O567" i="2"/>
  <c r="L568" i="2"/>
  <c r="M568" i="2"/>
  <c r="N568" i="2"/>
  <c r="O568" i="2"/>
  <c r="L569" i="2"/>
  <c r="M569" i="2"/>
  <c r="N569" i="2"/>
  <c r="O569" i="2"/>
  <c r="L570" i="2"/>
  <c r="M570" i="2"/>
  <c r="N570" i="2"/>
  <c r="O570" i="2"/>
  <c r="L571" i="2"/>
  <c r="M571" i="2"/>
  <c r="N571" i="2"/>
  <c r="O571" i="2"/>
  <c r="L572" i="2"/>
  <c r="M572" i="2"/>
  <c r="N572" i="2"/>
  <c r="O572" i="2"/>
  <c r="L574" i="2"/>
  <c r="M574" i="2"/>
  <c r="N574" i="2"/>
  <c r="O574" i="2"/>
  <c r="L575" i="2"/>
  <c r="M575" i="2"/>
  <c r="N575" i="2"/>
  <c r="O575" i="2"/>
  <c r="L576" i="2"/>
  <c r="M576" i="2"/>
  <c r="N576" i="2"/>
  <c r="O576" i="2"/>
  <c r="L524" i="2"/>
  <c r="M524" i="2"/>
  <c r="N524" i="2"/>
  <c r="O524" i="2"/>
  <c r="O549" i="2" s="1"/>
  <c r="L525" i="2"/>
  <c r="M525" i="2"/>
  <c r="N525" i="2"/>
  <c r="O525" i="2"/>
  <c r="L526" i="2"/>
  <c r="M526" i="2"/>
  <c r="N526" i="2"/>
  <c r="O526" i="2"/>
  <c r="L527" i="2"/>
  <c r="M527" i="2"/>
  <c r="N527" i="2"/>
  <c r="O527" i="2"/>
  <c r="L528" i="2"/>
  <c r="M528" i="2"/>
  <c r="N528" i="2"/>
  <c r="O528" i="2"/>
  <c r="L529" i="2"/>
  <c r="M529" i="2"/>
  <c r="N529" i="2"/>
  <c r="O529" i="2"/>
  <c r="L530" i="2"/>
  <c r="M530" i="2"/>
  <c r="N530" i="2"/>
  <c r="O530" i="2"/>
  <c r="L531" i="2"/>
  <c r="M531" i="2"/>
  <c r="N531" i="2"/>
  <c r="O531" i="2"/>
  <c r="L532" i="2"/>
  <c r="M532" i="2"/>
  <c r="N532" i="2"/>
  <c r="O532" i="2"/>
  <c r="L533" i="2"/>
  <c r="M533" i="2"/>
  <c r="N533" i="2"/>
  <c r="O533" i="2"/>
  <c r="L534" i="2"/>
  <c r="M534" i="2"/>
  <c r="N534" i="2"/>
  <c r="O534" i="2"/>
  <c r="L535" i="2"/>
  <c r="M535" i="2"/>
  <c r="N535" i="2"/>
  <c r="O535" i="2"/>
  <c r="L536" i="2"/>
  <c r="M536" i="2"/>
  <c r="N536" i="2"/>
  <c r="O536" i="2"/>
  <c r="L537" i="2"/>
  <c r="M537" i="2"/>
  <c r="N537" i="2"/>
  <c r="O537" i="2"/>
  <c r="L538" i="2"/>
  <c r="M538" i="2"/>
  <c r="N538" i="2"/>
  <c r="O538" i="2"/>
  <c r="L539" i="2"/>
  <c r="M539" i="2"/>
  <c r="N539" i="2"/>
  <c r="O539" i="2"/>
  <c r="L540" i="2"/>
  <c r="M540" i="2"/>
  <c r="N540" i="2"/>
  <c r="O540" i="2"/>
  <c r="L541" i="2"/>
  <c r="M541" i="2"/>
  <c r="N541" i="2"/>
  <c r="O541" i="2"/>
  <c r="L542" i="2"/>
  <c r="M542" i="2"/>
  <c r="N542" i="2"/>
  <c r="O542" i="2"/>
  <c r="L543" i="2"/>
  <c r="M543" i="2"/>
  <c r="N543" i="2"/>
  <c r="O543" i="2"/>
  <c r="L545" i="2"/>
  <c r="M545" i="2"/>
  <c r="N545" i="2"/>
  <c r="O545" i="2"/>
  <c r="L546" i="2"/>
  <c r="M546" i="2"/>
  <c r="N546" i="2"/>
  <c r="O546" i="2"/>
  <c r="L547" i="2"/>
  <c r="M547" i="2"/>
  <c r="N547" i="2"/>
  <c r="O547" i="2"/>
  <c r="L495" i="2"/>
  <c r="M495" i="2"/>
  <c r="N495" i="2"/>
  <c r="O495" i="2"/>
  <c r="L496" i="2"/>
  <c r="M496" i="2"/>
  <c r="N496" i="2"/>
  <c r="O496" i="2"/>
  <c r="L497" i="2"/>
  <c r="M497" i="2"/>
  <c r="N497" i="2"/>
  <c r="O497" i="2"/>
  <c r="L498" i="2"/>
  <c r="M498" i="2"/>
  <c r="N498" i="2"/>
  <c r="O498" i="2"/>
  <c r="L499" i="2"/>
  <c r="M499" i="2"/>
  <c r="N499" i="2"/>
  <c r="O499" i="2"/>
  <c r="L500" i="2"/>
  <c r="M500" i="2"/>
  <c r="N500" i="2"/>
  <c r="O500" i="2"/>
  <c r="L501" i="2"/>
  <c r="M501" i="2"/>
  <c r="N501" i="2"/>
  <c r="O501" i="2"/>
  <c r="L502" i="2"/>
  <c r="M502" i="2"/>
  <c r="N502" i="2"/>
  <c r="O502" i="2"/>
  <c r="L503" i="2"/>
  <c r="M503" i="2"/>
  <c r="N503" i="2"/>
  <c r="O503" i="2"/>
  <c r="L504" i="2"/>
  <c r="M504" i="2"/>
  <c r="N504" i="2"/>
  <c r="O504" i="2"/>
  <c r="L505" i="2"/>
  <c r="M505" i="2"/>
  <c r="N505" i="2"/>
  <c r="O505" i="2"/>
  <c r="L506" i="2"/>
  <c r="M506" i="2"/>
  <c r="N506" i="2"/>
  <c r="O506" i="2"/>
  <c r="L507" i="2"/>
  <c r="M507" i="2"/>
  <c r="N507" i="2"/>
  <c r="O507" i="2"/>
  <c r="L508" i="2"/>
  <c r="M508" i="2"/>
  <c r="N508" i="2"/>
  <c r="O508" i="2"/>
  <c r="L509" i="2"/>
  <c r="M509" i="2"/>
  <c r="N509" i="2"/>
  <c r="O509" i="2"/>
  <c r="L510" i="2"/>
  <c r="M510" i="2"/>
  <c r="N510" i="2"/>
  <c r="O510" i="2"/>
  <c r="L511" i="2"/>
  <c r="M511" i="2"/>
  <c r="N511" i="2"/>
  <c r="O511" i="2"/>
  <c r="L512" i="2"/>
  <c r="M512" i="2"/>
  <c r="N512" i="2"/>
  <c r="O512" i="2"/>
  <c r="L513" i="2"/>
  <c r="M513" i="2"/>
  <c r="N513" i="2"/>
  <c r="O513" i="2"/>
  <c r="L514" i="2"/>
  <c r="M514" i="2"/>
  <c r="N514" i="2"/>
  <c r="O514" i="2"/>
  <c r="L516" i="2"/>
  <c r="M516" i="2"/>
  <c r="N516" i="2"/>
  <c r="O516" i="2"/>
  <c r="L517" i="2"/>
  <c r="M517" i="2"/>
  <c r="N517" i="2"/>
  <c r="O517" i="2"/>
  <c r="L518" i="2"/>
  <c r="M518" i="2"/>
  <c r="N518" i="2"/>
  <c r="O518" i="2"/>
  <c r="L466" i="2"/>
  <c r="M466" i="2"/>
  <c r="N466" i="2"/>
  <c r="O466" i="2"/>
  <c r="L467" i="2"/>
  <c r="M467" i="2"/>
  <c r="N467" i="2"/>
  <c r="O467" i="2"/>
  <c r="L468" i="2"/>
  <c r="M468" i="2"/>
  <c r="N468" i="2"/>
  <c r="O468" i="2"/>
  <c r="L469" i="2"/>
  <c r="M469" i="2"/>
  <c r="N469" i="2"/>
  <c r="O469" i="2"/>
  <c r="L470" i="2"/>
  <c r="M470" i="2"/>
  <c r="N470" i="2"/>
  <c r="O470" i="2"/>
  <c r="L471" i="2"/>
  <c r="M471" i="2"/>
  <c r="N471" i="2"/>
  <c r="O471" i="2"/>
  <c r="L472" i="2"/>
  <c r="M472" i="2"/>
  <c r="N472" i="2"/>
  <c r="O472" i="2"/>
  <c r="L473" i="2"/>
  <c r="M473" i="2"/>
  <c r="N473" i="2"/>
  <c r="O473" i="2"/>
  <c r="L474" i="2"/>
  <c r="M474" i="2"/>
  <c r="N474" i="2"/>
  <c r="O474" i="2"/>
  <c r="L475" i="2"/>
  <c r="M475" i="2"/>
  <c r="N475" i="2"/>
  <c r="O475" i="2"/>
  <c r="L476" i="2"/>
  <c r="M476" i="2"/>
  <c r="N476" i="2"/>
  <c r="O476" i="2"/>
  <c r="L477" i="2"/>
  <c r="M477" i="2"/>
  <c r="N477" i="2"/>
  <c r="O477" i="2"/>
  <c r="L478" i="2"/>
  <c r="M478" i="2"/>
  <c r="N478" i="2"/>
  <c r="O478" i="2"/>
  <c r="L479" i="2"/>
  <c r="M479" i="2"/>
  <c r="N479" i="2"/>
  <c r="O479" i="2"/>
  <c r="L480" i="2"/>
  <c r="M480" i="2"/>
  <c r="N480" i="2"/>
  <c r="O480" i="2"/>
  <c r="L481" i="2"/>
  <c r="M481" i="2"/>
  <c r="N481" i="2"/>
  <c r="O481" i="2"/>
  <c r="L482" i="2"/>
  <c r="M482" i="2"/>
  <c r="N482" i="2"/>
  <c r="O482" i="2"/>
  <c r="L483" i="2"/>
  <c r="M483" i="2"/>
  <c r="N483" i="2"/>
  <c r="O483" i="2"/>
  <c r="L484" i="2"/>
  <c r="M484" i="2"/>
  <c r="N484" i="2"/>
  <c r="O484" i="2"/>
  <c r="L485" i="2"/>
  <c r="M485" i="2"/>
  <c r="N485" i="2"/>
  <c r="O485" i="2"/>
  <c r="L487" i="2"/>
  <c r="M487" i="2"/>
  <c r="N487" i="2"/>
  <c r="O487" i="2"/>
  <c r="L488" i="2"/>
  <c r="M488" i="2"/>
  <c r="N488" i="2"/>
  <c r="O488" i="2"/>
  <c r="L489" i="2"/>
  <c r="M489" i="2"/>
  <c r="N489" i="2"/>
  <c r="O489" i="2"/>
  <c r="L437" i="2"/>
  <c r="M437" i="2"/>
  <c r="N437" i="2"/>
  <c r="O437" i="2"/>
  <c r="L438" i="2"/>
  <c r="M438" i="2"/>
  <c r="N438" i="2"/>
  <c r="O438" i="2"/>
  <c r="L439" i="2"/>
  <c r="M439" i="2"/>
  <c r="N439" i="2"/>
  <c r="O439" i="2"/>
  <c r="L440" i="2"/>
  <c r="M440" i="2"/>
  <c r="N440" i="2"/>
  <c r="O440" i="2"/>
  <c r="L441" i="2"/>
  <c r="M441" i="2"/>
  <c r="N441" i="2"/>
  <c r="O441" i="2"/>
  <c r="L442" i="2"/>
  <c r="M442" i="2"/>
  <c r="N442" i="2"/>
  <c r="O442" i="2"/>
  <c r="L443" i="2"/>
  <c r="M443" i="2"/>
  <c r="N443" i="2"/>
  <c r="O443" i="2"/>
  <c r="L444" i="2"/>
  <c r="M444" i="2"/>
  <c r="N444" i="2"/>
  <c r="O444" i="2"/>
  <c r="L445" i="2"/>
  <c r="M445" i="2"/>
  <c r="N445" i="2"/>
  <c r="O445" i="2"/>
  <c r="L446" i="2"/>
  <c r="M446" i="2"/>
  <c r="N446" i="2"/>
  <c r="O446" i="2"/>
  <c r="L447" i="2"/>
  <c r="M447" i="2"/>
  <c r="N447" i="2"/>
  <c r="O447" i="2"/>
  <c r="L448" i="2"/>
  <c r="M448" i="2"/>
  <c r="N448" i="2"/>
  <c r="O448" i="2"/>
  <c r="L449" i="2"/>
  <c r="M449" i="2"/>
  <c r="N449" i="2"/>
  <c r="O449" i="2"/>
  <c r="L450" i="2"/>
  <c r="M450" i="2"/>
  <c r="N450" i="2"/>
  <c r="O450" i="2"/>
  <c r="L451" i="2"/>
  <c r="M451" i="2"/>
  <c r="N451" i="2"/>
  <c r="O451" i="2"/>
  <c r="L452" i="2"/>
  <c r="M452" i="2"/>
  <c r="N452" i="2"/>
  <c r="O452" i="2"/>
  <c r="L453" i="2"/>
  <c r="M453" i="2"/>
  <c r="N453" i="2"/>
  <c r="O453" i="2"/>
  <c r="L454" i="2"/>
  <c r="M454" i="2"/>
  <c r="N454" i="2"/>
  <c r="O454" i="2"/>
  <c r="L455" i="2"/>
  <c r="M455" i="2"/>
  <c r="N455" i="2"/>
  <c r="O455" i="2"/>
  <c r="L456" i="2"/>
  <c r="M456" i="2"/>
  <c r="N456" i="2"/>
  <c r="O456" i="2"/>
  <c r="L458" i="2"/>
  <c r="M458" i="2"/>
  <c r="N458" i="2"/>
  <c r="O458" i="2"/>
  <c r="L459" i="2"/>
  <c r="M459" i="2"/>
  <c r="N459" i="2"/>
  <c r="O459" i="2"/>
  <c r="L460" i="2"/>
  <c r="M460" i="2"/>
  <c r="N460" i="2"/>
  <c r="O460" i="2"/>
  <c r="L408" i="2"/>
  <c r="M408" i="2"/>
  <c r="N408" i="2"/>
  <c r="O408" i="2"/>
  <c r="L409" i="2"/>
  <c r="M409" i="2"/>
  <c r="N409" i="2"/>
  <c r="O409" i="2"/>
  <c r="L410" i="2"/>
  <c r="M410" i="2"/>
  <c r="N410" i="2"/>
  <c r="O410" i="2"/>
  <c r="L411" i="2"/>
  <c r="M411" i="2"/>
  <c r="N411" i="2"/>
  <c r="O411" i="2"/>
  <c r="L412" i="2"/>
  <c r="M412" i="2"/>
  <c r="N412" i="2"/>
  <c r="O412" i="2"/>
  <c r="L413" i="2"/>
  <c r="M413" i="2"/>
  <c r="N413" i="2"/>
  <c r="O413" i="2"/>
  <c r="L414" i="2"/>
  <c r="M414" i="2"/>
  <c r="N414" i="2"/>
  <c r="O414" i="2"/>
  <c r="L415" i="2"/>
  <c r="M415" i="2"/>
  <c r="N415" i="2"/>
  <c r="O415" i="2"/>
  <c r="L416" i="2"/>
  <c r="M416" i="2"/>
  <c r="N416" i="2"/>
  <c r="O416" i="2"/>
  <c r="L417" i="2"/>
  <c r="M417" i="2"/>
  <c r="N417" i="2"/>
  <c r="O417" i="2"/>
  <c r="L418" i="2"/>
  <c r="M418" i="2"/>
  <c r="N418" i="2"/>
  <c r="O418" i="2"/>
  <c r="L419" i="2"/>
  <c r="M419" i="2"/>
  <c r="N419" i="2"/>
  <c r="O419" i="2"/>
  <c r="L420" i="2"/>
  <c r="M420" i="2"/>
  <c r="N420" i="2"/>
  <c r="O420" i="2"/>
  <c r="L421" i="2"/>
  <c r="M421" i="2"/>
  <c r="N421" i="2"/>
  <c r="O421" i="2"/>
  <c r="L422" i="2"/>
  <c r="M422" i="2"/>
  <c r="N422" i="2"/>
  <c r="O422" i="2"/>
  <c r="L423" i="2"/>
  <c r="M423" i="2"/>
  <c r="N423" i="2"/>
  <c r="O423" i="2"/>
  <c r="L424" i="2"/>
  <c r="M424" i="2"/>
  <c r="N424" i="2"/>
  <c r="O424" i="2"/>
  <c r="L425" i="2"/>
  <c r="M425" i="2"/>
  <c r="N425" i="2"/>
  <c r="O425" i="2"/>
  <c r="L426" i="2"/>
  <c r="M426" i="2"/>
  <c r="N426" i="2"/>
  <c r="O426" i="2"/>
  <c r="L427" i="2"/>
  <c r="M427" i="2"/>
  <c r="N427" i="2"/>
  <c r="O427" i="2"/>
  <c r="L429" i="2"/>
  <c r="M429" i="2"/>
  <c r="N429" i="2"/>
  <c r="O429" i="2"/>
  <c r="L430" i="2"/>
  <c r="M430" i="2"/>
  <c r="N430" i="2"/>
  <c r="O430" i="2"/>
  <c r="L431" i="2"/>
  <c r="M431" i="2"/>
  <c r="N431" i="2"/>
  <c r="O431" i="2"/>
  <c r="L379" i="2"/>
  <c r="M379" i="2"/>
  <c r="N379" i="2"/>
  <c r="O379" i="2"/>
  <c r="L380" i="2"/>
  <c r="M380" i="2"/>
  <c r="N380" i="2"/>
  <c r="O380" i="2"/>
  <c r="L381" i="2"/>
  <c r="M381" i="2"/>
  <c r="N381" i="2"/>
  <c r="O381" i="2"/>
  <c r="L382" i="2"/>
  <c r="M382" i="2"/>
  <c r="N382" i="2"/>
  <c r="O382" i="2"/>
  <c r="L383" i="2"/>
  <c r="M383" i="2"/>
  <c r="N383" i="2"/>
  <c r="O383" i="2"/>
  <c r="L384" i="2"/>
  <c r="M384" i="2"/>
  <c r="N384" i="2"/>
  <c r="O384" i="2"/>
  <c r="L385" i="2"/>
  <c r="M385" i="2"/>
  <c r="N385" i="2"/>
  <c r="O385" i="2"/>
  <c r="L386" i="2"/>
  <c r="M386" i="2"/>
  <c r="N386" i="2"/>
  <c r="O386" i="2"/>
  <c r="L387" i="2"/>
  <c r="M387" i="2"/>
  <c r="N387" i="2"/>
  <c r="O387" i="2"/>
  <c r="L388" i="2"/>
  <c r="M388" i="2"/>
  <c r="N388" i="2"/>
  <c r="O388" i="2"/>
  <c r="L389" i="2"/>
  <c r="M389" i="2"/>
  <c r="N389" i="2"/>
  <c r="O389" i="2"/>
  <c r="L390" i="2"/>
  <c r="M390" i="2"/>
  <c r="N390" i="2"/>
  <c r="O390" i="2"/>
  <c r="L391" i="2"/>
  <c r="M391" i="2"/>
  <c r="N391" i="2"/>
  <c r="O391" i="2"/>
  <c r="L392" i="2"/>
  <c r="M392" i="2"/>
  <c r="N392" i="2"/>
  <c r="O392" i="2"/>
  <c r="L393" i="2"/>
  <c r="M393" i="2"/>
  <c r="N393" i="2"/>
  <c r="O393" i="2"/>
  <c r="L394" i="2"/>
  <c r="M394" i="2"/>
  <c r="N394" i="2"/>
  <c r="O394" i="2"/>
  <c r="L395" i="2"/>
  <c r="M395" i="2"/>
  <c r="N395" i="2"/>
  <c r="O395" i="2"/>
  <c r="L396" i="2"/>
  <c r="M396" i="2"/>
  <c r="N396" i="2"/>
  <c r="O396" i="2"/>
  <c r="L397" i="2"/>
  <c r="M397" i="2"/>
  <c r="N397" i="2"/>
  <c r="O397" i="2"/>
  <c r="L398" i="2"/>
  <c r="M398" i="2"/>
  <c r="N398" i="2"/>
  <c r="O398" i="2"/>
  <c r="L400" i="2"/>
  <c r="M400" i="2"/>
  <c r="N400" i="2"/>
  <c r="O400" i="2"/>
  <c r="L401" i="2"/>
  <c r="M401" i="2"/>
  <c r="N401" i="2"/>
  <c r="O401" i="2"/>
  <c r="L402" i="2"/>
  <c r="M402" i="2"/>
  <c r="N402" i="2"/>
  <c r="O402" i="2"/>
  <c r="L350" i="2"/>
  <c r="M350" i="2"/>
  <c r="N350" i="2"/>
  <c r="O350" i="2"/>
  <c r="L351" i="2"/>
  <c r="M351" i="2"/>
  <c r="N351" i="2"/>
  <c r="O351" i="2"/>
  <c r="L352" i="2"/>
  <c r="M352" i="2"/>
  <c r="N352" i="2"/>
  <c r="O352" i="2"/>
  <c r="L353" i="2"/>
  <c r="M353" i="2"/>
  <c r="N353" i="2"/>
  <c r="O353" i="2"/>
  <c r="L354" i="2"/>
  <c r="M354" i="2"/>
  <c r="N354" i="2"/>
  <c r="O354" i="2"/>
  <c r="L355" i="2"/>
  <c r="M355" i="2"/>
  <c r="N355" i="2"/>
  <c r="O355" i="2"/>
  <c r="L356" i="2"/>
  <c r="M356" i="2"/>
  <c r="N356" i="2"/>
  <c r="O356" i="2"/>
  <c r="L357" i="2"/>
  <c r="M357" i="2"/>
  <c r="N357" i="2"/>
  <c r="O357" i="2"/>
  <c r="L358" i="2"/>
  <c r="M358" i="2"/>
  <c r="N358" i="2"/>
  <c r="O358" i="2"/>
  <c r="L359" i="2"/>
  <c r="M359" i="2"/>
  <c r="N359" i="2"/>
  <c r="O359" i="2"/>
  <c r="L360" i="2"/>
  <c r="M360" i="2"/>
  <c r="N360" i="2"/>
  <c r="O360" i="2"/>
  <c r="L361" i="2"/>
  <c r="M361" i="2"/>
  <c r="N361" i="2"/>
  <c r="O361" i="2"/>
  <c r="L362" i="2"/>
  <c r="M362" i="2"/>
  <c r="N362" i="2"/>
  <c r="O362" i="2"/>
  <c r="L363" i="2"/>
  <c r="M363" i="2"/>
  <c r="N363" i="2"/>
  <c r="O363" i="2"/>
  <c r="L364" i="2"/>
  <c r="M364" i="2"/>
  <c r="N364" i="2"/>
  <c r="O364" i="2"/>
  <c r="L365" i="2"/>
  <c r="M365" i="2"/>
  <c r="N365" i="2"/>
  <c r="O365" i="2"/>
  <c r="L366" i="2"/>
  <c r="M366" i="2"/>
  <c r="N366" i="2"/>
  <c r="O366" i="2"/>
  <c r="L367" i="2"/>
  <c r="M367" i="2"/>
  <c r="N367" i="2"/>
  <c r="O367" i="2"/>
  <c r="L368" i="2"/>
  <c r="M368" i="2"/>
  <c r="N368" i="2"/>
  <c r="O368" i="2"/>
  <c r="L369" i="2"/>
  <c r="M369" i="2"/>
  <c r="N369" i="2"/>
  <c r="O369" i="2"/>
  <c r="L371" i="2"/>
  <c r="M371" i="2"/>
  <c r="N371" i="2"/>
  <c r="O371" i="2"/>
  <c r="L372" i="2"/>
  <c r="M372" i="2"/>
  <c r="N372" i="2"/>
  <c r="O372" i="2"/>
  <c r="L373" i="2"/>
  <c r="M373" i="2"/>
  <c r="N373" i="2"/>
  <c r="O373" i="2"/>
  <c r="L321" i="2"/>
  <c r="M321" i="2"/>
  <c r="N321" i="2"/>
  <c r="O321" i="2"/>
  <c r="L322" i="2"/>
  <c r="M322" i="2"/>
  <c r="N322" i="2"/>
  <c r="O322" i="2"/>
  <c r="L323" i="2"/>
  <c r="M323" i="2"/>
  <c r="N323" i="2"/>
  <c r="O323" i="2"/>
  <c r="L324" i="2"/>
  <c r="M324" i="2"/>
  <c r="N324" i="2"/>
  <c r="O324" i="2"/>
  <c r="L325" i="2"/>
  <c r="M325" i="2"/>
  <c r="N325" i="2"/>
  <c r="O325" i="2"/>
  <c r="L326" i="2"/>
  <c r="M326" i="2"/>
  <c r="N326" i="2"/>
  <c r="O326" i="2"/>
  <c r="L327" i="2"/>
  <c r="M327" i="2"/>
  <c r="N327" i="2"/>
  <c r="O327" i="2"/>
  <c r="L328" i="2"/>
  <c r="M328" i="2"/>
  <c r="N328" i="2"/>
  <c r="O328" i="2"/>
  <c r="L329" i="2"/>
  <c r="M329" i="2"/>
  <c r="N329" i="2"/>
  <c r="O329" i="2"/>
  <c r="L330" i="2"/>
  <c r="M330" i="2"/>
  <c r="N330" i="2"/>
  <c r="O330" i="2"/>
  <c r="L331" i="2"/>
  <c r="M331" i="2"/>
  <c r="N331" i="2"/>
  <c r="O331" i="2"/>
  <c r="L332" i="2"/>
  <c r="M332" i="2"/>
  <c r="N332" i="2"/>
  <c r="O332" i="2"/>
  <c r="L333" i="2"/>
  <c r="M333" i="2"/>
  <c r="N333" i="2"/>
  <c r="O333" i="2"/>
  <c r="L334" i="2"/>
  <c r="M334" i="2"/>
  <c r="N334" i="2"/>
  <c r="O334" i="2"/>
  <c r="L335" i="2"/>
  <c r="M335" i="2"/>
  <c r="N335" i="2"/>
  <c r="O335" i="2"/>
  <c r="L336" i="2"/>
  <c r="M336" i="2"/>
  <c r="N336" i="2"/>
  <c r="O336" i="2"/>
  <c r="L337" i="2"/>
  <c r="M337" i="2"/>
  <c r="N337" i="2"/>
  <c r="O337" i="2"/>
  <c r="L338" i="2"/>
  <c r="M338" i="2"/>
  <c r="N338" i="2"/>
  <c r="O338" i="2"/>
  <c r="L339" i="2"/>
  <c r="M339" i="2"/>
  <c r="N339" i="2"/>
  <c r="O339" i="2"/>
  <c r="L340" i="2"/>
  <c r="M340" i="2"/>
  <c r="N340" i="2"/>
  <c r="O340" i="2"/>
  <c r="L342" i="2"/>
  <c r="M342" i="2"/>
  <c r="N342" i="2"/>
  <c r="O342" i="2"/>
  <c r="L343" i="2"/>
  <c r="M343" i="2"/>
  <c r="N343" i="2"/>
  <c r="O343" i="2"/>
  <c r="L344" i="2"/>
  <c r="M344" i="2"/>
  <c r="N344" i="2"/>
  <c r="O344" i="2"/>
  <c r="L292" i="2"/>
  <c r="M292" i="2"/>
  <c r="N292" i="2"/>
  <c r="O292" i="2"/>
  <c r="L293" i="2"/>
  <c r="M293" i="2"/>
  <c r="N293" i="2"/>
  <c r="O293" i="2"/>
  <c r="L294" i="2"/>
  <c r="M294" i="2"/>
  <c r="N294" i="2"/>
  <c r="O294" i="2"/>
  <c r="L295" i="2"/>
  <c r="M295" i="2"/>
  <c r="N295" i="2"/>
  <c r="O295" i="2"/>
  <c r="L296" i="2"/>
  <c r="M296" i="2"/>
  <c r="N296" i="2"/>
  <c r="O296" i="2"/>
  <c r="L297" i="2"/>
  <c r="M297" i="2"/>
  <c r="N297" i="2"/>
  <c r="O297" i="2"/>
  <c r="L298" i="2"/>
  <c r="M298" i="2"/>
  <c r="N298" i="2"/>
  <c r="O298" i="2"/>
  <c r="L299" i="2"/>
  <c r="M299" i="2"/>
  <c r="N299" i="2"/>
  <c r="O299" i="2"/>
  <c r="L300" i="2"/>
  <c r="M300" i="2"/>
  <c r="N300" i="2"/>
  <c r="O300" i="2"/>
  <c r="L301" i="2"/>
  <c r="M301" i="2"/>
  <c r="N301" i="2"/>
  <c r="O301" i="2"/>
  <c r="L302" i="2"/>
  <c r="M302" i="2"/>
  <c r="N302" i="2"/>
  <c r="O302" i="2"/>
  <c r="L303" i="2"/>
  <c r="M303" i="2"/>
  <c r="N303" i="2"/>
  <c r="O303" i="2"/>
  <c r="L304" i="2"/>
  <c r="M304" i="2"/>
  <c r="N304" i="2"/>
  <c r="O304" i="2"/>
  <c r="L305" i="2"/>
  <c r="M305" i="2"/>
  <c r="N305" i="2"/>
  <c r="O305" i="2"/>
  <c r="L306" i="2"/>
  <c r="M306" i="2"/>
  <c r="N306" i="2"/>
  <c r="O306" i="2"/>
  <c r="L307" i="2"/>
  <c r="M307" i="2"/>
  <c r="N307" i="2"/>
  <c r="O307" i="2"/>
  <c r="L308" i="2"/>
  <c r="M308" i="2"/>
  <c r="N308" i="2"/>
  <c r="O308" i="2"/>
  <c r="L309" i="2"/>
  <c r="M309" i="2"/>
  <c r="N309" i="2"/>
  <c r="O309" i="2"/>
  <c r="L310" i="2"/>
  <c r="M310" i="2"/>
  <c r="N310" i="2"/>
  <c r="O310" i="2"/>
  <c r="L311" i="2"/>
  <c r="M311" i="2"/>
  <c r="N311" i="2"/>
  <c r="O311" i="2"/>
  <c r="L313" i="2"/>
  <c r="M313" i="2"/>
  <c r="N313" i="2"/>
  <c r="O313" i="2"/>
  <c r="L314" i="2"/>
  <c r="M314" i="2"/>
  <c r="N314" i="2"/>
  <c r="O314" i="2"/>
  <c r="L315" i="2"/>
  <c r="M315" i="2"/>
  <c r="N315" i="2"/>
  <c r="O315" i="2"/>
  <c r="L263" i="2"/>
  <c r="M263" i="2"/>
  <c r="N263" i="2"/>
  <c r="O263" i="2"/>
  <c r="L264" i="2"/>
  <c r="M264" i="2"/>
  <c r="N264" i="2"/>
  <c r="O264" i="2"/>
  <c r="L265" i="2"/>
  <c r="M265" i="2"/>
  <c r="N265" i="2"/>
  <c r="O265" i="2"/>
  <c r="L266" i="2"/>
  <c r="M266" i="2"/>
  <c r="N266" i="2"/>
  <c r="O266" i="2"/>
  <c r="L267" i="2"/>
  <c r="M267" i="2"/>
  <c r="N267" i="2"/>
  <c r="O267" i="2"/>
  <c r="L268" i="2"/>
  <c r="M268" i="2"/>
  <c r="N268" i="2"/>
  <c r="O268" i="2"/>
  <c r="L269" i="2"/>
  <c r="M269" i="2"/>
  <c r="N269" i="2"/>
  <c r="O269" i="2"/>
  <c r="L270" i="2"/>
  <c r="M270" i="2"/>
  <c r="N270" i="2"/>
  <c r="O270" i="2"/>
  <c r="L271" i="2"/>
  <c r="M271" i="2"/>
  <c r="N271" i="2"/>
  <c r="O271" i="2"/>
  <c r="L272" i="2"/>
  <c r="M272" i="2"/>
  <c r="N272" i="2"/>
  <c r="O272" i="2"/>
  <c r="L273" i="2"/>
  <c r="M273" i="2"/>
  <c r="N273" i="2"/>
  <c r="O273" i="2"/>
  <c r="L274" i="2"/>
  <c r="M274" i="2"/>
  <c r="N274" i="2"/>
  <c r="O274" i="2"/>
  <c r="L275" i="2"/>
  <c r="M275" i="2"/>
  <c r="N275" i="2"/>
  <c r="O275" i="2"/>
  <c r="L276" i="2"/>
  <c r="M276" i="2"/>
  <c r="N276" i="2"/>
  <c r="O276" i="2"/>
  <c r="L277" i="2"/>
  <c r="M277" i="2"/>
  <c r="N277" i="2"/>
  <c r="O277" i="2"/>
  <c r="L278" i="2"/>
  <c r="M278" i="2"/>
  <c r="N278" i="2"/>
  <c r="O278" i="2"/>
  <c r="L279" i="2"/>
  <c r="M279" i="2"/>
  <c r="N279" i="2"/>
  <c r="O279" i="2"/>
  <c r="L280" i="2"/>
  <c r="M280" i="2"/>
  <c r="N280" i="2"/>
  <c r="O280" i="2"/>
  <c r="L281" i="2"/>
  <c r="M281" i="2"/>
  <c r="N281" i="2"/>
  <c r="O281" i="2"/>
  <c r="L282" i="2"/>
  <c r="M282" i="2"/>
  <c r="N282" i="2"/>
  <c r="O282" i="2"/>
  <c r="L284" i="2"/>
  <c r="M284" i="2"/>
  <c r="N284" i="2"/>
  <c r="O284" i="2"/>
  <c r="L285" i="2"/>
  <c r="M285" i="2"/>
  <c r="N285" i="2"/>
  <c r="O285" i="2"/>
  <c r="L286" i="2"/>
  <c r="M286" i="2"/>
  <c r="N286" i="2"/>
  <c r="O286" i="2"/>
  <c r="L234" i="2"/>
  <c r="M234" i="2"/>
  <c r="N234" i="2"/>
  <c r="O234" i="2"/>
  <c r="L235" i="2"/>
  <c r="M235" i="2"/>
  <c r="N235" i="2"/>
  <c r="O235" i="2"/>
  <c r="L236" i="2"/>
  <c r="M236" i="2"/>
  <c r="N236" i="2"/>
  <c r="O236" i="2"/>
  <c r="L237" i="2"/>
  <c r="M237" i="2"/>
  <c r="N237" i="2"/>
  <c r="O237" i="2"/>
  <c r="L238" i="2"/>
  <c r="M238" i="2"/>
  <c r="N238" i="2"/>
  <c r="O238" i="2"/>
  <c r="L239" i="2"/>
  <c r="M239" i="2"/>
  <c r="N239" i="2"/>
  <c r="O239" i="2"/>
  <c r="L240" i="2"/>
  <c r="M240" i="2"/>
  <c r="N240" i="2"/>
  <c r="O240" i="2"/>
  <c r="L241" i="2"/>
  <c r="M241" i="2"/>
  <c r="N241" i="2"/>
  <c r="O241" i="2"/>
  <c r="L242" i="2"/>
  <c r="M242" i="2"/>
  <c r="N242" i="2"/>
  <c r="O242" i="2"/>
  <c r="L243" i="2"/>
  <c r="M243" i="2"/>
  <c r="N243" i="2"/>
  <c r="O243" i="2"/>
  <c r="L244" i="2"/>
  <c r="M244" i="2"/>
  <c r="N244" i="2"/>
  <c r="O244" i="2"/>
  <c r="L245" i="2"/>
  <c r="M245" i="2"/>
  <c r="N245" i="2"/>
  <c r="O245" i="2"/>
  <c r="L246" i="2"/>
  <c r="M246" i="2"/>
  <c r="N246" i="2"/>
  <c r="O246" i="2"/>
  <c r="L247" i="2"/>
  <c r="M247" i="2"/>
  <c r="N247" i="2"/>
  <c r="O247" i="2"/>
  <c r="L248" i="2"/>
  <c r="M248" i="2"/>
  <c r="N248" i="2"/>
  <c r="O248" i="2"/>
  <c r="L249" i="2"/>
  <c r="M249" i="2"/>
  <c r="N249" i="2"/>
  <c r="O249" i="2"/>
  <c r="L250" i="2"/>
  <c r="M250" i="2"/>
  <c r="N250" i="2"/>
  <c r="O250" i="2"/>
  <c r="L251" i="2"/>
  <c r="M251" i="2"/>
  <c r="N251" i="2"/>
  <c r="O251" i="2"/>
  <c r="L252" i="2"/>
  <c r="M252" i="2"/>
  <c r="N252" i="2"/>
  <c r="O252" i="2"/>
  <c r="L253" i="2"/>
  <c r="M253" i="2"/>
  <c r="N253" i="2"/>
  <c r="O253" i="2"/>
  <c r="L255" i="2"/>
  <c r="M255" i="2"/>
  <c r="N255" i="2"/>
  <c r="O255" i="2"/>
  <c r="L256" i="2"/>
  <c r="M256" i="2"/>
  <c r="N256" i="2"/>
  <c r="O256" i="2"/>
  <c r="L257" i="2"/>
  <c r="M257" i="2"/>
  <c r="N257" i="2"/>
  <c r="O257" i="2"/>
  <c r="L205" i="2"/>
  <c r="M205" i="2"/>
  <c r="N205" i="2"/>
  <c r="O205" i="2"/>
  <c r="L206" i="2"/>
  <c r="M206" i="2"/>
  <c r="N206" i="2"/>
  <c r="O206" i="2"/>
  <c r="L207" i="2"/>
  <c r="M207" i="2"/>
  <c r="N207" i="2"/>
  <c r="O207" i="2"/>
  <c r="L208" i="2"/>
  <c r="M208" i="2"/>
  <c r="N208" i="2"/>
  <c r="O208" i="2"/>
  <c r="L209" i="2"/>
  <c r="M209" i="2"/>
  <c r="N209" i="2"/>
  <c r="O209" i="2"/>
  <c r="L210" i="2"/>
  <c r="M210" i="2"/>
  <c r="N210" i="2"/>
  <c r="O210" i="2"/>
  <c r="L211" i="2"/>
  <c r="M211" i="2"/>
  <c r="N211" i="2"/>
  <c r="O211" i="2"/>
  <c r="L212" i="2"/>
  <c r="M212" i="2"/>
  <c r="N212" i="2"/>
  <c r="O212" i="2"/>
  <c r="L213" i="2"/>
  <c r="M213" i="2"/>
  <c r="N213" i="2"/>
  <c r="O213" i="2"/>
  <c r="L214" i="2"/>
  <c r="M214" i="2"/>
  <c r="N214" i="2"/>
  <c r="O214" i="2"/>
  <c r="L215" i="2"/>
  <c r="M215" i="2"/>
  <c r="N215" i="2"/>
  <c r="O215" i="2"/>
  <c r="L216" i="2"/>
  <c r="M216" i="2"/>
  <c r="N216" i="2"/>
  <c r="O216" i="2"/>
  <c r="L217" i="2"/>
  <c r="M217" i="2"/>
  <c r="N217" i="2"/>
  <c r="O217" i="2"/>
  <c r="L218" i="2"/>
  <c r="M218" i="2"/>
  <c r="N218" i="2"/>
  <c r="O218" i="2"/>
  <c r="L219" i="2"/>
  <c r="M219" i="2"/>
  <c r="N219" i="2"/>
  <c r="O219" i="2"/>
  <c r="L220" i="2"/>
  <c r="M220" i="2"/>
  <c r="N220" i="2"/>
  <c r="O220" i="2"/>
  <c r="L221" i="2"/>
  <c r="M221" i="2"/>
  <c r="N221" i="2"/>
  <c r="O221" i="2"/>
  <c r="L222" i="2"/>
  <c r="M222" i="2"/>
  <c r="N222" i="2"/>
  <c r="O222" i="2"/>
  <c r="L223" i="2"/>
  <c r="M223" i="2"/>
  <c r="N223" i="2"/>
  <c r="O223" i="2"/>
  <c r="L224" i="2"/>
  <c r="M224" i="2"/>
  <c r="N224" i="2"/>
  <c r="O224" i="2"/>
  <c r="L226" i="2"/>
  <c r="M226" i="2"/>
  <c r="N226" i="2"/>
  <c r="O226" i="2"/>
  <c r="L227" i="2"/>
  <c r="M227" i="2"/>
  <c r="N227" i="2"/>
  <c r="O227" i="2"/>
  <c r="L228" i="2"/>
  <c r="M228" i="2"/>
  <c r="N228" i="2"/>
  <c r="O228" i="2"/>
  <c r="O259" i="2" l="1"/>
  <c r="O317" i="2"/>
  <c r="O375" i="2"/>
  <c r="O491" i="2"/>
  <c r="O520" i="2"/>
  <c r="O636" i="2"/>
  <c r="O665" i="2"/>
  <c r="O752" i="2"/>
  <c r="N230" i="2"/>
  <c r="N259" i="2"/>
  <c r="N288" i="2"/>
  <c r="N317" i="2"/>
  <c r="N375" i="2"/>
  <c r="N404" i="2"/>
  <c r="N433" i="2"/>
  <c r="N462" i="2"/>
  <c r="N491" i="2"/>
  <c r="N520" i="2"/>
  <c r="N549" i="2"/>
  <c r="N578" i="2"/>
  <c r="N607" i="2"/>
  <c r="N636" i="2"/>
  <c r="N665" i="2"/>
  <c r="N694" i="2"/>
  <c r="N723" i="2"/>
  <c r="N752" i="2"/>
  <c r="N781" i="2"/>
  <c r="N810" i="2"/>
  <c r="O230" i="2"/>
  <c r="O404" i="2"/>
  <c r="O462" i="2"/>
  <c r="O607" i="2"/>
  <c r="O781" i="2"/>
  <c r="O810" i="2"/>
  <c r="M259" i="2"/>
  <c r="M288" i="2"/>
  <c r="M317" i="2"/>
  <c r="M375" i="2"/>
  <c r="M404" i="2"/>
  <c r="M433" i="2"/>
  <c r="M462" i="2"/>
  <c r="M491" i="2"/>
  <c r="M520" i="2"/>
  <c r="M549" i="2"/>
  <c r="M578" i="2"/>
  <c r="M607" i="2"/>
  <c r="M636" i="2"/>
  <c r="M665" i="2"/>
  <c r="M694" i="2"/>
  <c r="M723" i="2"/>
  <c r="M752" i="2"/>
  <c r="M781" i="2"/>
  <c r="M810" i="2"/>
  <c r="O288" i="2"/>
  <c r="O433" i="2"/>
  <c r="O578" i="2"/>
  <c r="O723" i="2"/>
  <c r="M230" i="2"/>
  <c r="L230" i="2"/>
  <c r="L259" i="2"/>
  <c r="L288" i="2"/>
  <c r="L317" i="2"/>
  <c r="L375" i="2"/>
  <c r="L404" i="2"/>
  <c r="L433" i="2"/>
  <c r="L462" i="2"/>
  <c r="L491" i="2"/>
  <c r="L520" i="2"/>
  <c r="L549" i="2"/>
  <c r="L578" i="2"/>
  <c r="L607" i="2"/>
  <c r="L636" i="2"/>
  <c r="L665" i="2"/>
  <c r="L694" i="2"/>
  <c r="L723" i="2"/>
  <c r="L752" i="2"/>
  <c r="L781" i="2"/>
  <c r="L810" i="2"/>
  <c r="D489" i="2"/>
  <c r="E489" i="2"/>
  <c r="F489" i="2"/>
  <c r="G489" i="2"/>
  <c r="H489" i="2"/>
  <c r="I489" i="2"/>
  <c r="J489" i="2"/>
  <c r="K489" i="2"/>
  <c r="D460" i="2"/>
  <c r="E460" i="2"/>
  <c r="F460" i="2"/>
  <c r="G460" i="2"/>
  <c r="H460" i="2"/>
  <c r="I460" i="2"/>
  <c r="J460" i="2"/>
  <c r="K460" i="2"/>
  <c r="Y460" i="2" l="1"/>
  <c r="Y489" i="2"/>
  <c r="D808" i="2"/>
  <c r="E808" i="2"/>
  <c r="F808" i="2"/>
  <c r="G808" i="2"/>
  <c r="H808" i="2"/>
  <c r="I808" i="2"/>
  <c r="J808" i="2"/>
  <c r="K808" i="2"/>
  <c r="D779" i="2"/>
  <c r="E779" i="2"/>
  <c r="F779" i="2"/>
  <c r="G779" i="2"/>
  <c r="H779" i="2"/>
  <c r="I779" i="2"/>
  <c r="J779" i="2"/>
  <c r="K779" i="2"/>
  <c r="D750" i="2"/>
  <c r="E750" i="2"/>
  <c r="F750" i="2"/>
  <c r="G750" i="2"/>
  <c r="H750" i="2"/>
  <c r="I750" i="2"/>
  <c r="J750" i="2"/>
  <c r="K750" i="2"/>
  <c r="D721" i="2"/>
  <c r="E721" i="2"/>
  <c r="F721" i="2"/>
  <c r="G721" i="2"/>
  <c r="H721" i="2"/>
  <c r="I721" i="2"/>
  <c r="J721" i="2"/>
  <c r="K721" i="2"/>
  <c r="D692" i="2"/>
  <c r="E692" i="2"/>
  <c r="F692" i="2"/>
  <c r="G692" i="2"/>
  <c r="H692" i="2"/>
  <c r="I692" i="2"/>
  <c r="J692" i="2"/>
  <c r="K692" i="2"/>
  <c r="D663" i="2"/>
  <c r="E663" i="2"/>
  <c r="F663" i="2"/>
  <c r="G663" i="2"/>
  <c r="H663" i="2"/>
  <c r="I663" i="2"/>
  <c r="J663" i="2"/>
  <c r="K663" i="2"/>
  <c r="D634" i="2"/>
  <c r="E634" i="2"/>
  <c r="F634" i="2"/>
  <c r="G634" i="2"/>
  <c r="H634" i="2"/>
  <c r="I634" i="2"/>
  <c r="J634" i="2"/>
  <c r="K634" i="2"/>
  <c r="D605" i="2"/>
  <c r="E605" i="2"/>
  <c r="F605" i="2"/>
  <c r="G605" i="2"/>
  <c r="H605" i="2"/>
  <c r="I605" i="2"/>
  <c r="J605" i="2"/>
  <c r="K605" i="2"/>
  <c r="D576" i="2"/>
  <c r="E576" i="2"/>
  <c r="F576" i="2"/>
  <c r="G576" i="2"/>
  <c r="H576" i="2"/>
  <c r="I576" i="2"/>
  <c r="J576" i="2"/>
  <c r="K576" i="2"/>
  <c r="D547" i="2"/>
  <c r="E547" i="2"/>
  <c r="F547" i="2"/>
  <c r="G547" i="2"/>
  <c r="H547" i="2"/>
  <c r="I547" i="2"/>
  <c r="J547" i="2"/>
  <c r="K547" i="2"/>
  <c r="D518" i="2"/>
  <c r="E518" i="2"/>
  <c r="F518" i="2"/>
  <c r="G518" i="2"/>
  <c r="H518" i="2"/>
  <c r="I518" i="2"/>
  <c r="J518" i="2"/>
  <c r="K518" i="2"/>
  <c r="D513" i="2"/>
  <c r="E513" i="2"/>
  <c r="F513" i="2"/>
  <c r="G513" i="2"/>
  <c r="D484" i="2"/>
  <c r="E484" i="2"/>
  <c r="F484" i="2"/>
  <c r="G484" i="2"/>
  <c r="D455" i="2"/>
  <c r="E455" i="2"/>
  <c r="F455" i="2"/>
  <c r="G455" i="2"/>
  <c r="D431" i="2"/>
  <c r="E431" i="2"/>
  <c r="F431" i="2"/>
  <c r="G431" i="2"/>
  <c r="H431" i="2"/>
  <c r="I431" i="2"/>
  <c r="J431" i="2"/>
  <c r="K431" i="2"/>
  <c r="D402" i="2"/>
  <c r="E402" i="2"/>
  <c r="F402" i="2"/>
  <c r="G402" i="2"/>
  <c r="H402" i="2"/>
  <c r="I402" i="2"/>
  <c r="J402" i="2"/>
  <c r="K402" i="2"/>
  <c r="D426" i="2"/>
  <c r="E426" i="2"/>
  <c r="F426" i="2"/>
  <c r="G426" i="2"/>
  <c r="D397" i="2"/>
  <c r="E397" i="2"/>
  <c r="F397" i="2"/>
  <c r="G397" i="2"/>
  <c r="D373" i="2"/>
  <c r="E373" i="2"/>
  <c r="F373" i="2"/>
  <c r="G373" i="2"/>
  <c r="H373" i="2"/>
  <c r="I373" i="2"/>
  <c r="J373" i="2"/>
  <c r="K373" i="2"/>
  <c r="D344" i="2"/>
  <c r="E344" i="2"/>
  <c r="F344" i="2"/>
  <c r="G344" i="2"/>
  <c r="H344" i="2"/>
  <c r="I344" i="2"/>
  <c r="J344" i="2"/>
  <c r="K344" i="2"/>
  <c r="D315" i="2"/>
  <c r="E315" i="2"/>
  <c r="F315" i="2"/>
  <c r="G315" i="2"/>
  <c r="H315" i="2"/>
  <c r="I315" i="2"/>
  <c r="J315" i="2"/>
  <c r="K315" i="2"/>
  <c r="D286" i="2"/>
  <c r="E286" i="2"/>
  <c r="F286" i="2"/>
  <c r="G286" i="2"/>
  <c r="H286" i="2"/>
  <c r="I286" i="2"/>
  <c r="J286" i="2"/>
  <c r="K286" i="2"/>
  <c r="D257" i="2"/>
  <c r="E257" i="2"/>
  <c r="F257" i="2"/>
  <c r="G257" i="2"/>
  <c r="H257" i="2"/>
  <c r="I257" i="2"/>
  <c r="J257" i="2"/>
  <c r="K257" i="2"/>
  <c r="D228" i="2"/>
  <c r="E228" i="2"/>
  <c r="F228" i="2"/>
  <c r="G228" i="2"/>
  <c r="H228" i="2"/>
  <c r="I228" i="2"/>
  <c r="J228" i="2"/>
  <c r="K228" i="2"/>
  <c r="Y228" i="2" l="1"/>
  <c r="Y257" i="2"/>
  <c r="Y286" i="2"/>
  <c r="Y315" i="2"/>
  <c r="Y344" i="2"/>
  <c r="Y373" i="2"/>
  <c r="Y402" i="2"/>
  <c r="Y431" i="2"/>
  <c r="Y518" i="2"/>
  <c r="Y547" i="2"/>
  <c r="Y576" i="2"/>
  <c r="Y605" i="2"/>
  <c r="Y634" i="2"/>
  <c r="Y663" i="2"/>
  <c r="Y692" i="2"/>
  <c r="Y721" i="2"/>
  <c r="Y750" i="2"/>
  <c r="Y779" i="2"/>
  <c r="Y808" i="2"/>
  <c r="Z108" i="2" l="1"/>
  <c r="Z11" i="2"/>
  <c r="Z6" i="2"/>
  <c r="Z7" i="2"/>
  <c r="Z18" i="2"/>
  <c r="Z16" i="2"/>
  <c r="Z2" i="2"/>
  <c r="Z17" i="2"/>
  <c r="Z15" i="2"/>
  <c r="Z4" i="2"/>
  <c r="Z20" i="2"/>
  <c r="Z5" i="2"/>
  <c r="Z25" i="2"/>
  <c r="Z23" i="2"/>
  <c r="Z14" i="2"/>
  <c r="Z21" i="2"/>
  <c r="Z3" i="2"/>
  <c r="Z13" i="2"/>
  <c r="Z8" i="2"/>
  <c r="Z9" i="2"/>
  <c r="Z12" i="2"/>
  <c r="Z19" i="2"/>
  <c r="Z24" i="2"/>
  <c r="Z10" i="2"/>
  <c r="Z40" i="2"/>
  <c r="Z35" i="2"/>
  <c r="Z32" i="2"/>
  <c r="Z52" i="2"/>
  <c r="Z41" i="2"/>
  <c r="Z43" i="2"/>
  <c r="Z42" i="2"/>
  <c r="Z39" i="2"/>
  <c r="Z36" i="2"/>
  <c r="Z47" i="2"/>
  <c r="Z45" i="2"/>
  <c r="Z31" i="2"/>
  <c r="Z46" i="2"/>
  <c r="Z50" i="2"/>
  <c r="Z44" i="2"/>
  <c r="Z49" i="2"/>
  <c r="Z48" i="2"/>
  <c r="Z53" i="2"/>
  <c r="Z54" i="2"/>
  <c r="Z38" i="2"/>
  <c r="Z33" i="2"/>
  <c r="Z37" i="2"/>
  <c r="Z34" i="2"/>
  <c r="Z63" i="2"/>
  <c r="Z67" i="2"/>
  <c r="Z71" i="2"/>
  <c r="Z75" i="2"/>
  <c r="Z83" i="2"/>
  <c r="Z61" i="2"/>
  <c r="Z69" i="2"/>
  <c r="Z64" i="2"/>
  <c r="Z68" i="2"/>
  <c r="Z72" i="2"/>
  <c r="Z76" i="2"/>
  <c r="Z79" i="2"/>
  <c r="Z60" i="2"/>
  <c r="Z65" i="2"/>
  <c r="Z73" i="2"/>
  <c r="Z74" i="2"/>
  <c r="Z82" i="2"/>
  <c r="Z78" i="2"/>
  <c r="Z81" i="2"/>
  <c r="Z62" i="2"/>
  <c r="Z77" i="2"/>
  <c r="Z66" i="2"/>
  <c r="Z70" i="2"/>
  <c r="Z92" i="2"/>
  <c r="Z96" i="2"/>
  <c r="Z100" i="2"/>
  <c r="Z104" i="2"/>
  <c r="Z112" i="2"/>
  <c r="Z90" i="2"/>
  <c r="Z98" i="2"/>
  <c r="Z106" i="2"/>
  <c r="Z93" i="2"/>
  <c r="Z97" i="2"/>
  <c r="Z101" i="2"/>
  <c r="Z105" i="2"/>
  <c r="Z89" i="2"/>
  <c r="Z94" i="2"/>
  <c r="Z102" i="2"/>
  <c r="Z110" i="2"/>
  <c r="Z95" i="2"/>
  <c r="Z111" i="2"/>
  <c r="Z103" i="2"/>
  <c r="Z107" i="2"/>
  <c r="Z99" i="2"/>
  <c r="Z91" i="2"/>
  <c r="Z121" i="2"/>
  <c r="Z125" i="2"/>
  <c r="Z129" i="2"/>
  <c r="Z133" i="2"/>
  <c r="Z141" i="2"/>
  <c r="Z119" i="2"/>
  <c r="Z127" i="2"/>
  <c r="Z135" i="2"/>
  <c r="Z122" i="2"/>
  <c r="Z126" i="2"/>
  <c r="Z130" i="2"/>
  <c r="Z134" i="2"/>
  <c r="Z137" i="2"/>
  <c r="Z118" i="2"/>
  <c r="Z123" i="2"/>
  <c r="Z131" i="2"/>
  <c r="Z139" i="2"/>
  <c r="Z132" i="2"/>
  <c r="Z124" i="2"/>
  <c r="Z128" i="2"/>
  <c r="Z120" i="2"/>
  <c r="Z136" i="2"/>
  <c r="Z140" i="2"/>
  <c r="Z150" i="2"/>
  <c r="Z154" i="2"/>
  <c r="Z158" i="2"/>
  <c r="Z162" i="2"/>
  <c r="Z170" i="2"/>
  <c r="Z148" i="2"/>
  <c r="Z156" i="2"/>
  <c r="Z164" i="2"/>
  <c r="Z151" i="2"/>
  <c r="Z155" i="2"/>
  <c r="Z159" i="2"/>
  <c r="Z163" i="2"/>
  <c r="Z166" i="2"/>
  <c r="Z147" i="2"/>
  <c r="Z152" i="2"/>
  <c r="Z160" i="2"/>
  <c r="Z168" i="2"/>
  <c r="Z153" i="2"/>
  <c r="Z169" i="2"/>
  <c r="Z149" i="2"/>
  <c r="Z157" i="2"/>
  <c r="Z161" i="2"/>
  <c r="Z165" i="2"/>
  <c r="Z179" i="2"/>
  <c r="Z183" i="2"/>
  <c r="Z187" i="2"/>
  <c r="Z191" i="2"/>
  <c r="Z199" i="2"/>
  <c r="Z177" i="2"/>
  <c r="Z182" i="2"/>
  <c r="Z188" i="2"/>
  <c r="Z193" i="2"/>
  <c r="Z198" i="2"/>
  <c r="Z180" i="2"/>
  <c r="Z190" i="2"/>
  <c r="Z178" i="2"/>
  <c r="Z184" i="2"/>
  <c r="Z189" i="2"/>
  <c r="Z194" i="2"/>
  <c r="Z176" i="2"/>
  <c r="Z185" i="2"/>
  <c r="Z195" i="2"/>
  <c r="Z186" i="2"/>
  <c r="Z197" i="2"/>
  <c r="Z192" i="2"/>
  <c r="Z181" i="2"/>
  <c r="E807" i="2"/>
  <c r="F807" i="2"/>
  <c r="G807" i="2"/>
  <c r="H807" i="2"/>
  <c r="I807" i="2"/>
  <c r="J807" i="2"/>
  <c r="K807" i="2"/>
  <c r="D807" i="2"/>
  <c r="E778" i="2"/>
  <c r="F778" i="2"/>
  <c r="G778" i="2"/>
  <c r="H778" i="2"/>
  <c r="I778" i="2"/>
  <c r="J778" i="2"/>
  <c r="K778" i="2"/>
  <c r="D778" i="2"/>
  <c r="E749" i="2"/>
  <c r="F749" i="2"/>
  <c r="G749" i="2"/>
  <c r="H749" i="2"/>
  <c r="I749" i="2"/>
  <c r="J749" i="2"/>
  <c r="K749" i="2"/>
  <c r="D749" i="2"/>
  <c r="E720" i="2"/>
  <c r="F720" i="2"/>
  <c r="G720" i="2"/>
  <c r="H720" i="2"/>
  <c r="I720" i="2"/>
  <c r="J720" i="2"/>
  <c r="K720" i="2"/>
  <c r="D720" i="2"/>
  <c r="E691" i="2"/>
  <c r="F691" i="2"/>
  <c r="G691" i="2"/>
  <c r="H691" i="2"/>
  <c r="I691" i="2"/>
  <c r="J691" i="2"/>
  <c r="K691" i="2"/>
  <c r="D691" i="2"/>
  <c r="E662" i="2"/>
  <c r="F662" i="2"/>
  <c r="G662" i="2"/>
  <c r="H662" i="2"/>
  <c r="I662" i="2"/>
  <c r="J662" i="2"/>
  <c r="K662" i="2"/>
  <c r="D662" i="2"/>
  <c r="E633" i="2"/>
  <c r="F633" i="2"/>
  <c r="G633" i="2"/>
  <c r="H633" i="2"/>
  <c r="I633" i="2"/>
  <c r="J633" i="2"/>
  <c r="K633" i="2"/>
  <c r="D633" i="2"/>
  <c r="E604" i="2"/>
  <c r="F604" i="2"/>
  <c r="G604" i="2"/>
  <c r="H604" i="2"/>
  <c r="I604" i="2"/>
  <c r="J604" i="2"/>
  <c r="K604" i="2"/>
  <c r="D604" i="2"/>
  <c r="E575" i="2"/>
  <c r="F575" i="2"/>
  <c r="G575" i="2"/>
  <c r="H575" i="2"/>
  <c r="I575" i="2"/>
  <c r="J575" i="2"/>
  <c r="K575" i="2"/>
  <c r="D575" i="2"/>
  <c r="E546" i="2"/>
  <c r="F546" i="2"/>
  <c r="G546" i="2"/>
  <c r="H546" i="2"/>
  <c r="I546" i="2"/>
  <c r="J546" i="2"/>
  <c r="K546" i="2"/>
  <c r="D546" i="2"/>
  <c r="E517" i="2"/>
  <c r="F517" i="2"/>
  <c r="G517" i="2"/>
  <c r="H517" i="2"/>
  <c r="I517" i="2"/>
  <c r="J517" i="2"/>
  <c r="K517" i="2"/>
  <c r="D517" i="2"/>
  <c r="E488" i="2"/>
  <c r="F488" i="2"/>
  <c r="G488" i="2"/>
  <c r="H488" i="2"/>
  <c r="I488" i="2"/>
  <c r="J488" i="2"/>
  <c r="K488" i="2"/>
  <c r="D488" i="2"/>
  <c r="E459" i="2"/>
  <c r="F459" i="2"/>
  <c r="G459" i="2"/>
  <c r="H459" i="2"/>
  <c r="I459" i="2"/>
  <c r="J459" i="2"/>
  <c r="K459" i="2"/>
  <c r="D459" i="2"/>
  <c r="E430" i="2"/>
  <c r="F430" i="2"/>
  <c r="G430" i="2"/>
  <c r="H430" i="2"/>
  <c r="I430" i="2"/>
  <c r="J430" i="2"/>
  <c r="K430" i="2"/>
  <c r="D430" i="2"/>
  <c r="E401" i="2"/>
  <c r="F401" i="2"/>
  <c r="G401" i="2"/>
  <c r="H401" i="2"/>
  <c r="I401" i="2"/>
  <c r="J401" i="2"/>
  <c r="K401" i="2"/>
  <c r="D401" i="2"/>
  <c r="E372" i="2"/>
  <c r="F372" i="2"/>
  <c r="G372" i="2"/>
  <c r="H372" i="2"/>
  <c r="I372" i="2"/>
  <c r="J372" i="2"/>
  <c r="K372" i="2"/>
  <c r="D372" i="2"/>
  <c r="E343" i="2"/>
  <c r="F343" i="2"/>
  <c r="G343" i="2"/>
  <c r="H343" i="2"/>
  <c r="I343" i="2"/>
  <c r="J343" i="2"/>
  <c r="K343" i="2"/>
  <c r="D343" i="2"/>
  <c r="E314" i="2"/>
  <c r="F314" i="2"/>
  <c r="G314" i="2"/>
  <c r="H314" i="2"/>
  <c r="I314" i="2"/>
  <c r="J314" i="2"/>
  <c r="K314" i="2"/>
  <c r="D314" i="2"/>
  <c r="E285" i="2"/>
  <c r="F285" i="2"/>
  <c r="G285" i="2"/>
  <c r="H285" i="2"/>
  <c r="I285" i="2"/>
  <c r="J285" i="2"/>
  <c r="K285" i="2"/>
  <c r="D285" i="2"/>
  <c r="E256" i="2"/>
  <c r="F256" i="2"/>
  <c r="G256" i="2"/>
  <c r="H256" i="2"/>
  <c r="I256" i="2"/>
  <c r="J256" i="2"/>
  <c r="K256" i="2"/>
  <c r="D256" i="2"/>
  <c r="E227" i="2"/>
  <c r="F227" i="2"/>
  <c r="G227" i="2"/>
  <c r="H227" i="2"/>
  <c r="I227" i="2"/>
  <c r="J227" i="2"/>
  <c r="K227" i="2"/>
  <c r="D227" i="2"/>
  <c r="Y285" i="2" l="1"/>
  <c r="Y314" i="2"/>
  <c r="Y401" i="2"/>
  <c r="Y459" i="2"/>
  <c r="Y488" i="2"/>
  <c r="Y604" i="2"/>
  <c r="Y633" i="2"/>
  <c r="Y691" i="2"/>
  <c r="Y749" i="2"/>
  <c r="Y807" i="2"/>
  <c r="Y227" i="2"/>
  <c r="Y256" i="2"/>
  <c r="Y343" i="2"/>
  <c r="Y372" i="2"/>
  <c r="Y430" i="2"/>
  <c r="Y517" i="2"/>
  <c r="Y546" i="2"/>
  <c r="Y575" i="2"/>
  <c r="Y662" i="2"/>
  <c r="Y720" i="2"/>
  <c r="Y778" i="2"/>
  <c r="K806" i="2"/>
  <c r="J806" i="2"/>
  <c r="I806" i="2"/>
  <c r="H806" i="2"/>
  <c r="G806" i="2"/>
  <c r="F806" i="2"/>
  <c r="E806" i="2"/>
  <c r="D806" i="2"/>
  <c r="K804" i="2"/>
  <c r="J804" i="2"/>
  <c r="I804" i="2"/>
  <c r="H804" i="2"/>
  <c r="G804" i="2"/>
  <c r="F804" i="2"/>
  <c r="E804" i="2"/>
  <c r="D804" i="2"/>
  <c r="K803" i="2"/>
  <c r="J803" i="2"/>
  <c r="I803" i="2"/>
  <c r="H803" i="2"/>
  <c r="G803" i="2"/>
  <c r="F803" i="2"/>
  <c r="E803" i="2"/>
  <c r="D803" i="2"/>
  <c r="K802" i="2"/>
  <c r="J802" i="2"/>
  <c r="I802" i="2"/>
  <c r="H802" i="2"/>
  <c r="G802" i="2"/>
  <c r="F802" i="2"/>
  <c r="E802" i="2"/>
  <c r="D802" i="2"/>
  <c r="K801" i="2"/>
  <c r="J801" i="2"/>
  <c r="I801" i="2"/>
  <c r="H801" i="2"/>
  <c r="G801" i="2"/>
  <c r="F801" i="2"/>
  <c r="E801" i="2"/>
  <c r="D801" i="2"/>
  <c r="K800" i="2"/>
  <c r="J800" i="2"/>
  <c r="I800" i="2"/>
  <c r="H800" i="2"/>
  <c r="G800" i="2"/>
  <c r="F800" i="2"/>
  <c r="E800" i="2"/>
  <c r="D800" i="2"/>
  <c r="K799" i="2"/>
  <c r="J799" i="2"/>
  <c r="I799" i="2"/>
  <c r="H799" i="2"/>
  <c r="G799" i="2"/>
  <c r="F799" i="2"/>
  <c r="E799" i="2"/>
  <c r="D799" i="2"/>
  <c r="K798" i="2"/>
  <c r="J798" i="2"/>
  <c r="I798" i="2"/>
  <c r="H798" i="2"/>
  <c r="G798" i="2"/>
  <c r="F798" i="2"/>
  <c r="E798" i="2"/>
  <c r="D798" i="2"/>
  <c r="K797" i="2"/>
  <c r="J797" i="2"/>
  <c r="I797" i="2"/>
  <c r="H797" i="2"/>
  <c r="G797" i="2"/>
  <c r="F797" i="2"/>
  <c r="E797" i="2"/>
  <c r="D797" i="2"/>
  <c r="K796" i="2"/>
  <c r="J796" i="2"/>
  <c r="I796" i="2"/>
  <c r="H796" i="2"/>
  <c r="G796" i="2"/>
  <c r="F796" i="2"/>
  <c r="E796" i="2"/>
  <c r="D796" i="2"/>
  <c r="K795" i="2"/>
  <c r="J795" i="2"/>
  <c r="I795" i="2"/>
  <c r="H795" i="2"/>
  <c r="G795" i="2"/>
  <c r="F795" i="2"/>
  <c r="E795" i="2"/>
  <c r="D795" i="2"/>
  <c r="K794" i="2"/>
  <c r="J794" i="2"/>
  <c r="I794" i="2"/>
  <c r="H794" i="2"/>
  <c r="G794" i="2"/>
  <c r="F794" i="2"/>
  <c r="E794" i="2"/>
  <c r="D794" i="2"/>
  <c r="K793" i="2"/>
  <c r="J793" i="2"/>
  <c r="I793" i="2"/>
  <c r="H793" i="2"/>
  <c r="G793" i="2"/>
  <c r="F793" i="2"/>
  <c r="E793" i="2"/>
  <c r="D793" i="2"/>
  <c r="K792" i="2"/>
  <c r="J792" i="2"/>
  <c r="I792" i="2"/>
  <c r="H792" i="2"/>
  <c r="G792" i="2"/>
  <c r="F792" i="2"/>
  <c r="E792" i="2"/>
  <c r="D792" i="2"/>
  <c r="K791" i="2"/>
  <c r="J791" i="2"/>
  <c r="I791" i="2"/>
  <c r="H791" i="2"/>
  <c r="G791" i="2"/>
  <c r="F791" i="2"/>
  <c r="E791" i="2"/>
  <c r="D791" i="2"/>
  <c r="K790" i="2"/>
  <c r="J790" i="2"/>
  <c r="I790" i="2"/>
  <c r="H790" i="2"/>
  <c r="G790" i="2"/>
  <c r="F790" i="2"/>
  <c r="E790" i="2"/>
  <c r="D790" i="2"/>
  <c r="K789" i="2"/>
  <c r="J789" i="2"/>
  <c r="I789" i="2"/>
  <c r="H789" i="2"/>
  <c r="G789" i="2"/>
  <c r="F789" i="2"/>
  <c r="E789" i="2"/>
  <c r="D789" i="2"/>
  <c r="K788" i="2"/>
  <c r="J788" i="2"/>
  <c r="I788" i="2"/>
  <c r="H788" i="2"/>
  <c r="G788" i="2"/>
  <c r="F788" i="2"/>
  <c r="E788" i="2"/>
  <c r="D788" i="2"/>
  <c r="K787" i="2"/>
  <c r="J787" i="2"/>
  <c r="I787" i="2"/>
  <c r="H787" i="2"/>
  <c r="G787" i="2"/>
  <c r="F787" i="2"/>
  <c r="E787" i="2"/>
  <c r="D787" i="2"/>
  <c r="K786" i="2"/>
  <c r="J786" i="2"/>
  <c r="I786" i="2"/>
  <c r="H786" i="2"/>
  <c r="G786" i="2"/>
  <c r="F786" i="2"/>
  <c r="E786" i="2"/>
  <c r="D786" i="2"/>
  <c r="K785" i="2"/>
  <c r="K810" i="2" s="1"/>
  <c r="J785" i="2"/>
  <c r="J810" i="2" s="1"/>
  <c r="I785" i="2"/>
  <c r="I810" i="2" s="1"/>
  <c r="H785" i="2"/>
  <c r="H810" i="2" s="1"/>
  <c r="G785" i="2"/>
  <c r="G810" i="2" s="1"/>
  <c r="F785" i="2"/>
  <c r="F810" i="2" s="1"/>
  <c r="E785" i="2"/>
  <c r="E810" i="2" s="1"/>
  <c r="D785" i="2"/>
  <c r="D810" i="2" s="1"/>
  <c r="K777" i="2"/>
  <c r="J777" i="2"/>
  <c r="I777" i="2"/>
  <c r="H777" i="2"/>
  <c r="G777" i="2"/>
  <c r="F777" i="2"/>
  <c r="E777" i="2"/>
  <c r="D777" i="2"/>
  <c r="K775" i="2"/>
  <c r="J775" i="2"/>
  <c r="I775" i="2"/>
  <c r="H775" i="2"/>
  <c r="G775" i="2"/>
  <c r="F775" i="2"/>
  <c r="E775" i="2"/>
  <c r="D775" i="2"/>
  <c r="K774" i="2"/>
  <c r="J774" i="2"/>
  <c r="I774" i="2"/>
  <c r="H774" i="2"/>
  <c r="G774" i="2"/>
  <c r="F774" i="2"/>
  <c r="E774" i="2"/>
  <c r="D774" i="2"/>
  <c r="K773" i="2"/>
  <c r="J773" i="2"/>
  <c r="I773" i="2"/>
  <c r="H773" i="2"/>
  <c r="G773" i="2"/>
  <c r="F773" i="2"/>
  <c r="E773" i="2"/>
  <c r="D773" i="2"/>
  <c r="K772" i="2"/>
  <c r="J772" i="2"/>
  <c r="I772" i="2"/>
  <c r="H772" i="2"/>
  <c r="G772" i="2"/>
  <c r="F772" i="2"/>
  <c r="E772" i="2"/>
  <c r="D772" i="2"/>
  <c r="K771" i="2"/>
  <c r="J771" i="2"/>
  <c r="I771" i="2"/>
  <c r="H771" i="2"/>
  <c r="G771" i="2"/>
  <c r="F771" i="2"/>
  <c r="E771" i="2"/>
  <c r="D771" i="2"/>
  <c r="K770" i="2"/>
  <c r="J770" i="2"/>
  <c r="I770" i="2"/>
  <c r="H770" i="2"/>
  <c r="G770" i="2"/>
  <c r="F770" i="2"/>
  <c r="E770" i="2"/>
  <c r="D770" i="2"/>
  <c r="K769" i="2"/>
  <c r="J769" i="2"/>
  <c r="I769" i="2"/>
  <c r="H769" i="2"/>
  <c r="G769" i="2"/>
  <c r="F769" i="2"/>
  <c r="E769" i="2"/>
  <c r="D769" i="2"/>
  <c r="K768" i="2"/>
  <c r="J768" i="2"/>
  <c r="I768" i="2"/>
  <c r="H768" i="2"/>
  <c r="G768" i="2"/>
  <c r="F768" i="2"/>
  <c r="E768" i="2"/>
  <c r="D768" i="2"/>
  <c r="K767" i="2"/>
  <c r="J767" i="2"/>
  <c r="I767" i="2"/>
  <c r="H767" i="2"/>
  <c r="G767" i="2"/>
  <c r="F767" i="2"/>
  <c r="E767" i="2"/>
  <c r="D767" i="2"/>
  <c r="K766" i="2"/>
  <c r="J766" i="2"/>
  <c r="I766" i="2"/>
  <c r="H766" i="2"/>
  <c r="G766" i="2"/>
  <c r="F766" i="2"/>
  <c r="E766" i="2"/>
  <c r="D766" i="2"/>
  <c r="K765" i="2"/>
  <c r="J765" i="2"/>
  <c r="I765" i="2"/>
  <c r="H765" i="2"/>
  <c r="G765" i="2"/>
  <c r="F765" i="2"/>
  <c r="E765" i="2"/>
  <c r="D765" i="2"/>
  <c r="K764" i="2"/>
  <c r="J764" i="2"/>
  <c r="I764" i="2"/>
  <c r="H764" i="2"/>
  <c r="G764" i="2"/>
  <c r="F764" i="2"/>
  <c r="E764" i="2"/>
  <c r="D764" i="2"/>
  <c r="K763" i="2"/>
  <c r="J763" i="2"/>
  <c r="I763" i="2"/>
  <c r="H763" i="2"/>
  <c r="G763" i="2"/>
  <c r="F763" i="2"/>
  <c r="E763" i="2"/>
  <c r="D763" i="2"/>
  <c r="K762" i="2"/>
  <c r="J762" i="2"/>
  <c r="I762" i="2"/>
  <c r="H762" i="2"/>
  <c r="G762" i="2"/>
  <c r="F762" i="2"/>
  <c r="E762" i="2"/>
  <c r="D762" i="2"/>
  <c r="K761" i="2"/>
  <c r="J761" i="2"/>
  <c r="I761" i="2"/>
  <c r="H761" i="2"/>
  <c r="G761" i="2"/>
  <c r="F761" i="2"/>
  <c r="E761" i="2"/>
  <c r="D761" i="2"/>
  <c r="K760" i="2"/>
  <c r="J760" i="2"/>
  <c r="I760" i="2"/>
  <c r="H760" i="2"/>
  <c r="G760" i="2"/>
  <c r="F760" i="2"/>
  <c r="E760" i="2"/>
  <c r="D760" i="2"/>
  <c r="K759" i="2"/>
  <c r="J759" i="2"/>
  <c r="I759" i="2"/>
  <c r="H759" i="2"/>
  <c r="G759" i="2"/>
  <c r="F759" i="2"/>
  <c r="E759" i="2"/>
  <c r="D759" i="2"/>
  <c r="K758" i="2"/>
  <c r="J758" i="2"/>
  <c r="I758" i="2"/>
  <c r="H758" i="2"/>
  <c r="G758" i="2"/>
  <c r="F758" i="2"/>
  <c r="E758" i="2"/>
  <c r="D758" i="2"/>
  <c r="K757" i="2"/>
  <c r="J757" i="2"/>
  <c r="I757" i="2"/>
  <c r="H757" i="2"/>
  <c r="G757" i="2"/>
  <c r="F757" i="2"/>
  <c r="E757" i="2"/>
  <c r="D757" i="2"/>
  <c r="K756" i="2"/>
  <c r="K781" i="2" s="1"/>
  <c r="J756" i="2"/>
  <c r="J781" i="2" s="1"/>
  <c r="I756" i="2"/>
  <c r="I781" i="2" s="1"/>
  <c r="H756" i="2"/>
  <c r="H781" i="2" s="1"/>
  <c r="G756" i="2"/>
  <c r="G781" i="2" s="1"/>
  <c r="F756" i="2"/>
  <c r="F781" i="2" s="1"/>
  <c r="E756" i="2"/>
  <c r="E781" i="2" s="1"/>
  <c r="D756" i="2"/>
  <c r="D781" i="2" s="1"/>
  <c r="K748" i="2"/>
  <c r="J748" i="2"/>
  <c r="I748" i="2"/>
  <c r="H748" i="2"/>
  <c r="G748" i="2"/>
  <c r="F748" i="2"/>
  <c r="E748" i="2"/>
  <c r="D748" i="2"/>
  <c r="K746" i="2"/>
  <c r="J746" i="2"/>
  <c r="I746" i="2"/>
  <c r="H746" i="2"/>
  <c r="G746" i="2"/>
  <c r="F746" i="2"/>
  <c r="E746" i="2"/>
  <c r="D746" i="2"/>
  <c r="K745" i="2"/>
  <c r="J745" i="2"/>
  <c r="I745" i="2"/>
  <c r="H745" i="2"/>
  <c r="G745" i="2"/>
  <c r="F745" i="2"/>
  <c r="E745" i="2"/>
  <c r="D745" i="2"/>
  <c r="K744" i="2"/>
  <c r="J744" i="2"/>
  <c r="I744" i="2"/>
  <c r="H744" i="2"/>
  <c r="G744" i="2"/>
  <c r="F744" i="2"/>
  <c r="E744" i="2"/>
  <c r="D744" i="2"/>
  <c r="K743" i="2"/>
  <c r="J743" i="2"/>
  <c r="I743" i="2"/>
  <c r="H743" i="2"/>
  <c r="G743" i="2"/>
  <c r="F743" i="2"/>
  <c r="E743" i="2"/>
  <c r="D743" i="2"/>
  <c r="K742" i="2"/>
  <c r="J742" i="2"/>
  <c r="I742" i="2"/>
  <c r="H742" i="2"/>
  <c r="G742" i="2"/>
  <c r="F742" i="2"/>
  <c r="E742" i="2"/>
  <c r="D742" i="2"/>
  <c r="K741" i="2"/>
  <c r="J741" i="2"/>
  <c r="I741" i="2"/>
  <c r="H741" i="2"/>
  <c r="G741" i="2"/>
  <c r="F741" i="2"/>
  <c r="E741" i="2"/>
  <c r="D741" i="2"/>
  <c r="K740" i="2"/>
  <c r="J740" i="2"/>
  <c r="I740" i="2"/>
  <c r="H740" i="2"/>
  <c r="G740" i="2"/>
  <c r="F740" i="2"/>
  <c r="E740" i="2"/>
  <c r="D740" i="2"/>
  <c r="K739" i="2"/>
  <c r="J739" i="2"/>
  <c r="I739" i="2"/>
  <c r="H739" i="2"/>
  <c r="G739" i="2"/>
  <c r="F739" i="2"/>
  <c r="E739" i="2"/>
  <c r="D739" i="2"/>
  <c r="K738" i="2"/>
  <c r="J738" i="2"/>
  <c r="I738" i="2"/>
  <c r="H738" i="2"/>
  <c r="G738" i="2"/>
  <c r="F738" i="2"/>
  <c r="E738" i="2"/>
  <c r="D738" i="2"/>
  <c r="K737" i="2"/>
  <c r="J737" i="2"/>
  <c r="I737" i="2"/>
  <c r="H737" i="2"/>
  <c r="G737" i="2"/>
  <c r="F737" i="2"/>
  <c r="E737" i="2"/>
  <c r="D737" i="2"/>
  <c r="K736" i="2"/>
  <c r="J736" i="2"/>
  <c r="I736" i="2"/>
  <c r="H736" i="2"/>
  <c r="G736" i="2"/>
  <c r="F736" i="2"/>
  <c r="E736" i="2"/>
  <c r="D736" i="2"/>
  <c r="K735" i="2"/>
  <c r="J735" i="2"/>
  <c r="I735" i="2"/>
  <c r="H735" i="2"/>
  <c r="G735" i="2"/>
  <c r="F735" i="2"/>
  <c r="E735" i="2"/>
  <c r="D735" i="2"/>
  <c r="K734" i="2"/>
  <c r="J734" i="2"/>
  <c r="I734" i="2"/>
  <c r="H734" i="2"/>
  <c r="G734" i="2"/>
  <c r="F734" i="2"/>
  <c r="E734" i="2"/>
  <c r="D734" i="2"/>
  <c r="K733" i="2"/>
  <c r="J733" i="2"/>
  <c r="I733" i="2"/>
  <c r="H733" i="2"/>
  <c r="G733" i="2"/>
  <c r="F733" i="2"/>
  <c r="E733" i="2"/>
  <c r="D733" i="2"/>
  <c r="K732" i="2"/>
  <c r="J732" i="2"/>
  <c r="I732" i="2"/>
  <c r="H732" i="2"/>
  <c r="G732" i="2"/>
  <c r="F732" i="2"/>
  <c r="E732" i="2"/>
  <c r="D732" i="2"/>
  <c r="K731" i="2"/>
  <c r="J731" i="2"/>
  <c r="I731" i="2"/>
  <c r="H731" i="2"/>
  <c r="G731" i="2"/>
  <c r="F731" i="2"/>
  <c r="E731" i="2"/>
  <c r="D731" i="2"/>
  <c r="K730" i="2"/>
  <c r="J730" i="2"/>
  <c r="I730" i="2"/>
  <c r="H730" i="2"/>
  <c r="G730" i="2"/>
  <c r="F730" i="2"/>
  <c r="E730" i="2"/>
  <c r="D730" i="2"/>
  <c r="K729" i="2"/>
  <c r="J729" i="2"/>
  <c r="I729" i="2"/>
  <c r="H729" i="2"/>
  <c r="G729" i="2"/>
  <c r="F729" i="2"/>
  <c r="E729" i="2"/>
  <c r="D729" i="2"/>
  <c r="K728" i="2"/>
  <c r="J728" i="2"/>
  <c r="I728" i="2"/>
  <c r="H728" i="2"/>
  <c r="G728" i="2"/>
  <c r="F728" i="2"/>
  <c r="E728" i="2"/>
  <c r="D728" i="2"/>
  <c r="K727" i="2"/>
  <c r="K752" i="2" s="1"/>
  <c r="J727" i="2"/>
  <c r="J752" i="2" s="1"/>
  <c r="I727" i="2"/>
  <c r="I752" i="2" s="1"/>
  <c r="H727" i="2"/>
  <c r="H752" i="2" s="1"/>
  <c r="G727" i="2"/>
  <c r="G752" i="2" s="1"/>
  <c r="F727" i="2"/>
  <c r="F752" i="2" s="1"/>
  <c r="E727" i="2"/>
  <c r="E752" i="2" s="1"/>
  <c r="D727" i="2"/>
  <c r="D752" i="2" s="1"/>
  <c r="K719" i="2"/>
  <c r="J719" i="2"/>
  <c r="I719" i="2"/>
  <c r="H719" i="2"/>
  <c r="G719" i="2"/>
  <c r="F719" i="2"/>
  <c r="E719" i="2"/>
  <c r="D719" i="2"/>
  <c r="K717" i="2"/>
  <c r="J717" i="2"/>
  <c r="I717" i="2"/>
  <c r="H717" i="2"/>
  <c r="G717" i="2"/>
  <c r="F717" i="2"/>
  <c r="E717" i="2"/>
  <c r="D717" i="2"/>
  <c r="K716" i="2"/>
  <c r="J716" i="2"/>
  <c r="I716" i="2"/>
  <c r="H716" i="2"/>
  <c r="G716" i="2"/>
  <c r="F716" i="2"/>
  <c r="E716" i="2"/>
  <c r="D716" i="2"/>
  <c r="K715" i="2"/>
  <c r="J715" i="2"/>
  <c r="I715" i="2"/>
  <c r="H715" i="2"/>
  <c r="G715" i="2"/>
  <c r="F715" i="2"/>
  <c r="E715" i="2"/>
  <c r="D715" i="2"/>
  <c r="K714" i="2"/>
  <c r="J714" i="2"/>
  <c r="I714" i="2"/>
  <c r="H714" i="2"/>
  <c r="G714" i="2"/>
  <c r="F714" i="2"/>
  <c r="E714" i="2"/>
  <c r="D714" i="2"/>
  <c r="K713" i="2"/>
  <c r="J713" i="2"/>
  <c r="I713" i="2"/>
  <c r="H713" i="2"/>
  <c r="G713" i="2"/>
  <c r="F713" i="2"/>
  <c r="E713" i="2"/>
  <c r="D713" i="2"/>
  <c r="K712" i="2"/>
  <c r="J712" i="2"/>
  <c r="I712" i="2"/>
  <c r="H712" i="2"/>
  <c r="G712" i="2"/>
  <c r="F712" i="2"/>
  <c r="E712" i="2"/>
  <c r="D712" i="2"/>
  <c r="K711" i="2"/>
  <c r="J711" i="2"/>
  <c r="I711" i="2"/>
  <c r="H711" i="2"/>
  <c r="G711" i="2"/>
  <c r="F711" i="2"/>
  <c r="E711" i="2"/>
  <c r="D711" i="2"/>
  <c r="K710" i="2"/>
  <c r="J710" i="2"/>
  <c r="I710" i="2"/>
  <c r="H710" i="2"/>
  <c r="G710" i="2"/>
  <c r="F710" i="2"/>
  <c r="E710" i="2"/>
  <c r="D710" i="2"/>
  <c r="K709" i="2"/>
  <c r="J709" i="2"/>
  <c r="I709" i="2"/>
  <c r="H709" i="2"/>
  <c r="G709" i="2"/>
  <c r="F709" i="2"/>
  <c r="E709" i="2"/>
  <c r="D709" i="2"/>
  <c r="K708" i="2"/>
  <c r="J708" i="2"/>
  <c r="I708" i="2"/>
  <c r="H708" i="2"/>
  <c r="G708" i="2"/>
  <c r="F708" i="2"/>
  <c r="E708" i="2"/>
  <c r="D708" i="2"/>
  <c r="K707" i="2"/>
  <c r="J707" i="2"/>
  <c r="I707" i="2"/>
  <c r="H707" i="2"/>
  <c r="G707" i="2"/>
  <c r="F707" i="2"/>
  <c r="E707" i="2"/>
  <c r="D707" i="2"/>
  <c r="K706" i="2"/>
  <c r="J706" i="2"/>
  <c r="I706" i="2"/>
  <c r="H706" i="2"/>
  <c r="G706" i="2"/>
  <c r="F706" i="2"/>
  <c r="E706" i="2"/>
  <c r="D706" i="2"/>
  <c r="K705" i="2"/>
  <c r="J705" i="2"/>
  <c r="I705" i="2"/>
  <c r="H705" i="2"/>
  <c r="G705" i="2"/>
  <c r="F705" i="2"/>
  <c r="E705" i="2"/>
  <c r="D705" i="2"/>
  <c r="K704" i="2"/>
  <c r="J704" i="2"/>
  <c r="I704" i="2"/>
  <c r="H704" i="2"/>
  <c r="G704" i="2"/>
  <c r="F704" i="2"/>
  <c r="E704" i="2"/>
  <c r="D704" i="2"/>
  <c r="K703" i="2"/>
  <c r="J703" i="2"/>
  <c r="I703" i="2"/>
  <c r="H703" i="2"/>
  <c r="G703" i="2"/>
  <c r="F703" i="2"/>
  <c r="E703" i="2"/>
  <c r="D703" i="2"/>
  <c r="K702" i="2"/>
  <c r="J702" i="2"/>
  <c r="I702" i="2"/>
  <c r="H702" i="2"/>
  <c r="G702" i="2"/>
  <c r="F702" i="2"/>
  <c r="E702" i="2"/>
  <c r="D702" i="2"/>
  <c r="K701" i="2"/>
  <c r="J701" i="2"/>
  <c r="I701" i="2"/>
  <c r="H701" i="2"/>
  <c r="G701" i="2"/>
  <c r="F701" i="2"/>
  <c r="E701" i="2"/>
  <c r="D701" i="2"/>
  <c r="K700" i="2"/>
  <c r="J700" i="2"/>
  <c r="I700" i="2"/>
  <c r="H700" i="2"/>
  <c r="G700" i="2"/>
  <c r="F700" i="2"/>
  <c r="E700" i="2"/>
  <c r="D700" i="2"/>
  <c r="K699" i="2"/>
  <c r="J699" i="2"/>
  <c r="I699" i="2"/>
  <c r="H699" i="2"/>
  <c r="G699" i="2"/>
  <c r="F699" i="2"/>
  <c r="E699" i="2"/>
  <c r="D699" i="2"/>
  <c r="K698" i="2"/>
  <c r="K723" i="2" s="1"/>
  <c r="J698" i="2"/>
  <c r="J723" i="2" s="1"/>
  <c r="I698" i="2"/>
  <c r="I723" i="2" s="1"/>
  <c r="H698" i="2"/>
  <c r="H723" i="2" s="1"/>
  <c r="G698" i="2"/>
  <c r="G723" i="2" s="1"/>
  <c r="F698" i="2"/>
  <c r="F723" i="2" s="1"/>
  <c r="E698" i="2"/>
  <c r="E723" i="2" s="1"/>
  <c r="D698" i="2"/>
  <c r="D723" i="2" s="1"/>
  <c r="K690" i="2"/>
  <c r="J690" i="2"/>
  <c r="I690" i="2"/>
  <c r="H690" i="2"/>
  <c r="G690" i="2"/>
  <c r="F690" i="2"/>
  <c r="E690" i="2"/>
  <c r="D690" i="2"/>
  <c r="K688" i="2"/>
  <c r="J688" i="2"/>
  <c r="I688" i="2"/>
  <c r="H688" i="2"/>
  <c r="G688" i="2"/>
  <c r="F688" i="2"/>
  <c r="E688" i="2"/>
  <c r="D688" i="2"/>
  <c r="K687" i="2"/>
  <c r="J687" i="2"/>
  <c r="I687" i="2"/>
  <c r="H687" i="2"/>
  <c r="G687" i="2"/>
  <c r="F687" i="2"/>
  <c r="E687" i="2"/>
  <c r="D687" i="2"/>
  <c r="K686" i="2"/>
  <c r="J686" i="2"/>
  <c r="I686" i="2"/>
  <c r="H686" i="2"/>
  <c r="G686" i="2"/>
  <c r="F686" i="2"/>
  <c r="E686" i="2"/>
  <c r="D686" i="2"/>
  <c r="K685" i="2"/>
  <c r="J685" i="2"/>
  <c r="I685" i="2"/>
  <c r="H685" i="2"/>
  <c r="G685" i="2"/>
  <c r="F685" i="2"/>
  <c r="E685" i="2"/>
  <c r="D685" i="2"/>
  <c r="K684" i="2"/>
  <c r="J684" i="2"/>
  <c r="I684" i="2"/>
  <c r="H684" i="2"/>
  <c r="G684" i="2"/>
  <c r="F684" i="2"/>
  <c r="E684" i="2"/>
  <c r="D684" i="2"/>
  <c r="K683" i="2"/>
  <c r="J683" i="2"/>
  <c r="I683" i="2"/>
  <c r="H683" i="2"/>
  <c r="G683" i="2"/>
  <c r="F683" i="2"/>
  <c r="E683" i="2"/>
  <c r="D683" i="2"/>
  <c r="K682" i="2"/>
  <c r="J682" i="2"/>
  <c r="I682" i="2"/>
  <c r="H682" i="2"/>
  <c r="G682" i="2"/>
  <c r="F682" i="2"/>
  <c r="E682" i="2"/>
  <c r="D682" i="2"/>
  <c r="K681" i="2"/>
  <c r="J681" i="2"/>
  <c r="I681" i="2"/>
  <c r="H681" i="2"/>
  <c r="G681" i="2"/>
  <c r="F681" i="2"/>
  <c r="E681" i="2"/>
  <c r="D681" i="2"/>
  <c r="K680" i="2"/>
  <c r="J680" i="2"/>
  <c r="I680" i="2"/>
  <c r="H680" i="2"/>
  <c r="G680" i="2"/>
  <c r="F680" i="2"/>
  <c r="E680" i="2"/>
  <c r="D680" i="2"/>
  <c r="K679" i="2"/>
  <c r="J679" i="2"/>
  <c r="I679" i="2"/>
  <c r="H679" i="2"/>
  <c r="G679" i="2"/>
  <c r="F679" i="2"/>
  <c r="E679" i="2"/>
  <c r="D679" i="2"/>
  <c r="K678" i="2"/>
  <c r="J678" i="2"/>
  <c r="I678" i="2"/>
  <c r="H678" i="2"/>
  <c r="G678" i="2"/>
  <c r="F678" i="2"/>
  <c r="E678" i="2"/>
  <c r="D678" i="2"/>
  <c r="K677" i="2"/>
  <c r="J677" i="2"/>
  <c r="I677" i="2"/>
  <c r="H677" i="2"/>
  <c r="G677" i="2"/>
  <c r="F677" i="2"/>
  <c r="E677" i="2"/>
  <c r="D677" i="2"/>
  <c r="K676" i="2"/>
  <c r="J676" i="2"/>
  <c r="I676" i="2"/>
  <c r="H676" i="2"/>
  <c r="G676" i="2"/>
  <c r="F676" i="2"/>
  <c r="E676" i="2"/>
  <c r="D676" i="2"/>
  <c r="K675" i="2"/>
  <c r="J675" i="2"/>
  <c r="I675" i="2"/>
  <c r="H675" i="2"/>
  <c r="G675" i="2"/>
  <c r="F675" i="2"/>
  <c r="E675" i="2"/>
  <c r="D675" i="2"/>
  <c r="K674" i="2"/>
  <c r="J674" i="2"/>
  <c r="I674" i="2"/>
  <c r="H674" i="2"/>
  <c r="G674" i="2"/>
  <c r="F674" i="2"/>
  <c r="E674" i="2"/>
  <c r="D674" i="2"/>
  <c r="K673" i="2"/>
  <c r="J673" i="2"/>
  <c r="I673" i="2"/>
  <c r="H673" i="2"/>
  <c r="G673" i="2"/>
  <c r="F673" i="2"/>
  <c r="E673" i="2"/>
  <c r="D673" i="2"/>
  <c r="K672" i="2"/>
  <c r="J672" i="2"/>
  <c r="I672" i="2"/>
  <c r="H672" i="2"/>
  <c r="G672" i="2"/>
  <c r="F672" i="2"/>
  <c r="E672" i="2"/>
  <c r="D672" i="2"/>
  <c r="K671" i="2"/>
  <c r="J671" i="2"/>
  <c r="I671" i="2"/>
  <c r="H671" i="2"/>
  <c r="G671" i="2"/>
  <c r="F671" i="2"/>
  <c r="E671" i="2"/>
  <c r="D671" i="2"/>
  <c r="K670" i="2"/>
  <c r="J670" i="2"/>
  <c r="I670" i="2"/>
  <c r="H670" i="2"/>
  <c r="G670" i="2"/>
  <c r="F670" i="2"/>
  <c r="E670" i="2"/>
  <c r="D670" i="2"/>
  <c r="K669" i="2"/>
  <c r="K694" i="2" s="1"/>
  <c r="J669" i="2"/>
  <c r="J694" i="2" s="1"/>
  <c r="I669" i="2"/>
  <c r="I694" i="2" s="1"/>
  <c r="H669" i="2"/>
  <c r="H694" i="2" s="1"/>
  <c r="G669" i="2"/>
  <c r="G694" i="2" s="1"/>
  <c r="F669" i="2"/>
  <c r="F694" i="2" s="1"/>
  <c r="E669" i="2"/>
  <c r="E694" i="2" s="1"/>
  <c r="D669" i="2"/>
  <c r="D694" i="2" s="1"/>
  <c r="K661" i="2"/>
  <c r="J661" i="2"/>
  <c r="I661" i="2"/>
  <c r="H661" i="2"/>
  <c r="G661" i="2"/>
  <c r="F661" i="2"/>
  <c r="E661" i="2"/>
  <c r="D661" i="2"/>
  <c r="K659" i="2"/>
  <c r="J659" i="2"/>
  <c r="I659" i="2"/>
  <c r="H659" i="2"/>
  <c r="G659" i="2"/>
  <c r="F659" i="2"/>
  <c r="E659" i="2"/>
  <c r="D659" i="2"/>
  <c r="K658" i="2"/>
  <c r="J658" i="2"/>
  <c r="I658" i="2"/>
  <c r="H658" i="2"/>
  <c r="G658" i="2"/>
  <c r="F658" i="2"/>
  <c r="E658" i="2"/>
  <c r="D658" i="2"/>
  <c r="K657" i="2"/>
  <c r="J657" i="2"/>
  <c r="I657" i="2"/>
  <c r="H657" i="2"/>
  <c r="G657" i="2"/>
  <c r="F657" i="2"/>
  <c r="E657" i="2"/>
  <c r="D657" i="2"/>
  <c r="K656" i="2"/>
  <c r="J656" i="2"/>
  <c r="I656" i="2"/>
  <c r="H656" i="2"/>
  <c r="G656" i="2"/>
  <c r="F656" i="2"/>
  <c r="E656" i="2"/>
  <c r="D656" i="2"/>
  <c r="K655" i="2"/>
  <c r="J655" i="2"/>
  <c r="I655" i="2"/>
  <c r="H655" i="2"/>
  <c r="G655" i="2"/>
  <c r="F655" i="2"/>
  <c r="E655" i="2"/>
  <c r="D655" i="2"/>
  <c r="K654" i="2"/>
  <c r="J654" i="2"/>
  <c r="I654" i="2"/>
  <c r="H654" i="2"/>
  <c r="G654" i="2"/>
  <c r="F654" i="2"/>
  <c r="E654" i="2"/>
  <c r="D654" i="2"/>
  <c r="K653" i="2"/>
  <c r="J653" i="2"/>
  <c r="I653" i="2"/>
  <c r="H653" i="2"/>
  <c r="G653" i="2"/>
  <c r="F653" i="2"/>
  <c r="E653" i="2"/>
  <c r="D653" i="2"/>
  <c r="K652" i="2"/>
  <c r="J652" i="2"/>
  <c r="I652" i="2"/>
  <c r="H652" i="2"/>
  <c r="G652" i="2"/>
  <c r="F652" i="2"/>
  <c r="E652" i="2"/>
  <c r="D652" i="2"/>
  <c r="K651" i="2"/>
  <c r="J651" i="2"/>
  <c r="I651" i="2"/>
  <c r="H651" i="2"/>
  <c r="G651" i="2"/>
  <c r="F651" i="2"/>
  <c r="E651" i="2"/>
  <c r="D651" i="2"/>
  <c r="K650" i="2"/>
  <c r="J650" i="2"/>
  <c r="I650" i="2"/>
  <c r="H650" i="2"/>
  <c r="G650" i="2"/>
  <c r="F650" i="2"/>
  <c r="E650" i="2"/>
  <c r="D650" i="2"/>
  <c r="K649" i="2"/>
  <c r="J649" i="2"/>
  <c r="I649" i="2"/>
  <c r="H649" i="2"/>
  <c r="G649" i="2"/>
  <c r="F649" i="2"/>
  <c r="E649" i="2"/>
  <c r="D649" i="2"/>
  <c r="K648" i="2"/>
  <c r="J648" i="2"/>
  <c r="I648" i="2"/>
  <c r="H648" i="2"/>
  <c r="G648" i="2"/>
  <c r="F648" i="2"/>
  <c r="E648" i="2"/>
  <c r="D648" i="2"/>
  <c r="K647" i="2"/>
  <c r="J647" i="2"/>
  <c r="I647" i="2"/>
  <c r="H647" i="2"/>
  <c r="G647" i="2"/>
  <c r="F647" i="2"/>
  <c r="E647" i="2"/>
  <c r="D647" i="2"/>
  <c r="K646" i="2"/>
  <c r="J646" i="2"/>
  <c r="I646" i="2"/>
  <c r="H646" i="2"/>
  <c r="G646" i="2"/>
  <c r="F646" i="2"/>
  <c r="E646" i="2"/>
  <c r="D646" i="2"/>
  <c r="K645" i="2"/>
  <c r="J645" i="2"/>
  <c r="I645" i="2"/>
  <c r="H645" i="2"/>
  <c r="G645" i="2"/>
  <c r="F645" i="2"/>
  <c r="E645" i="2"/>
  <c r="D645" i="2"/>
  <c r="K644" i="2"/>
  <c r="J644" i="2"/>
  <c r="I644" i="2"/>
  <c r="H644" i="2"/>
  <c r="G644" i="2"/>
  <c r="F644" i="2"/>
  <c r="E644" i="2"/>
  <c r="D644" i="2"/>
  <c r="K643" i="2"/>
  <c r="J643" i="2"/>
  <c r="I643" i="2"/>
  <c r="H643" i="2"/>
  <c r="G643" i="2"/>
  <c r="F643" i="2"/>
  <c r="E643" i="2"/>
  <c r="D643" i="2"/>
  <c r="K642" i="2"/>
  <c r="J642" i="2"/>
  <c r="I642" i="2"/>
  <c r="H642" i="2"/>
  <c r="G642" i="2"/>
  <c r="F642" i="2"/>
  <c r="E642" i="2"/>
  <c r="D642" i="2"/>
  <c r="K641" i="2"/>
  <c r="J641" i="2"/>
  <c r="I641" i="2"/>
  <c r="H641" i="2"/>
  <c r="G641" i="2"/>
  <c r="F641" i="2"/>
  <c r="E641" i="2"/>
  <c r="D641" i="2"/>
  <c r="K640" i="2"/>
  <c r="K665" i="2" s="1"/>
  <c r="J640" i="2"/>
  <c r="J665" i="2" s="1"/>
  <c r="I640" i="2"/>
  <c r="I665" i="2" s="1"/>
  <c r="H640" i="2"/>
  <c r="H665" i="2" s="1"/>
  <c r="G640" i="2"/>
  <c r="G665" i="2" s="1"/>
  <c r="F640" i="2"/>
  <c r="F665" i="2" s="1"/>
  <c r="E640" i="2"/>
  <c r="E665" i="2" s="1"/>
  <c r="D640" i="2"/>
  <c r="D665" i="2" s="1"/>
  <c r="K632" i="2"/>
  <c r="J632" i="2"/>
  <c r="I632" i="2"/>
  <c r="H632" i="2"/>
  <c r="G632" i="2"/>
  <c r="F632" i="2"/>
  <c r="E632" i="2"/>
  <c r="D632" i="2"/>
  <c r="K630" i="2"/>
  <c r="J630" i="2"/>
  <c r="I630" i="2"/>
  <c r="H630" i="2"/>
  <c r="G630" i="2"/>
  <c r="F630" i="2"/>
  <c r="E630" i="2"/>
  <c r="D630" i="2"/>
  <c r="K629" i="2"/>
  <c r="J629" i="2"/>
  <c r="I629" i="2"/>
  <c r="H629" i="2"/>
  <c r="G629" i="2"/>
  <c r="F629" i="2"/>
  <c r="E629" i="2"/>
  <c r="D629" i="2"/>
  <c r="K628" i="2"/>
  <c r="J628" i="2"/>
  <c r="I628" i="2"/>
  <c r="H628" i="2"/>
  <c r="G628" i="2"/>
  <c r="F628" i="2"/>
  <c r="E628" i="2"/>
  <c r="D628" i="2"/>
  <c r="K627" i="2"/>
  <c r="J627" i="2"/>
  <c r="I627" i="2"/>
  <c r="H627" i="2"/>
  <c r="G627" i="2"/>
  <c r="F627" i="2"/>
  <c r="E627" i="2"/>
  <c r="D627" i="2"/>
  <c r="K626" i="2"/>
  <c r="J626" i="2"/>
  <c r="I626" i="2"/>
  <c r="H626" i="2"/>
  <c r="G626" i="2"/>
  <c r="F626" i="2"/>
  <c r="E626" i="2"/>
  <c r="D626" i="2"/>
  <c r="K625" i="2"/>
  <c r="J625" i="2"/>
  <c r="I625" i="2"/>
  <c r="H625" i="2"/>
  <c r="G625" i="2"/>
  <c r="F625" i="2"/>
  <c r="E625" i="2"/>
  <c r="D625" i="2"/>
  <c r="K624" i="2"/>
  <c r="J624" i="2"/>
  <c r="I624" i="2"/>
  <c r="H624" i="2"/>
  <c r="G624" i="2"/>
  <c r="F624" i="2"/>
  <c r="E624" i="2"/>
  <c r="D624" i="2"/>
  <c r="K623" i="2"/>
  <c r="J623" i="2"/>
  <c r="I623" i="2"/>
  <c r="H623" i="2"/>
  <c r="G623" i="2"/>
  <c r="F623" i="2"/>
  <c r="E623" i="2"/>
  <c r="D623" i="2"/>
  <c r="K622" i="2"/>
  <c r="J622" i="2"/>
  <c r="I622" i="2"/>
  <c r="H622" i="2"/>
  <c r="G622" i="2"/>
  <c r="F622" i="2"/>
  <c r="E622" i="2"/>
  <c r="D622" i="2"/>
  <c r="K621" i="2"/>
  <c r="J621" i="2"/>
  <c r="I621" i="2"/>
  <c r="H621" i="2"/>
  <c r="G621" i="2"/>
  <c r="F621" i="2"/>
  <c r="E621" i="2"/>
  <c r="D621" i="2"/>
  <c r="K620" i="2"/>
  <c r="J620" i="2"/>
  <c r="I620" i="2"/>
  <c r="H620" i="2"/>
  <c r="G620" i="2"/>
  <c r="F620" i="2"/>
  <c r="E620" i="2"/>
  <c r="D620" i="2"/>
  <c r="K619" i="2"/>
  <c r="J619" i="2"/>
  <c r="I619" i="2"/>
  <c r="H619" i="2"/>
  <c r="G619" i="2"/>
  <c r="F619" i="2"/>
  <c r="E619" i="2"/>
  <c r="D619" i="2"/>
  <c r="K618" i="2"/>
  <c r="J618" i="2"/>
  <c r="I618" i="2"/>
  <c r="H618" i="2"/>
  <c r="G618" i="2"/>
  <c r="F618" i="2"/>
  <c r="E618" i="2"/>
  <c r="D618" i="2"/>
  <c r="K617" i="2"/>
  <c r="J617" i="2"/>
  <c r="I617" i="2"/>
  <c r="H617" i="2"/>
  <c r="G617" i="2"/>
  <c r="F617" i="2"/>
  <c r="E617" i="2"/>
  <c r="D617" i="2"/>
  <c r="K616" i="2"/>
  <c r="J616" i="2"/>
  <c r="I616" i="2"/>
  <c r="H616" i="2"/>
  <c r="G616" i="2"/>
  <c r="F616" i="2"/>
  <c r="E616" i="2"/>
  <c r="D616" i="2"/>
  <c r="K615" i="2"/>
  <c r="J615" i="2"/>
  <c r="I615" i="2"/>
  <c r="H615" i="2"/>
  <c r="G615" i="2"/>
  <c r="F615" i="2"/>
  <c r="E615" i="2"/>
  <c r="D615" i="2"/>
  <c r="K614" i="2"/>
  <c r="J614" i="2"/>
  <c r="I614" i="2"/>
  <c r="H614" i="2"/>
  <c r="G614" i="2"/>
  <c r="F614" i="2"/>
  <c r="E614" i="2"/>
  <c r="D614" i="2"/>
  <c r="K613" i="2"/>
  <c r="J613" i="2"/>
  <c r="I613" i="2"/>
  <c r="H613" i="2"/>
  <c r="G613" i="2"/>
  <c r="F613" i="2"/>
  <c r="E613" i="2"/>
  <c r="D613" i="2"/>
  <c r="K612" i="2"/>
  <c r="J612" i="2"/>
  <c r="I612" i="2"/>
  <c r="H612" i="2"/>
  <c r="G612" i="2"/>
  <c r="F612" i="2"/>
  <c r="E612" i="2"/>
  <c r="D612" i="2"/>
  <c r="K611" i="2"/>
  <c r="K636" i="2" s="1"/>
  <c r="J611" i="2"/>
  <c r="J636" i="2" s="1"/>
  <c r="I611" i="2"/>
  <c r="I636" i="2" s="1"/>
  <c r="H611" i="2"/>
  <c r="H636" i="2" s="1"/>
  <c r="G611" i="2"/>
  <c r="G636" i="2" s="1"/>
  <c r="F611" i="2"/>
  <c r="F636" i="2" s="1"/>
  <c r="E611" i="2"/>
  <c r="E636" i="2" s="1"/>
  <c r="D611" i="2"/>
  <c r="D636" i="2" s="1"/>
  <c r="K603" i="2"/>
  <c r="J603" i="2"/>
  <c r="I603" i="2"/>
  <c r="H603" i="2"/>
  <c r="G603" i="2"/>
  <c r="F603" i="2"/>
  <c r="E603" i="2"/>
  <c r="D603" i="2"/>
  <c r="K601" i="2"/>
  <c r="J601" i="2"/>
  <c r="I601" i="2"/>
  <c r="H601" i="2"/>
  <c r="G601" i="2"/>
  <c r="F601" i="2"/>
  <c r="E601" i="2"/>
  <c r="D601" i="2"/>
  <c r="K600" i="2"/>
  <c r="J600" i="2"/>
  <c r="I600" i="2"/>
  <c r="H600" i="2"/>
  <c r="G600" i="2"/>
  <c r="F600" i="2"/>
  <c r="E600" i="2"/>
  <c r="D600" i="2"/>
  <c r="K599" i="2"/>
  <c r="J599" i="2"/>
  <c r="I599" i="2"/>
  <c r="H599" i="2"/>
  <c r="G599" i="2"/>
  <c r="F599" i="2"/>
  <c r="E599" i="2"/>
  <c r="D599" i="2"/>
  <c r="K598" i="2"/>
  <c r="J598" i="2"/>
  <c r="I598" i="2"/>
  <c r="H598" i="2"/>
  <c r="G598" i="2"/>
  <c r="F598" i="2"/>
  <c r="E598" i="2"/>
  <c r="D598" i="2"/>
  <c r="K597" i="2"/>
  <c r="J597" i="2"/>
  <c r="I597" i="2"/>
  <c r="H597" i="2"/>
  <c r="G597" i="2"/>
  <c r="F597" i="2"/>
  <c r="E597" i="2"/>
  <c r="D597" i="2"/>
  <c r="K596" i="2"/>
  <c r="J596" i="2"/>
  <c r="I596" i="2"/>
  <c r="H596" i="2"/>
  <c r="G596" i="2"/>
  <c r="F596" i="2"/>
  <c r="E596" i="2"/>
  <c r="D596" i="2"/>
  <c r="K595" i="2"/>
  <c r="J595" i="2"/>
  <c r="I595" i="2"/>
  <c r="H595" i="2"/>
  <c r="G595" i="2"/>
  <c r="F595" i="2"/>
  <c r="E595" i="2"/>
  <c r="D595" i="2"/>
  <c r="K594" i="2"/>
  <c r="J594" i="2"/>
  <c r="I594" i="2"/>
  <c r="H594" i="2"/>
  <c r="G594" i="2"/>
  <c r="F594" i="2"/>
  <c r="E594" i="2"/>
  <c r="D594" i="2"/>
  <c r="K593" i="2"/>
  <c r="J593" i="2"/>
  <c r="I593" i="2"/>
  <c r="H593" i="2"/>
  <c r="G593" i="2"/>
  <c r="F593" i="2"/>
  <c r="E593" i="2"/>
  <c r="D593" i="2"/>
  <c r="K592" i="2"/>
  <c r="J592" i="2"/>
  <c r="I592" i="2"/>
  <c r="H592" i="2"/>
  <c r="G592" i="2"/>
  <c r="F592" i="2"/>
  <c r="E592" i="2"/>
  <c r="D592" i="2"/>
  <c r="K591" i="2"/>
  <c r="J591" i="2"/>
  <c r="I591" i="2"/>
  <c r="H591" i="2"/>
  <c r="G591" i="2"/>
  <c r="F591" i="2"/>
  <c r="E591" i="2"/>
  <c r="D591" i="2"/>
  <c r="K590" i="2"/>
  <c r="J590" i="2"/>
  <c r="I590" i="2"/>
  <c r="H590" i="2"/>
  <c r="G590" i="2"/>
  <c r="F590" i="2"/>
  <c r="E590" i="2"/>
  <c r="D590" i="2"/>
  <c r="K589" i="2"/>
  <c r="J589" i="2"/>
  <c r="I589" i="2"/>
  <c r="H589" i="2"/>
  <c r="G589" i="2"/>
  <c r="F589" i="2"/>
  <c r="E589" i="2"/>
  <c r="D589" i="2"/>
  <c r="K588" i="2"/>
  <c r="J588" i="2"/>
  <c r="I588" i="2"/>
  <c r="H588" i="2"/>
  <c r="G588" i="2"/>
  <c r="F588" i="2"/>
  <c r="E588" i="2"/>
  <c r="D588" i="2"/>
  <c r="K587" i="2"/>
  <c r="J587" i="2"/>
  <c r="I587" i="2"/>
  <c r="H587" i="2"/>
  <c r="G587" i="2"/>
  <c r="F587" i="2"/>
  <c r="E587" i="2"/>
  <c r="D587" i="2"/>
  <c r="K586" i="2"/>
  <c r="J586" i="2"/>
  <c r="I586" i="2"/>
  <c r="H586" i="2"/>
  <c r="G586" i="2"/>
  <c r="F586" i="2"/>
  <c r="E586" i="2"/>
  <c r="D586" i="2"/>
  <c r="K585" i="2"/>
  <c r="J585" i="2"/>
  <c r="I585" i="2"/>
  <c r="H585" i="2"/>
  <c r="G585" i="2"/>
  <c r="F585" i="2"/>
  <c r="E585" i="2"/>
  <c r="D585" i="2"/>
  <c r="K584" i="2"/>
  <c r="J584" i="2"/>
  <c r="I584" i="2"/>
  <c r="H584" i="2"/>
  <c r="G584" i="2"/>
  <c r="F584" i="2"/>
  <c r="E584" i="2"/>
  <c r="D584" i="2"/>
  <c r="K583" i="2"/>
  <c r="J583" i="2"/>
  <c r="I583" i="2"/>
  <c r="H583" i="2"/>
  <c r="G583" i="2"/>
  <c r="F583" i="2"/>
  <c r="E583" i="2"/>
  <c r="D583" i="2"/>
  <c r="K582" i="2"/>
  <c r="K607" i="2" s="1"/>
  <c r="J582" i="2"/>
  <c r="J607" i="2" s="1"/>
  <c r="I582" i="2"/>
  <c r="I607" i="2" s="1"/>
  <c r="H582" i="2"/>
  <c r="H607" i="2" s="1"/>
  <c r="G582" i="2"/>
  <c r="G607" i="2" s="1"/>
  <c r="F582" i="2"/>
  <c r="F607" i="2" s="1"/>
  <c r="E582" i="2"/>
  <c r="E607" i="2" s="1"/>
  <c r="D582" i="2"/>
  <c r="D607" i="2" s="1"/>
  <c r="K574" i="2"/>
  <c r="J574" i="2"/>
  <c r="I574" i="2"/>
  <c r="H574" i="2"/>
  <c r="G574" i="2"/>
  <c r="F574" i="2"/>
  <c r="E574" i="2"/>
  <c r="D574" i="2"/>
  <c r="K572" i="2"/>
  <c r="J572" i="2"/>
  <c r="I572" i="2"/>
  <c r="H572" i="2"/>
  <c r="G572" i="2"/>
  <c r="F572" i="2"/>
  <c r="E572" i="2"/>
  <c r="D572" i="2"/>
  <c r="K571" i="2"/>
  <c r="J571" i="2"/>
  <c r="I571" i="2"/>
  <c r="H571" i="2"/>
  <c r="G571" i="2"/>
  <c r="F571" i="2"/>
  <c r="E571" i="2"/>
  <c r="D571" i="2"/>
  <c r="K570" i="2"/>
  <c r="J570" i="2"/>
  <c r="I570" i="2"/>
  <c r="H570" i="2"/>
  <c r="G570" i="2"/>
  <c r="F570" i="2"/>
  <c r="E570" i="2"/>
  <c r="D570" i="2"/>
  <c r="K569" i="2"/>
  <c r="J569" i="2"/>
  <c r="I569" i="2"/>
  <c r="H569" i="2"/>
  <c r="G569" i="2"/>
  <c r="F569" i="2"/>
  <c r="E569" i="2"/>
  <c r="D569" i="2"/>
  <c r="K568" i="2"/>
  <c r="J568" i="2"/>
  <c r="I568" i="2"/>
  <c r="H568" i="2"/>
  <c r="G568" i="2"/>
  <c r="F568" i="2"/>
  <c r="E568" i="2"/>
  <c r="D568" i="2"/>
  <c r="K567" i="2"/>
  <c r="J567" i="2"/>
  <c r="I567" i="2"/>
  <c r="H567" i="2"/>
  <c r="G567" i="2"/>
  <c r="F567" i="2"/>
  <c r="E567" i="2"/>
  <c r="D567" i="2"/>
  <c r="K566" i="2"/>
  <c r="J566" i="2"/>
  <c r="I566" i="2"/>
  <c r="H566" i="2"/>
  <c r="G566" i="2"/>
  <c r="F566" i="2"/>
  <c r="E566" i="2"/>
  <c r="D566" i="2"/>
  <c r="K565" i="2"/>
  <c r="J565" i="2"/>
  <c r="I565" i="2"/>
  <c r="H565" i="2"/>
  <c r="G565" i="2"/>
  <c r="F565" i="2"/>
  <c r="E565" i="2"/>
  <c r="D565" i="2"/>
  <c r="K564" i="2"/>
  <c r="J564" i="2"/>
  <c r="I564" i="2"/>
  <c r="H564" i="2"/>
  <c r="G564" i="2"/>
  <c r="F564" i="2"/>
  <c r="E564" i="2"/>
  <c r="D564" i="2"/>
  <c r="K563" i="2"/>
  <c r="J563" i="2"/>
  <c r="I563" i="2"/>
  <c r="H563" i="2"/>
  <c r="G563" i="2"/>
  <c r="F563" i="2"/>
  <c r="E563" i="2"/>
  <c r="D563" i="2"/>
  <c r="K562" i="2"/>
  <c r="J562" i="2"/>
  <c r="I562" i="2"/>
  <c r="H562" i="2"/>
  <c r="G562" i="2"/>
  <c r="F562" i="2"/>
  <c r="E562" i="2"/>
  <c r="D562" i="2"/>
  <c r="K561" i="2"/>
  <c r="J561" i="2"/>
  <c r="I561" i="2"/>
  <c r="H561" i="2"/>
  <c r="G561" i="2"/>
  <c r="F561" i="2"/>
  <c r="E561" i="2"/>
  <c r="D561" i="2"/>
  <c r="K560" i="2"/>
  <c r="J560" i="2"/>
  <c r="I560" i="2"/>
  <c r="H560" i="2"/>
  <c r="G560" i="2"/>
  <c r="F560" i="2"/>
  <c r="E560" i="2"/>
  <c r="D560" i="2"/>
  <c r="K559" i="2"/>
  <c r="J559" i="2"/>
  <c r="I559" i="2"/>
  <c r="H559" i="2"/>
  <c r="G559" i="2"/>
  <c r="F559" i="2"/>
  <c r="E559" i="2"/>
  <c r="D559" i="2"/>
  <c r="K558" i="2"/>
  <c r="J558" i="2"/>
  <c r="I558" i="2"/>
  <c r="H558" i="2"/>
  <c r="G558" i="2"/>
  <c r="F558" i="2"/>
  <c r="E558" i="2"/>
  <c r="D558" i="2"/>
  <c r="K557" i="2"/>
  <c r="J557" i="2"/>
  <c r="I557" i="2"/>
  <c r="H557" i="2"/>
  <c r="G557" i="2"/>
  <c r="F557" i="2"/>
  <c r="E557" i="2"/>
  <c r="D557" i="2"/>
  <c r="K556" i="2"/>
  <c r="J556" i="2"/>
  <c r="I556" i="2"/>
  <c r="H556" i="2"/>
  <c r="G556" i="2"/>
  <c r="F556" i="2"/>
  <c r="E556" i="2"/>
  <c r="D556" i="2"/>
  <c r="K555" i="2"/>
  <c r="J555" i="2"/>
  <c r="I555" i="2"/>
  <c r="H555" i="2"/>
  <c r="G555" i="2"/>
  <c r="F555" i="2"/>
  <c r="E555" i="2"/>
  <c r="D555" i="2"/>
  <c r="K554" i="2"/>
  <c r="J554" i="2"/>
  <c r="I554" i="2"/>
  <c r="H554" i="2"/>
  <c r="G554" i="2"/>
  <c r="F554" i="2"/>
  <c r="E554" i="2"/>
  <c r="D554" i="2"/>
  <c r="K553" i="2"/>
  <c r="K578" i="2" s="1"/>
  <c r="J553" i="2"/>
  <c r="J578" i="2" s="1"/>
  <c r="I553" i="2"/>
  <c r="I578" i="2" s="1"/>
  <c r="H553" i="2"/>
  <c r="H578" i="2" s="1"/>
  <c r="G553" i="2"/>
  <c r="G578" i="2" s="1"/>
  <c r="F553" i="2"/>
  <c r="F578" i="2" s="1"/>
  <c r="E553" i="2"/>
  <c r="E578" i="2" s="1"/>
  <c r="D553" i="2"/>
  <c r="D578" i="2" s="1"/>
  <c r="K545" i="2"/>
  <c r="J545" i="2"/>
  <c r="I545" i="2"/>
  <c r="H545" i="2"/>
  <c r="G545" i="2"/>
  <c r="F545" i="2"/>
  <c r="E545" i="2"/>
  <c r="D545" i="2"/>
  <c r="K543" i="2"/>
  <c r="J543" i="2"/>
  <c r="I543" i="2"/>
  <c r="H543" i="2"/>
  <c r="G543" i="2"/>
  <c r="F543" i="2"/>
  <c r="E543" i="2"/>
  <c r="D543" i="2"/>
  <c r="K542" i="2"/>
  <c r="J542" i="2"/>
  <c r="I542" i="2"/>
  <c r="H542" i="2"/>
  <c r="G542" i="2"/>
  <c r="F542" i="2"/>
  <c r="E542" i="2"/>
  <c r="D542" i="2"/>
  <c r="K541" i="2"/>
  <c r="J541" i="2"/>
  <c r="I541" i="2"/>
  <c r="H541" i="2"/>
  <c r="G541" i="2"/>
  <c r="F541" i="2"/>
  <c r="E541" i="2"/>
  <c r="D541" i="2"/>
  <c r="K540" i="2"/>
  <c r="J540" i="2"/>
  <c r="I540" i="2"/>
  <c r="H540" i="2"/>
  <c r="G540" i="2"/>
  <c r="F540" i="2"/>
  <c r="E540" i="2"/>
  <c r="D540" i="2"/>
  <c r="K539" i="2"/>
  <c r="J539" i="2"/>
  <c r="I539" i="2"/>
  <c r="H539" i="2"/>
  <c r="G539" i="2"/>
  <c r="F539" i="2"/>
  <c r="E539" i="2"/>
  <c r="D539" i="2"/>
  <c r="K538" i="2"/>
  <c r="J538" i="2"/>
  <c r="I538" i="2"/>
  <c r="H538" i="2"/>
  <c r="G538" i="2"/>
  <c r="F538" i="2"/>
  <c r="E538" i="2"/>
  <c r="D538" i="2"/>
  <c r="K537" i="2"/>
  <c r="J537" i="2"/>
  <c r="I537" i="2"/>
  <c r="H537" i="2"/>
  <c r="G537" i="2"/>
  <c r="F537" i="2"/>
  <c r="E537" i="2"/>
  <c r="D537" i="2"/>
  <c r="K536" i="2"/>
  <c r="J536" i="2"/>
  <c r="I536" i="2"/>
  <c r="H536" i="2"/>
  <c r="G536" i="2"/>
  <c r="F536" i="2"/>
  <c r="E536" i="2"/>
  <c r="D536" i="2"/>
  <c r="K535" i="2"/>
  <c r="J535" i="2"/>
  <c r="I535" i="2"/>
  <c r="H535" i="2"/>
  <c r="G535" i="2"/>
  <c r="F535" i="2"/>
  <c r="E535" i="2"/>
  <c r="D535" i="2"/>
  <c r="K534" i="2"/>
  <c r="J534" i="2"/>
  <c r="I534" i="2"/>
  <c r="H534" i="2"/>
  <c r="G534" i="2"/>
  <c r="F534" i="2"/>
  <c r="E534" i="2"/>
  <c r="D534" i="2"/>
  <c r="K533" i="2"/>
  <c r="J533" i="2"/>
  <c r="I533" i="2"/>
  <c r="H533" i="2"/>
  <c r="G533" i="2"/>
  <c r="F533" i="2"/>
  <c r="E533" i="2"/>
  <c r="D533" i="2"/>
  <c r="K532" i="2"/>
  <c r="J532" i="2"/>
  <c r="I532" i="2"/>
  <c r="H532" i="2"/>
  <c r="G532" i="2"/>
  <c r="F532" i="2"/>
  <c r="E532" i="2"/>
  <c r="D532" i="2"/>
  <c r="K531" i="2"/>
  <c r="J531" i="2"/>
  <c r="I531" i="2"/>
  <c r="H531" i="2"/>
  <c r="G531" i="2"/>
  <c r="F531" i="2"/>
  <c r="E531" i="2"/>
  <c r="D531" i="2"/>
  <c r="K530" i="2"/>
  <c r="J530" i="2"/>
  <c r="I530" i="2"/>
  <c r="H530" i="2"/>
  <c r="G530" i="2"/>
  <c r="F530" i="2"/>
  <c r="E530" i="2"/>
  <c r="D530" i="2"/>
  <c r="K529" i="2"/>
  <c r="J529" i="2"/>
  <c r="I529" i="2"/>
  <c r="H529" i="2"/>
  <c r="G529" i="2"/>
  <c r="F529" i="2"/>
  <c r="E529" i="2"/>
  <c r="D529" i="2"/>
  <c r="K528" i="2"/>
  <c r="J528" i="2"/>
  <c r="I528" i="2"/>
  <c r="H528" i="2"/>
  <c r="G528" i="2"/>
  <c r="F528" i="2"/>
  <c r="E528" i="2"/>
  <c r="D528" i="2"/>
  <c r="K527" i="2"/>
  <c r="J527" i="2"/>
  <c r="I527" i="2"/>
  <c r="H527" i="2"/>
  <c r="G527" i="2"/>
  <c r="F527" i="2"/>
  <c r="E527" i="2"/>
  <c r="D527" i="2"/>
  <c r="K526" i="2"/>
  <c r="J526" i="2"/>
  <c r="I526" i="2"/>
  <c r="H526" i="2"/>
  <c r="G526" i="2"/>
  <c r="F526" i="2"/>
  <c r="E526" i="2"/>
  <c r="D526" i="2"/>
  <c r="K525" i="2"/>
  <c r="J525" i="2"/>
  <c r="I525" i="2"/>
  <c r="H525" i="2"/>
  <c r="G525" i="2"/>
  <c r="F525" i="2"/>
  <c r="E525" i="2"/>
  <c r="D525" i="2"/>
  <c r="K524" i="2"/>
  <c r="K549" i="2" s="1"/>
  <c r="J524" i="2"/>
  <c r="J549" i="2" s="1"/>
  <c r="I524" i="2"/>
  <c r="I549" i="2" s="1"/>
  <c r="H524" i="2"/>
  <c r="H549" i="2" s="1"/>
  <c r="G524" i="2"/>
  <c r="G549" i="2" s="1"/>
  <c r="F524" i="2"/>
  <c r="F549" i="2" s="1"/>
  <c r="E524" i="2"/>
  <c r="E549" i="2" s="1"/>
  <c r="D524" i="2"/>
  <c r="D549" i="2" s="1"/>
  <c r="K516" i="2"/>
  <c r="J516" i="2"/>
  <c r="I516" i="2"/>
  <c r="H516" i="2"/>
  <c r="G516" i="2"/>
  <c r="F516" i="2"/>
  <c r="E516" i="2"/>
  <c r="D516" i="2"/>
  <c r="K514" i="2"/>
  <c r="J514" i="2"/>
  <c r="I514" i="2"/>
  <c r="H514" i="2"/>
  <c r="G514" i="2"/>
  <c r="F514" i="2"/>
  <c r="E514" i="2"/>
  <c r="D514" i="2"/>
  <c r="K513" i="2"/>
  <c r="J513" i="2"/>
  <c r="I513" i="2"/>
  <c r="H513" i="2"/>
  <c r="K512" i="2"/>
  <c r="J512" i="2"/>
  <c r="I512" i="2"/>
  <c r="H512" i="2"/>
  <c r="G512" i="2"/>
  <c r="F512" i="2"/>
  <c r="E512" i="2"/>
  <c r="D512" i="2"/>
  <c r="K511" i="2"/>
  <c r="J511" i="2"/>
  <c r="I511" i="2"/>
  <c r="H511" i="2"/>
  <c r="G511" i="2"/>
  <c r="F511" i="2"/>
  <c r="E511" i="2"/>
  <c r="D511" i="2"/>
  <c r="K510" i="2"/>
  <c r="J510" i="2"/>
  <c r="I510" i="2"/>
  <c r="H510" i="2"/>
  <c r="G510" i="2"/>
  <c r="F510" i="2"/>
  <c r="E510" i="2"/>
  <c r="D510" i="2"/>
  <c r="K509" i="2"/>
  <c r="J509" i="2"/>
  <c r="I509" i="2"/>
  <c r="H509" i="2"/>
  <c r="G509" i="2"/>
  <c r="F509" i="2"/>
  <c r="E509" i="2"/>
  <c r="D509" i="2"/>
  <c r="K508" i="2"/>
  <c r="J508" i="2"/>
  <c r="I508" i="2"/>
  <c r="H508" i="2"/>
  <c r="G508" i="2"/>
  <c r="F508" i="2"/>
  <c r="E508" i="2"/>
  <c r="D508" i="2"/>
  <c r="K507" i="2"/>
  <c r="J507" i="2"/>
  <c r="I507" i="2"/>
  <c r="H507" i="2"/>
  <c r="G507" i="2"/>
  <c r="F507" i="2"/>
  <c r="E507" i="2"/>
  <c r="D507" i="2"/>
  <c r="K506" i="2"/>
  <c r="J506" i="2"/>
  <c r="I506" i="2"/>
  <c r="H506" i="2"/>
  <c r="G506" i="2"/>
  <c r="F506" i="2"/>
  <c r="E506" i="2"/>
  <c r="D506" i="2"/>
  <c r="K505" i="2"/>
  <c r="J505" i="2"/>
  <c r="I505" i="2"/>
  <c r="H505" i="2"/>
  <c r="G505" i="2"/>
  <c r="F505" i="2"/>
  <c r="E505" i="2"/>
  <c r="D505" i="2"/>
  <c r="K504" i="2"/>
  <c r="J504" i="2"/>
  <c r="I504" i="2"/>
  <c r="H504" i="2"/>
  <c r="G504" i="2"/>
  <c r="F504" i="2"/>
  <c r="E504" i="2"/>
  <c r="D504" i="2"/>
  <c r="K503" i="2"/>
  <c r="J503" i="2"/>
  <c r="I503" i="2"/>
  <c r="H503" i="2"/>
  <c r="G503" i="2"/>
  <c r="F503" i="2"/>
  <c r="E503" i="2"/>
  <c r="D503" i="2"/>
  <c r="K502" i="2"/>
  <c r="J502" i="2"/>
  <c r="I502" i="2"/>
  <c r="H502" i="2"/>
  <c r="G502" i="2"/>
  <c r="F502" i="2"/>
  <c r="E502" i="2"/>
  <c r="D502" i="2"/>
  <c r="K501" i="2"/>
  <c r="J501" i="2"/>
  <c r="I501" i="2"/>
  <c r="H501" i="2"/>
  <c r="G501" i="2"/>
  <c r="F501" i="2"/>
  <c r="E501" i="2"/>
  <c r="D501" i="2"/>
  <c r="K500" i="2"/>
  <c r="J500" i="2"/>
  <c r="I500" i="2"/>
  <c r="H500" i="2"/>
  <c r="G500" i="2"/>
  <c r="F500" i="2"/>
  <c r="E500" i="2"/>
  <c r="D500" i="2"/>
  <c r="K499" i="2"/>
  <c r="J499" i="2"/>
  <c r="I499" i="2"/>
  <c r="H499" i="2"/>
  <c r="G499" i="2"/>
  <c r="F499" i="2"/>
  <c r="E499" i="2"/>
  <c r="D499" i="2"/>
  <c r="K498" i="2"/>
  <c r="J498" i="2"/>
  <c r="I498" i="2"/>
  <c r="H498" i="2"/>
  <c r="G498" i="2"/>
  <c r="F498" i="2"/>
  <c r="E498" i="2"/>
  <c r="D498" i="2"/>
  <c r="K497" i="2"/>
  <c r="J497" i="2"/>
  <c r="I497" i="2"/>
  <c r="H497" i="2"/>
  <c r="G497" i="2"/>
  <c r="F497" i="2"/>
  <c r="E497" i="2"/>
  <c r="D497" i="2"/>
  <c r="K496" i="2"/>
  <c r="J496" i="2"/>
  <c r="I496" i="2"/>
  <c r="H496" i="2"/>
  <c r="G496" i="2"/>
  <c r="F496" i="2"/>
  <c r="E496" i="2"/>
  <c r="D496" i="2"/>
  <c r="K495" i="2"/>
  <c r="K520" i="2" s="1"/>
  <c r="J495" i="2"/>
  <c r="J520" i="2" s="1"/>
  <c r="I495" i="2"/>
  <c r="I520" i="2" s="1"/>
  <c r="H495" i="2"/>
  <c r="H520" i="2" s="1"/>
  <c r="G495" i="2"/>
  <c r="G520" i="2" s="1"/>
  <c r="F495" i="2"/>
  <c r="F520" i="2" s="1"/>
  <c r="E495" i="2"/>
  <c r="E520" i="2" s="1"/>
  <c r="D495" i="2"/>
  <c r="D520" i="2" s="1"/>
  <c r="K487" i="2"/>
  <c r="J487" i="2"/>
  <c r="I487" i="2"/>
  <c r="H487" i="2"/>
  <c r="G487" i="2"/>
  <c r="F487" i="2"/>
  <c r="E487" i="2"/>
  <c r="D487" i="2"/>
  <c r="K485" i="2"/>
  <c r="J485" i="2"/>
  <c r="I485" i="2"/>
  <c r="H485" i="2"/>
  <c r="G485" i="2"/>
  <c r="F485" i="2"/>
  <c r="E485" i="2"/>
  <c r="D485" i="2"/>
  <c r="K484" i="2"/>
  <c r="J484" i="2"/>
  <c r="I484" i="2"/>
  <c r="H484" i="2"/>
  <c r="K483" i="2"/>
  <c r="J483" i="2"/>
  <c r="I483" i="2"/>
  <c r="H483" i="2"/>
  <c r="G483" i="2"/>
  <c r="F483" i="2"/>
  <c r="E483" i="2"/>
  <c r="D483" i="2"/>
  <c r="K482" i="2"/>
  <c r="J482" i="2"/>
  <c r="I482" i="2"/>
  <c r="H482" i="2"/>
  <c r="G482" i="2"/>
  <c r="F482" i="2"/>
  <c r="E482" i="2"/>
  <c r="D482" i="2"/>
  <c r="K481" i="2"/>
  <c r="J481" i="2"/>
  <c r="I481" i="2"/>
  <c r="H481" i="2"/>
  <c r="G481" i="2"/>
  <c r="F481" i="2"/>
  <c r="E481" i="2"/>
  <c r="D481" i="2"/>
  <c r="K480" i="2"/>
  <c r="J480" i="2"/>
  <c r="I480" i="2"/>
  <c r="H480" i="2"/>
  <c r="G480" i="2"/>
  <c r="F480" i="2"/>
  <c r="E480" i="2"/>
  <c r="D480" i="2"/>
  <c r="K479" i="2"/>
  <c r="J479" i="2"/>
  <c r="I479" i="2"/>
  <c r="H479" i="2"/>
  <c r="G479" i="2"/>
  <c r="F479" i="2"/>
  <c r="E479" i="2"/>
  <c r="D479" i="2"/>
  <c r="K478" i="2"/>
  <c r="J478" i="2"/>
  <c r="I478" i="2"/>
  <c r="H478" i="2"/>
  <c r="G478" i="2"/>
  <c r="F478" i="2"/>
  <c r="E478" i="2"/>
  <c r="D478" i="2"/>
  <c r="K477" i="2"/>
  <c r="J477" i="2"/>
  <c r="I477" i="2"/>
  <c r="H477" i="2"/>
  <c r="G477" i="2"/>
  <c r="F477" i="2"/>
  <c r="E477" i="2"/>
  <c r="D477" i="2"/>
  <c r="K476" i="2"/>
  <c r="J476" i="2"/>
  <c r="I476" i="2"/>
  <c r="H476" i="2"/>
  <c r="G476" i="2"/>
  <c r="F476" i="2"/>
  <c r="E476" i="2"/>
  <c r="D476" i="2"/>
  <c r="K475" i="2"/>
  <c r="J475" i="2"/>
  <c r="I475" i="2"/>
  <c r="H475" i="2"/>
  <c r="G475" i="2"/>
  <c r="F475" i="2"/>
  <c r="E475" i="2"/>
  <c r="D475" i="2"/>
  <c r="K474" i="2"/>
  <c r="J474" i="2"/>
  <c r="I474" i="2"/>
  <c r="H474" i="2"/>
  <c r="G474" i="2"/>
  <c r="F474" i="2"/>
  <c r="E474" i="2"/>
  <c r="D474" i="2"/>
  <c r="K473" i="2"/>
  <c r="J473" i="2"/>
  <c r="I473" i="2"/>
  <c r="H473" i="2"/>
  <c r="G473" i="2"/>
  <c r="F473" i="2"/>
  <c r="E473" i="2"/>
  <c r="D473" i="2"/>
  <c r="K472" i="2"/>
  <c r="J472" i="2"/>
  <c r="I472" i="2"/>
  <c r="H472" i="2"/>
  <c r="G472" i="2"/>
  <c r="F472" i="2"/>
  <c r="E472" i="2"/>
  <c r="D472" i="2"/>
  <c r="K471" i="2"/>
  <c r="J471" i="2"/>
  <c r="I471" i="2"/>
  <c r="H471" i="2"/>
  <c r="G471" i="2"/>
  <c r="F471" i="2"/>
  <c r="E471" i="2"/>
  <c r="D471" i="2"/>
  <c r="K470" i="2"/>
  <c r="J470" i="2"/>
  <c r="I470" i="2"/>
  <c r="H470" i="2"/>
  <c r="G470" i="2"/>
  <c r="F470" i="2"/>
  <c r="E470" i="2"/>
  <c r="D470" i="2"/>
  <c r="K469" i="2"/>
  <c r="J469" i="2"/>
  <c r="I469" i="2"/>
  <c r="H469" i="2"/>
  <c r="G469" i="2"/>
  <c r="F469" i="2"/>
  <c r="E469" i="2"/>
  <c r="D469" i="2"/>
  <c r="K468" i="2"/>
  <c r="J468" i="2"/>
  <c r="I468" i="2"/>
  <c r="H468" i="2"/>
  <c r="G468" i="2"/>
  <c r="F468" i="2"/>
  <c r="E468" i="2"/>
  <c r="D468" i="2"/>
  <c r="K467" i="2"/>
  <c r="J467" i="2"/>
  <c r="I467" i="2"/>
  <c r="H467" i="2"/>
  <c r="G467" i="2"/>
  <c r="F467" i="2"/>
  <c r="E467" i="2"/>
  <c r="D467" i="2"/>
  <c r="K466" i="2"/>
  <c r="K491" i="2" s="1"/>
  <c r="J466" i="2"/>
  <c r="J491" i="2" s="1"/>
  <c r="I466" i="2"/>
  <c r="I491" i="2" s="1"/>
  <c r="H466" i="2"/>
  <c r="H491" i="2" s="1"/>
  <c r="G466" i="2"/>
  <c r="G491" i="2" s="1"/>
  <c r="F466" i="2"/>
  <c r="F491" i="2" s="1"/>
  <c r="E466" i="2"/>
  <c r="E491" i="2" s="1"/>
  <c r="D466" i="2"/>
  <c r="D491" i="2" s="1"/>
  <c r="K458" i="2"/>
  <c r="J458" i="2"/>
  <c r="I458" i="2"/>
  <c r="H458" i="2"/>
  <c r="G458" i="2"/>
  <c r="F458" i="2"/>
  <c r="E458" i="2"/>
  <c r="D458" i="2"/>
  <c r="K456" i="2"/>
  <c r="J456" i="2"/>
  <c r="I456" i="2"/>
  <c r="H456" i="2"/>
  <c r="G456" i="2"/>
  <c r="F456" i="2"/>
  <c r="E456" i="2"/>
  <c r="D456" i="2"/>
  <c r="K455" i="2"/>
  <c r="J455" i="2"/>
  <c r="I455" i="2"/>
  <c r="H455" i="2"/>
  <c r="K454" i="2"/>
  <c r="J454" i="2"/>
  <c r="I454" i="2"/>
  <c r="H454" i="2"/>
  <c r="G454" i="2"/>
  <c r="F454" i="2"/>
  <c r="E454" i="2"/>
  <c r="D454" i="2"/>
  <c r="K453" i="2"/>
  <c r="J453" i="2"/>
  <c r="I453" i="2"/>
  <c r="H453" i="2"/>
  <c r="G453" i="2"/>
  <c r="F453" i="2"/>
  <c r="E453" i="2"/>
  <c r="D453" i="2"/>
  <c r="K452" i="2"/>
  <c r="J452" i="2"/>
  <c r="I452" i="2"/>
  <c r="H452" i="2"/>
  <c r="G452" i="2"/>
  <c r="F452" i="2"/>
  <c r="E452" i="2"/>
  <c r="D452" i="2"/>
  <c r="K451" i="2"/>
  <c r="J451" i="2"/>
  <c r="I451" i="2"/>
  <c r="H451" i="2"/>
  <c r="G451" i="2"/>
  <c r="F451" i="2"/>
  <c r="E451" i="2"/>
  <c r="D451" i="2"/>
  <c r="K450" i="2"/>
  <c r="J450" i="2"/>
  <c r="I450" i="2"/>
  <c r="H450" i="2"/>
  <c r="G450" i="2"/>
  <c r="F450" i="2"/>
  <c r="E450" i="2"/>
  <c r="D450" i="2"/>
  <c r="K449" i="2"/>
  <c r="J449" i="2"/>
  <c r="I449" i="2"/>
  <c r="H449" i="2"/>
  <c r="G449" i="2"/>
  <c r="F449" i="2"/>
  <c r="E449" i="2"/>
  <c r="D449" i="2"/>
  <c r="K448" i="2"/>
  <c r="J448" i="2"/>
  <c r="I448" i="2"/>
  <c r="H448" i="2"/>
  <c r="G448" i="2"/>
  <c r="F448" i="2"/>
  <c r="E448" i="2"/>
  <c r="D448" i="2"/>
  <c r="K447" i="2"/>
  <c r="J447" i="2"/>
  <c r="I447" i="2"/>
  <c r="H447" i="2"/>
  <c r="G447" i="2"/>
  <c r="F447" i="2"/>
  <c r="E447" i="2"/>
  <c r="D447" i="2"/>
  <c r="K446" i="2"/>
  <c r="J446" i="2"/>
  <c r="I446" i="2"/>
  <c r="H446" i="2"/>
  <c r="G446" i="2"/>
  <c r="F446" i="2"/>
  <c r="E446" i="2"/>
  <c r="D446" i="2"/>
  <c r="K445" i="2"/>
  <c r="J445" i="2"/>
  <c r="I445" i="2"/>
  <c r="H445" i="2"/>
  <c r="G445" i="2"/>
  <c r="F445" i="2"/>
  <c r="E445" i="2"/>
  <c r="D445" i="2"/>
  <c r="K444" i="2"/>
  <c r="J444" i="2"/>
  <c r="I444" i="2"/>
  <c r="H444" i="2"/>
  <c r="G444" i="2"/>
  <c r="F444" i="2"/>
  <c r="E444" i="2"/>
  <c r="D444" i="2"/>
  <c r="K443" i="2"/>
  <c r="J443" i="2"/>
  <c r="I443" i="2"/>
  <c r="H443" i="2"/>
  <c r="G443" i="2"/>
  <c r="F443" i="2"/>
  <c r="E443" i="2"/>
  <c r="D443" i="2"/>
  <c r="K442" i="2"/>
  <c r="J442" i="2"/>
  <c r="I442" i="2"/>
  <c r="H442" i="2"/>
  <c r="G442" i="2"/>
  <c r="F442" i="2"/>
  <c r="E442" i="2"/>
  <c r="D442" i="2"/>
  <c r="K441" i="2"/>
  <c r="J441" i="2"/>
  <c r="I441" i="2"/>
  <c r="H441" i="2"/>
  <c r="G441" i="2"/>
  <c r="F441" i="2"/>
  <c r="E441" i="2"/>
  <c r="D441" i="2"/>
  <c r="K440" i="2"/>
  <c r="J440" i="2"/>
  <c r="I440" i="2"/>
  <c r="H440" i="2"/>
  <c r="G440" i="2"/>
  <c r="F440" i="2"/>
  <c r="E440" i="2"/>
  <c r="D440" i="2"/>
  <c r="K439" i="2"/>
  <c r="J439" i="2"/>
  <c r="I439" i="2"/>
  <c r="H439" i="2"/>
  <c r="G439" i="2"/>
  <c r="F439" i="2"/>
  <c r="E439" i="2"/>
  <c r="D439" i="2"/>
  <c r="K438" i="2"/>
  <c r="J438" i="2"/>
  <c r="I438" i="2"/>
  <c r="H438" i="2"/>
  <c r="G438" i="2"/>
  <c r="F438" i="2"/>
  <c r="E438" i="2"/>
  <c r="D438" i="2"/>
  <c r="K437" i="2"/>
  <c r="K462" i="2" s="1"/>
  <c r="J437" i="2"/>
  <c r="J462" i="2" s="1"/>
  <c r="I437" i="2"/>
  <c r="I462" i="2" s="1"/>
  <c r="H437" i="2"/>
  <c r="H462" i="2" s="1"/>
  <c r="G437" i="2"/>
  <c r="G462" i="2" s="1"/>
  <c r="F437" i="2"/>
  <c r="F462" i="2" s="1"/>
  <c r="E437" i="2"/>
  <c r="E462" i="2" s="1"/>
  <c r="D437" i="2"/>
  <c r="D462" i="2" s="1"/>
  <c r="K429" i="2"/>
  <c r="J429" i="2"/>
  <c r="I429" i="2"/>
  <c r="H429" i="2"/>
  <c r="G429" i="2"/>
  <c r="F429" i="2"/>
  <c r="E429" i="2"/>
  <c r="D429" i="2"/>
  <c r="K427" i="2"/>
  <c r="J427" i="2"/>
  <c r="I427" i="2"/>
  <c r="H427" i="2"/>
  <c r="G427" i="2"/>
  <c r="F427" i="2"/>
  <c r="E427" i="2"/>
  <c r="D427" i="2"/>
  <c r="K426" i="2"/>
  <c r="J426" i="2"/>
  <c r="I426" i="2"/>
  <c r="H426" i="2"/>
  <c r="K425" i="2"/>
  <c r="J425" i="2"/>
  <c r="I425" i="2"/>
  <c r="H425" i="2"/>
  <c r="G425" i="2"/>
  <c r="F425" i="2"/>
  <c r="E425" i="2"/>
  <c r="D425" i="2"/>
  <c r="K424" i="2"/>
  <c r="J424" i="2"/>
  <c r="I424" i="2"/>
  <c r="H424" i="2"/>
  <c r="G424" i="2"/>
  <c r="F424" i="2"/>
  <c r="E424" i="2"/>
  <c r="D424" i="2"/>
  <c r="K423" i="2"/>
  <c r="J423" i="2"/>
  <c r="I423" i="2"/>
  <c r="H423" i="2"/>
  <c r="G423" i="2"/>
  <c r="F423" i="2"/>
  <c r="E423" i="2"/>
  <c r="D423" i="2"/>
  <c r="K422" i="2"/>
  <c r="J422" i="2"/>
  <c r="I422" i="2"/>
  <c r="H422" i="2"/>
  <c r="G422" i="2"/>
  <c r="F422" i="2"/>
  <c r="E422" i="2"/>
  <c r="D422" i="2"/>
  <c r="K421" i="2"/>
  <c r="J421" i="2"/>
  <c r="I421" i="2"/>
  <c r="H421" i="2"/>
  <c r="G421" i="2"/>
  <c r="F421" i="2"/>
  <c r="E421" i="2"/>
  <c r="D421" i="2"/>
  <c r="K420" i="2"/>
  <c r="J420" i="2"/>
  <c r="I420" i="2"/>
  <c r="H420" i="2"/>
  <c r="G420" i="2"/>
  <c r="F420" i="2"/>
  <c r="E420" i="2"/>
  <c r="D420" i="2"/>
  <c r="K419" i="2"/>
  <c r="J419" i="2"/>
  <c r="I419" i="2"/>
  <c r="H419" i="2"/>
  <c r="G419" i="2"/>
  <c r="F419" i="2"/>
  <c r="E419" i="2"/>
  <c r="D419" i="2"/>
  <c r="K418" i="2"/>
  <c r="J418" i="2"/>
  <c r="I418" i="2"/>
  <c r="H418" i="2"/>
  <c r="G418" i="2"/>
  <c r="F418" i="2"/>
  <c r="E418" i="2"/>
  <c r="D418" i="2"/>
  <c r="K417" i="2"/>
  <c r="J417" i="2"/>
  <c r="I417" i="2"/>
  <c r="H417" i="2"/>
  <c r="G417" i="2"/>
  <c r="F417" i="2"/>
  <c r="E417" i="2"/>
  <c r="D417" i="2"/>
  <c r="K416" i="2"/>
  <c r="J416" i="2"/>
  <c r="I416" i="2"/>
  <c r="H416" i="2"/>
  <c r="G416" i="2"/>
  <c r="F416" i="2"/>
  <c r="E416" i="2"/>
  <c r="D416" i="2"/>
  <c r="K415" i="2"/>
  <c r="J415" i="2"/>
  <c r="I415" i="2"/>
  <c r="H415" i="2"/>
  <c r="G415" i="2"/>
  <c r="F415" i="2"/>
  <c r="E415" i="2"/>
  <c r="D415" i="2"/>
  <c r="K414" i="2"/>
  <c r="J414" i="2"/>
  <c r="I414" i="2"/>
  <c r="H414" i="2"/>
  <c r="G414" i="2"/>
  <c r="F414" i="2"/>
  <c r="E414" i="2"/>
  <c r="D414" i="2"/>
  <c r="K413" i="2"/>
  <c r="J413" i="2"/>
  <c r="I413" i="2"/>
  <c r="H413" i="2"/>
  <c r="G413" i="2"/>
  <c r="F413" i="2"/>
  <c r="E413" i="2"/>
  <c r="D413" i="2"/>
  <c r="K412" i="2"/>
  <c r="J412" i="2"/>
  <c r="I412" i="2"/>
  <c r="H412" i="2"/>
  <c r="G412" i="2"/>
  <c r="F412" i="2"/>
  <c r="E412" i="2"/>
  <c r="D412" i="2"/>
  <c r="K411" i="2"/>
  <c r="J411" i="2"/>
  <c r="I411" i="2"/>
  <c r="H411" i="2"/>
  <c r="G411" i="2"/>
  <c r="F411" i="2"/>
  <c r="E411" i="2"/>
  <c r="D411" i="2"/>
  <c r="K410" i="2"/>
  <c r="J410" i="2"/>
  <c r="I410" i="2"/>
  <c r="H410" i="2"/>
  <c r="G410" i="2"/>
  <c r="F410" i="2"/>
  <c r="E410" i="2"/>
  <c r="D410" i="2"/>
  <c r="K409" i="2"/>
  <c r="J409" i="2"/>
  <c r="I409" i="2"/>
  <c r="H409" i="2"/>
  <c r="G409" i="2"/>
  <c r="F409" i="2"/>
  <c r="E409" i="2"/>
  <c r="D409" i="2"/>
  <c r="K408" i="2"/>
  <c r="K433" i="2" s="1"/>
  <c r="J408" i="2"/>
  <c r="J433" i="2" s="1"/>
  <c r="I408" i="2"/>
  <c r="I433" i="2" s="1"/>
  <c r="H408" i="2"/>
  <c r="H433" i="2" s="1"/>
  <c r="G408" i="2"/>
  <c r="G433" i="2" s="1"/>
  <c r="F408" i="2"/>
  <c r="F433" i="2" s="1"/>
  <c r="E408" i="2"/>
  <c r="E433" i="2" s="1"/>
  <c r="D408" i="2"/>
  <c r="D433" i="2" s="1"/>
  <c r="K400" i="2"/>
  <c r="J400" i="2"/>
  <c r="I400" i="2"/>
  <c r="H400" i="2"/>
  <c r="G400" i="2"/>
  <c r="F400" i="2"/>
  <c r="E400" i="2"/>
  <c r="D400" i="2"/>
  <c r="K398" i="2"/>
  <c r="J398" i="2"/>
  <c r="I398" i="2"/>
  <c r="H398" i="2"/>
  <c r="G398" i="2"/>
  <c r="F398" i="2"/>
  <c r="E398" i="2"/>
  <c r="D398" i="2"/>
  <c r="K397" i="2"/>
  <c r="J397" i="2"/>
  <c r="I397" i="2"/>
  <c r="H397" i="2"/>
  <c r="K396" i="2"/>
  <c r="J396" i="2"/>
  <c r="I396" i="2"/>
  <c r="H396" i="2"/>
  <c r="G396" i="2"/>
  <c r="F396" i="2"/>
  <c r="E396" i="2"/>
  <c r="D396" i="2"/>
  <c r="K395" i="2"/>
  <c r="J395" i="2"/>
  <c r="I395" i="2"/>
  <c r="H395" i="2"/>
  <c r="G395" i="2"/>
  <c r="F395" i="2"/>
  <c r="E395" i="2"/>
  <c r="D395" i="2"/>
  <c r="K394" i="2"/>
  <c r="J394" i="2"/>
  <c r="I394" i="2"/>
  <c r="H394" i="2"/>
  <c r="G394" i="2"/>
  <c r="F394" i="2"/>
  <c r="E394" i="2"/>
  <c r="D394" i="2"/>
  <c r="K393" i="2"/>
  <c r="J393" i="2"/>
  <c r="I393" i="2"/>
  <c r="H393" i="2"/>
  <c r="G393" i="2"/>
  <c r="F393" i="2"/>
  <c r="E393" i="2"/>
  <c r="D393" i="2"/>
  <c r="K392" i="2"/>
  <c r="J392" i="2"/>
  <c r="I392" i="2"/>
  <c r="H392" i="2"/>
  <c r="G392" i="2"/>
  <c r="F392" i="2"/>
  <c r="E392" i="2"/>
  <c r="D392" i="2"/>
  <c r="K391" i="2"/>
  <c r="J391" i="2"/>
  <c r="I391" i="2"/>
  <c r="H391" i="2"/>
  <c r="G391" i="2"/>
  <c r="F391" i="2"/>
  <c r="E391" i="2"/>
  <c r="D391" i="2"/>
  <c r="K390" i="2"/>
  <c r="J390" i="2"/>
  <c r="I390" i="2"/>
  <c r="H390" i="2"/>
  <c r="G390" i="2"/>
  <c r="F390" i="2"/>
  <c r="E390" i="2"/>
  <c r="D390" i="2"/>
  <c r="K389" i="2"/>
  <c r="J389" i="2"/>
  <c r="I389" i="2"/>
  <c r="H389" i="2"/>
  <c r="G389" i="2"/>
  <c r="F389" i="2"/>
  <c r="E389" i="2"/>
  <c r="D389" i="2"/>
  <c r="K388" i="2"/>
  <c r="J388" i="2"/>
  <c r="I388" i="2"/>
  <c r="H388" i="2"/>
  <c r="G388" i="2"/>
  <c r="F388" i="2"/>
  <c r="E388" i="2"/>
  <c r="D388" i="2"/>
  <c r="K387" i="2"/>
  <c r="J387" i="2"/>
  <c r="I387" i="2"/>
  <c r="H387" i="2"/>
  <c r="G387" i="2"/>
  <c r="F387" i="2"/>
  <c r="E387" i="2"/>
  <c r="D387" i="2"/>
  <c r="K386" i="2"/>
  <c r="J386" i="2"/>
  <c r="I386" i="2"/>
  <c r="H386" i="2"/>
  <c r="G386" i="2"/>
  <c r="F386" i="2"/>
  <c r="E386" i="2"/>
  <c r="D386" i="2"/>
  <c r="K385" i="2"/>
  <c r="J385" i="2"/>
  <c r="I385" i="2"/>
  <c r="H385" i="2"/>
  <c r="G385" i="2"/>
  <c r="F385" i="2"/>
  <c r="E385" i="2"/>
  <c r="D385" i="2"/>
  <c r="K384" i="2"/>
  <c r="J384" i="2"/>
  <c r="I384" i="2"/>
  <c r="H384" i="2"/>
  <c r="G384" i="2"/>
  <c r="F384" i="2"/>
  <c r="E384" i="2"/>
  <c r="D384" i="2"/>
  <c r="K383" i="2"/>
  <c r="J383" i="2"/>
  <c r="I383" i="2"/>
  <c r="H383" i="2"/>
  <c r="G383" i="2"/>
  <c r="F383" i="2"/>
  <c r="E383" i="2"/>
  <c r="D383" i="2"/>
  <c r="K382" i="2"/>
  <c r="J382" i="2"/>
  <c r="I382" i="2"/>
  <c r="H382" i="2"/>
  <c r="G382" i="2"/>
  <c r="F382" i="2"/>
  <c r="E382" i="2"/>
  <c r="D382" i="2"/>
  <c r="K381" i="2"/>
  <c r="J381" i="2"/>
  <c r="I381" i="2"/>
  <c r="H381" i="2"/>
  <c r="G381" i="2"/>
  <c r="F381" i="2"/>
  <c r="E381" i="2"/>
  <c r="D381" i="2"/>
  <c r="K380" i="2"/>
  <c r="J380" i="2"/>
  <c r="I380" i="2"/>
  <c r="H380" i="2"/>
  <c r="G380" i="2"/>
  <c r="F380" i="2"/>
  <c r="E380" i="2"/>
  <c r="D380" i="2"/>
  <c r="K379" i="2"/>
  <c r="K404" i="2" s="1"/>
  <c r="J379" i="2"/>
  <c r="J404" i="2" s="1"/>
  <c r="I379" i="2"/>
  <c r="I404" i="2" s="1"/>
  <c r="H379" i="2"/>
  <c r="H404" i="2" s="1"/>
  <c r="G379" i="2"/>
  <c r="G404" i="2" s="1"/>
  <c r="F379" i="2"/>
  <c r="F404" i="2" s="1"/>
  <c r="E379" i="2"/>
  <c r="E404" i="2" s="1"/>
  <c r="D379" i="2"/>
  <c r="D404" i="2" s="1"/>
  <c r="K371" i="2"/>
  <c r="J371" i="2"/>
  <c r="I371" i="2"/>
  <c r="H371" i="2"/>
  <c r="G371" i="2"/>
  <c r="F371" i="2"/>
  <c r="E371" i="2"/>
  <c r="D371" i="2"/>
  <c r="K369" i="2"/>
  <c r="J369" i="2"/>
  <c r="I369" i="2"/>
  <c r="H369" i="2"/>
  <c r="G369" i="2"/>
  <c r="F369" i="2"/>
  <c r="E369" i="2"/>
  <c r="D369" i="2"/>
  <c r="K368" i="2"/>
  <c r="J368" i="2"/>
  <c r="I368" i="2"/>
  <c r="H368" i="2"/>
  <c r="G368" i="2"/>
  <c r="F368" i="2"/>
  <c r="E368" i="2"/>
  <c r="D368" i="2"/>
  <c r="K367" i="2"/>
  <c r="J367" i="2"/>
  <c r="I367" i="2"/>
  <c r="H367" i="2"/>
  <c r="G367" i="2"/>
  <c r="F367" i="2"/>
  <c r="E367" i="2"/>
  <c r="D367" i="2"/>
  <c r="K366" i="2"/>
  <c r="J366" i="2"/>
  <c r="I366" i="2"/>
  <c r="H366" i="2"/>
  <c r="G366" i="2"/>
  <c r="F366" i="2"/>
  <c r="E366" i="2"/>
  <c r="D366" i="2"/>
  <c r="K365" i="2"/>
  <c r="J365" i="2"/>
  <c r="I365" i="2"/>
  <c r="H365" i="2"/>
  <c r="G365" i="2"/>
  <c r="F365" i="2"/>
  <c r="E365" i="2"/>
  <c r="D365" i="2"/>
  <c r="K364" i="2"/>
  <c r="J364" i="2"/>
  <c r="I364" i="2"/>
  <c r="H364" i="2"/>
  <c r="G364" i="2"/>
  <c r="F364" i="2"/>
  <c r="E364" i="2"/>
  <c r="D364" i="2"/>
  <c r="K363" i="2"/>
  <c r="J363" i="2"/>
  <c r="I363" i="2"/>
  <c r="H363" i="2"/>
  <c r="G363" i="2"/>
  <c r="F363" i="2"/>
  <c r="E363" i="2"/>
  <c r="D363" i="2"/>
  <c r="K362" i="2"/>
  <c r="J362" i="2"/>
  <c r="I362" i="2"/>
  <c r="H362" i="2"/>
  <c r="G362" i="2"/>
  <c r="F362" i="2"/>
  <c r="E362" i="2"/>
  <c r="D362" i="2"/>
  <c r="K361" i="2"/>
  <c r="J361" i="2"/>
  <c r="I361" i="2"/>
  <c r="H361" i="2"/>
  <c r="G361" i="2"/>
  <c r="F361" i="2"/>
  <c r="E361" i="2"/>
  <c r="D361" i="2"/>
  <c r="K360" i="2"/>
  <c r="J360" i="2"/>
  <c r="I360" i="2"/>
  <c r="H360" i="2"/>
  <c r="G360" i="2"/>
  <c r="F360" i="2"/>
  <c r="E360" i="2"/>
  <c r="D360" i="2"/>
  <c r="K359" i="2"/>
  <c r="J359" i="2"/>
  <c r="I359" i="2"/>
  <c r="H359" i="2"/>
  <c r="G359" i="2"/>
  <c r="F359" i="2"/>
  <c r="E359" i="2"/>
  <c r="D359" i="2"/>
  <c r="K358" i="2"/>
  <c r="J358" i="2"/>
  <c r="I358" i="2"/>
  <c r="H358" i="2"/>
  <c r="G358" i="2"/>
  <c r="F358" i="2"/>
  <c r="E358" i="2"/>
  <c r="D358" i="2"/>
  <c r="K357" i="2"/>
  <c r="J357" i="2"/>
  <c r="I357" i="2"/>
  <c r="H357" i="2"/>
  <c r="G357" i="2"/>
  <c r="F357" i="2"/>
  <c r="E357" i="2"/>
  <c r="D357" i="2"/>
  <c r="K356" i="2"/>
  <c r="J356" i="2"/>
  <c r="I356" i="2"/>
  <c r="H356" i="2"/>
  <c r="G356" i="2"/>
  <c r="F356" i="2"/>
  <c r="E356" i="2"/>
  <c r="D356" i="2"/>
  <c r="K355" i="2"/>
  <c r="J355" i="2"/>
  <c r="I355" i="2"/>
  <c r="H355" i="2"/>
  <c r="G355" i="2"/>
  <c r="F355" i="2"/>
  <c r="E355" i="2"/>
  <c r="D355" i="2"/>
  <c r="K354" i="2"/>
  <c r="J354" i="2"/>
  <c r="I354" i="2"/>
  <c r="H354" i="2"/>
  <c r="G354" i="2"/>
  <c r="F354" i="2"/>
  <c r="E354" i="2"/>
  <c r="D354" i="2"/>
  <c r="K353" i="2"/>
  <c r="J353" i="2"/>
  <c r="I353" i="2"/>
  <c r="H353" i="2"/>
  <c r="G353" i="2"/>
  <c r="F353" i="2"/>
  <c r="E353" i="2"/>
  <c r="D353" i="2"/>
  <c r="K352" i="2"/>
  <c r="J352" i="2"/>
  <c r="I352" i="2"/>
  <c r="H352" i="2"/>
  <c r="G352" i="2"/>
  <c r="F352" i="2"/>
  <c r="E352" i="2"/>
  <c r="D352" i="2"/>
  <c r="K351" i="2"/>
  <c r="J351" i="2"/>
  <c r="I351" i="2"/>
  <c r="H351" i="2"/>
  <c r="G351" i="2"/>
  <c r="F351" i="2"/>
  <c r="E351" i="2"/>
  <c r="D351" i="2"/>
  <c r="K350" i="2"/>
  <c r="K375" i="2" s="1"/>
  <c r="J350" i="2"/>
  <c r="J375" i="2" s="1"/>
  <c r="I350" i="2"/>
  <c r="I375" i="2" s="1"/>
  <c r="H350" i="2"/>
  <c r="H375" i="2" s="1"/>
  <c r="G350" i="2"/>
  <c r="G375" i="2" s="1"/>
  <c r="F350" i="2"/>
  <c r="F375" i="2" s="1"/>
  <c r="E350" i="2"/>
  <c r="E375" i="2" s="1"/>
  <c r="D350" i="2"/>
  <c r="D375" i="2" s="1"/>
  <c r="K342" i="2"/>
  <c r="J342" i="2"/>
  <c r="I342" i="2"/>
  <c r="H342" i="2"/>
  <c r="G342" i="2"/>
  <c r="F342" i="2"/>
  <c r="E342" i="2"/>
  <c r="D342" i="2"/>
  <c r="K340" i="2"/>
  <c r="J340" i="2"/>
  <c r="I340" i="2"/>
  <c r="H340" i="2"/>
  <c r="G340" i="2"/>
  <c r="F340" i="2"/>
  <c r="E340" i="2"/>
  <c r="D340" i="2"/>
  <c r="K339" i="2"/>
  <c r="J339" i="2"/>
  <c r="I339" i="2"/>
  <c r="H339" i="2"/>
  <c r="G339" i="2"/>
  <c r="F339" i="2"/>
  <c r="E339" i="2"/>
  <c r="D339" i="2"/>
  <c r="K338" i="2"/>
  <c r="J338" i="2"/>
  <c r="I338" i="2"/>
  <c r="H338" i="2"/>
  <c r="G338" i="2"/>
  <c r="F338" i="2"/>
  <c r="E338" i="2"/>
  <c r="D338" i="2"/>
  <c r="K337" i="2"/>
  <c r="J337" i="2"/>
  <c r="I337" i="2"/>
  <c r="H337" i="2"/>
  <c r="G337" i="2"/>
  <c r="F337" i="2"/>
  <c r="E337" i="2"/>
  <c r="D337" i="2"/>
  <c r="K336" i="2"/>
  <c r="J336" i="2"/>
  <c r="I336" i="2"/>
  <c r="H336" i="2"/>
  <c r="G336" i="2"/>
  <c r="F336" i="2"/>
  <c r="E336" i="2"/>
  <c r="D336" i="2"/>
  <c r="K335" i="2"/>
  <c r="J335" i="2"/>
  <c r="I335" i="2"/>
  <c r="H335" i="2"/>
  <c r="G335" i="2"/>
  <c r="F335" i="2"/>
  <c r="E335" i="2"/>
  <c r="D335" i="2"/>
  <c r="K334" i="2"/>
  <c r="J334" i="2"/>
  <c r="I334" i="2"/>
  <c r="H334" i="2"/>
  <c r="G334" i="2"/>
  <c r="F334" i="2"/>
  <c r="E334" i="2"/>
  <c r="D334" i="2"/>
  <c r="K333" i="2"/>
  <c r="J333" i="2"/>
  <c r="I333" i="2"/>
  <c r="H333" i="2"/>
  <c r="G333" i="2"/>
  <c r="F333" i="2"/>
  <c r="E333" i="2"/>
  <c r="D333" i="2"/>
  <c r="K332" i="2"/>
  <c r="J332" i="2"/>
  <c r="I332" i="2"/>
  <c r="H332" i="2"/>
  <c r="G332" i="2"/>
  <c r="F332" i="2"/>
  <c r="E332" i="2"/>
  <c r="D332" i="2"/>
  <c r="K331" i="2"/>
  <c r="J331" i="2"/>
  <c r="I331" i="2"/>
  <c r="H331" i="2"/>
  <c r="G331" i="2"/>
  <c r="F331" i="2"/>
  <c r="E331" i="2"/>
  <c r="D331" i="2"/>
  <c r="K330" i="2"/>
  <c r="J330" i="2"/>
  <c r="I330" i="2"/>
  <c r="H330" i="2"/>
  <c r="G330" i="2"/>
  <c r="F330" i="2"/>
  <c r="E330" i="2"/>
  <c r="D330" i="2"/>
  <c r="K329" i="2"/>
  <c r="J329" i="2"/>
  <c r="I329" i="2"/>
  <c r="H329" i="2"/>
  <c r="G329" i="2"/>
  <c r="F329" i="2"/>
  <c r="E329" i="2"/>
  <c r="D329" i="2"/>
  <c r="K328" i="2"/>
  <c r="J328" i="2"/>
  <c r="I328" i="2"/>
  <c r="H328" i="2"/>
  <c r="G328" i="2"/>
  <c r="F328" i="2"/>
  <c r="E328" i="2"/>
  <c r="D328" i="2"/>
  <c r="K327" i="2"/>
  <c r="J327" i="2"/>
  <c r="I327" i="2"/>
  <c r="H327" i="2"/>
  <c r="G327" i="2"/>
  <c r="F327" i="2"/>
  <c r="E327" i="2"/>
  <c r="D327" i="2"/>
  <c r="K326" i="2"/>
  <c r="J326" i="2"/>
  <c r="I326" i="2"/>
  <c r="H326" i="2"/>
  <c r="G326" i="2"/>
  <c r="F326" i="2"/>
  <c r="E326" i="2"/>
  <c r="D326" i="2"/>
  <c r="K325" i="2"/>
  <c r="J325" i="2"/>
  <c r="I325" i="2"/>
  <c r="H325" i="2"/>
  <c r="G325" i="2"/>
  <c r="F325" i="2"/>
  <c r="E325" i="2"/>
  <c r="D325" i="2"/>
  <c r="K324" i="2"/>
  <c r="J324" i="2"/>
  <c r="I324" i="2"/>
  <c r="H324" i="2"/>
  <c r="G324" i="2"/>
  <c r="F324" i="2"/>
  <c r="E324" i="2"/>
  <c r="D324" i="2"/>
  <c r="K323" i="2"/>
  <c r="J323" i="2"/>
  <c r="I323" i="2"/>
  <c r="H323" i="2"/>
  <c r="G323" i="2"/>
  <c r="F323" i="2"/>
  <c r="E323" i="2"/>
  <c r="D323" i="2"/>
  <c r="K322" i="2"/>
  <c r="J322" i="2"/>
  <c r="I322" i="2"/>
  <c r="H322" i="2"/>
  <c r="G322" i="2"/>
  <c r="F322" i="2"/>
  <c r="E322" i="2"/>
  <c r="D322" i="2"/>
  <c r="K321" i="2"/>
  <c r="J321" i="2"/>
  <c r="I321" i="2"/>
  <c r="H321" i="2"/>
  <c r="G321" i="2"/>
  <c r="F321" i="2"/>
  <c r="E321" i="2"/>
  <c r="D321" i="2"/>
  <c r="K313" i="2"/>
  <c r="J313" i="2"/>
  <c r="I313" i="2"/>
  <c r="H313" i="2"/>
  <c r="G313" i="2"/>
  <c r="F313" i="2"/>
  <c r="E313" i="2"/>
  <c r="D313" i="2"/>
  <c r="K311" i="2"/>
  <c r="J311" i="2"/>
  <c r="I311" i="2"/>
  <c r="H311" i="2"/>
  <c r="G311" i="2"/>
  <c r="F311" i="2"/>
  <c r="E311" i="2"/>
  <c r="D311" i="2"/>
  <c r="K310" i="2"/>
  <c r="J310" i="2"/>
  <c r="I310" i="2"/>
  <c r="H310" i="2"/>
  <c r="G310" i="2"/>
  <c r="F310" i="2"/>
  <c r="E310" i="2"/>
  <c r="D310" i="2"/>
  <c r="K309" i="2"/>
  <c r="J309" i="2"/>
  <c r="I309" i="2"/>
  <c r="H309" i="2"/>
  <c r="G309" i="2"/>
  <c r="F309" i="2"/>
  <c r="E309" i="2"/>
  <c r="D309" i="2"/>
  <c r="K308" i="2"/>
  <c r="J308" i="2"/>
  <c r="I308" i="2"/>
  <c r="H308" i="2"/>
  <c r="G308" i="2"/>
  <c r="F308" i="2"/>
  <c r="E308" i="2"/>
  <c r="D308" i="2"/>
  <c r="K307" i="2"/>
  <c r="J307" i="2"/>
  <c r="I307" i="2"/>
  <c r="H307" i="2"/>
  <c r="G307" i="2"/>
  <c r="F307" i="2"/>
  <c r="E307" i="2"/>
  <c r="D307" i="2"/>
  <c r="K306" i="2"/>
  <c r="J306" i="2"/>
  <c r="I306" i="2"/>
  <c r="H306" i="2"/>
  <c r="G306" i="2"/>
  <c r="F306" i="2"/>
  <c r="E306" i="2"/>
  <c r="D306" i="2"/>
  <c r="K305" i="2"/>
  <c r="J305" i="2"/>
  <c r="I305" i="2"/>
  <c r="H305" i="2"/>
  <c r="G305" i="2"/>
  <c r="F305" i="2"/>
  <c r="E305" i="2"/>
  <c r="D305" i="2"/>
  <c r="K304" i="2"/>
  <c r="J304" i="2"/>
  <c r="I304" i="2"/>
  <c r="H304" i="2"/>
  <c r="G304" i="2"/>
  <c r="F304" i="2"/>
  <c r="E304" i="2"/>
  <c r="D304" i="2"/>
  <c r="K303" i="2"/>
  <c r="J303" i="2"/>
  <c r="I303" i="2"/>
  <c r="H303" i="2"/>
  <c r="G303" i="2"/>
  <c r="F303" i="2"/>
  <c r="E303" i="2"/>
  <c r="D303" i="2"/>
  <c r="K302" i="2"/>
  <c r="J302" i="2"/>
  <c r="I302" i="2"/>
  <c r="H302" i="2"/>
  <c r="G302" i="2"/>
  <c r="F302" i="2"/>
  <c r="E302" i="2"/>
  <c r="D302" i="2"/>
  <c r="K301" i="2"/>
  <c r="J301" i="2"/>
  <c r="I301" i="2"/>
  <c r="H301" i="2"/>
  <c r="G301" i="2"/>
  <c r="F301" i="2"/>
  <c r="E301" i="2"/>
  <c r="D301" i="2"/>
  <c r="K300" i="2"/>
  <c r="J300" i="2"/>
  <c r="I300" i="2"/>
  <c r="H300" i="2"/>
  <c r="G300" i="2"/>
  <c r="F300" i="2"/>
  <c r="E300" i="2"/>
  <c r="D300" i="2"/>
  <c r="K299" i="2"/>
  <c r="J299" i="2"/>
  <c r="I299" i="2"/>
  <c r="H299" i="2"/>
  <c r="G299" i="2"/>
  <c r="F299" i="2"/>
  <c r="E299" i="2"/>
  <c r="D299" i="2"/>
  <c r="K298" i="2"/>
  <c r="J298" i="2"/>
  <c r="I298" i="2"/>
  <c r="H298" i="2"/>
  <c r="G298" i="2"/>
  <c r="F298" i="2"/>
  <c r="E298" i="2"/>
  <c r="D298" i="2"/>
  <c r="K297" i="2"/>
  <c r="J297" i="2"/>
  <c r="I297" i="2"/>
  <c r="H297" i="2"/>
  <c r="G297" i="2"/>
  <c r="F297" i="2"/>
  <c r="E297" i="2"/>
  <c r="D297" i="2"/>
  <c r="K296" i="2"/>
  <c r="J296" i="2"/>
  <c r="I296" i="2"/>
  <c r="H296" i="2"/>
  <c r="G296" i="2"/>
  <c r="F296" i="2"/>
  <c r="E296" i="2"/>
  <c r="D296" i="2"/>
  <c r="K295" i="2"/>
  <c r="J295" i="2"/>
  <c r="I295" i="2"/>
  <c r="H295" i="2"/>
  <c r="G295" i="2"/>
  <c r="F295" i="2"/>
  <c r="E295" i="2"/>
  <c r="D295" i="2"/>
  <c r="K294" i="2"/>
  <c r="J294" i="2"/>
  <c r="I294" i="2"/>
  <c r="H294" i="2"/>
  <c r="G294" i="2"/>
  <c r="F294" i="2"/>
  <c r="E294" i="2"/>
  <c r="D294" i="2"/>
  <c r="K293" i="2"/>
  <c r="J293" i="2"/>
  <c r="I293" i="2"/>
  <c r="H293" i="2"/>
  <c r="G293" i="2"/>
  <c r="F293" i="2"/>
  <c r="E293" i="2"/>
  <c r="D293" i="2"/>
  <c r="K292" i="2"/>
  <c r="K317" i="2" s="1"/>
  <c r="J292" i="2"/>
  <c r="J317" i="2" s="1"/>
  <c r="I292" i="2"/>
  <c r="I317" i="2" s="1"/>
  <c r="H292" i="2"/>
  <c r="H317" i="2" s="1"/>
  <c r="G292" i="2"/>
  <c r="G317" i="2" s="1"/>
  <c r="F292" i="2"/>
  <c r="F317" i="2" s="1"/>
  <c r="E292" i="2"/>
  <c r="E317" i="2" s="1"/>
  <c r="D292" i="2"/>
  <c r="D317" i="2" s="1"/>
  <c r="K284" i="2"/>
  <c r="J284" i="2"/>
  <c r="I284" i="2"/>
  <c r="H284" i="2"/>
  <c r="G284" i="2"/>
  <c r="F284" i="2"/>
  <c r="E284" i="2"/>
  <c r="D284" i="2"/>
  <c r="K282" i="2"/>
  <c r="J282" i="2"/>
  <c r="I282" i="2"/>
  <c r="H282" i="2"/>
  <c r="G282" i="2"/>
  <c r="F282" i="2"/>
  <c r="E282" i="2"/>
  <c r="D282" i="2"/>
  <c r="K281" i="2"/>
  <c r="J281" i="2"/>
  <c r="I281" i="2"/>
  <c r="H281" i="2"/>
  <c r="G281" i="2"/>
  <c r="F281" i="2"/>
  <c r="E281" i="2"/>
  <c r="D281" i="2"/>
  <c r="K280" i="2"/>
  <c r="J280" i="2"/>
  <c r="I280" i="2"/>
  <c r="H280" i="2"/>
  <c r="G280" i="2"/>
  <c r="F280" i="2"/>
  <c r="E280" i="2"/>
  <c r="D280" i="2"/>
  <c r="K279" i="2"/>
  <c r="J279" i="2"/>
  <c r="I279" i="2"/>
  <c r="H279" i="2"/>
  <c r="G279" i="2"/>
  <c r="F279" i="2"/>
  <c r="E279" i="2"/>
  <c r="D279" i="2"/>
  <c r="K278" i="2"/>
  <c r="J278" i="2"/>
  <c r="I278" i="2"/>
  <c r="H278" i="2"/>
  <c r="G278" i="2"/>
  <c r="F278" i="2"/>
  <c r="E278" i="2"/>
  <c r="D278" i="2"/>
  <c r="K277" i="2"/>
  <c r="J277" i="2"/>
  <c r="I277" i="2"/>
  <c r="H277" i="2"/>
  <c r="G277" i="2"/>
  <c r="F277" i="2"/>
  <c r="E277" i="2"/>
  <c r="D277" i="2"/>
  <c r="K276" i="2"/>
  <c r="J276" i="2"/>
  <c r="I276" i="2"/>
  <c r="H276" i="2"/>
  <c r="G276" i="2"/>
  <c r="F276" i="2"/>
  <c r="E276" i="2"/>
  <c r="D276" i="2"/>
  <c r="K275" i="2"/>
  <c r="J275" i="2"/>
  <c r="I275" i="2"/>
  <c r="H275" i="2"/>
  <c r="G275" i="2"/>
  <c r="F275" i="2"/>
  <c r="E275" i="2"/>
  <c r="D275" i="2"/>
  <c r="K274" i="2"/>
  <c r="J274" i="2"/>
  <c r="I274" i="2"/>
  <c r="H274" i="2"/>
  <c r="G274" i="2"/>
  <c r="F274" i="2"/>
  <c r="E274" i="2"/>
  <c r="D274" i="2"/>
  <c r="K273" i="2"/>
  <c r="J273" i="2"/>
  <c r="I273" i="2"/>
  <c r="H273" i="2"/>
  <c r="G273" i="2"/>
  <c r="F273" i="2"/>
  <c r="E273" i="2"/>
  <c r="D273" i="2"/>
  <c r="K272" i="2"/>
  <c r="J272" i="2"/>
  <c r="I272" i="2"/>
  <c r="H272" i="2"/>
  <c r="G272" i="2"/>
  <c r="F272" i="2"/>
  <c r="E272" i="2"/>
  <c r="D272" i="2"/>
  <c r="K271" i="2"/>
  <c r="J271" i="2"/>
  <c r="I271" i="2"/>
  <c r="H271" i="2"/>
  <c r="G271" i="2"/>
  <c r="F271" i="2"/>
  <c r="E271" i="2"/>
  <c r="D271" i="2"/>
  <c r="K270" i="2"/>
  <c r="J270" i="2"/>
  <c r="I270" i="2"/>
  <c r="H270" i="2"/>
  <c r="G270" i="2"/>
  <c r="F270" i="2"/>
  <c r="E270" i="2"/>
  <c r="D270" i="2"/>
  <c r="K269" i="2"/>
  <c r="J269" i="2"/>
  <c r="I269" i="2"/>
  <c r="H269" i="2"/>
  <c r="G269" i="2"/>
  <c r="F269" i="2"/>
  <c r="E269" i="2"/>
  <c r="D269" i="2"/>
  <c r="K268" i="2"/>
  <c r="J268" i="2"/>
  <c r="I268" i="2"/>
  <c r="H268" i="2"/>
  <c r="G268" i="2"/>
  <c r="F268" i="2"/>
  <c r="E268" i="2"/>
  <c r="D268" i="2"/>
  <c r="K267" i="2"/>
  <c r="J267" i="2"/>
  <c r="I267" i="2"/>
  <c r="H267" i="2"/>
  <c r="G267" i="2"/>
  <c r="F267" i="2"/>
  <c r="E267" i="2"/>
  <c r="D267" i="2"/>
  <c r="K266" i="2"/>
  <c r="J266" i="2"/>
  <c r="I266" i="2"/>
  <c r="H266" i="2"/>
  <c r="G266" i="2"/>
  <c r="F266" i="2"/>
  <c r="E266" i="2"/>
  <c r="D266" i="2"/>
  <c r="K265" i="2"/>
  <c r="J265" i="2"/>
  <c r="I265" i="2"/>
  <c r="H265" i="2"/>
  <c r="G265" i="2"/>
  <c r="F265" i="2"/>
  <c r="E265" i="2"/>
  <c r="D265" i="2"/>
  <c r="K264" i="2"/>
  <c r="J264" i="2"/>
  <c r="I264" i="2"/>
  <c r="H264" i="2"/>
  <c r="G264" i="2"/>
  <c r="F264" i="2"/>
  <c r="E264" i="2"/>
  <c r="D264" i="2"/>
  <c r="K263" i="2"/>
  <c r="K288" i="2" s="1"/>
  <c r="J263" i="2"/>
  <c r="J288" i="2" s="1"/>
  <c r="I263" i="2"/>
  <c r="I288" i="2" s="1"/>
  <c r="H263" i="2"/>
  <c r="H288" i="2" s="1"/>
  <c r="G263" i="2"/>
  <c r="G288" i="2" s="1"/>
  <c r="F263" i="2"/>
  <c r="F288" i="2" s="1"/>
  <c r="E263" i="2"/>
  <c r="E288" i="2" s="1"/>
  <c r="D263" i="2"/>
  <c r="D288" i="2" s="1"/>
  <c r="K255" i="2"/>
  <c r="J255" i="2"/>
  <c r="I255" i="2"/>
  <c r="H255" i="2"/>
  <c r="G255" i="2"/>
  <c r="F255" i="2"/>
  <c r="E255" i="2"/>
  <c r="D255" i="2"/>
  <c r="K253" i="2"/>
  <c r="J253" i="2"/>
  <c r="I253" i="2"/>
  <c r="H253" i="2"/>
  <c r="G253" i="2"/>
  <c r="F253" i="2"/>
  <c r="E253" i="2"/>
  <c r="D253" i="2"/>
  <c r="K252" i="2"/>
  <c r="J252" i="2"/>
  <c r="I252" i="2"/>
  <c r="H252" i="2"/>
  <c r="G252" i="2"/>
  <c r="F252" i="2"/>
  <c r="E252" i="2"/>
  <c r="D252" i="2"/>
  <c r="K251" i="2"/>
  <c r="J251" i="2"/>
  <c r="I251" i="2"/>
  <c r="H251" i="2"/>
  <c r="G251" i="2"/>
  <c r="F251" i="2"/>
  <c r="E251" i="2"/>
  <c r="D251" i="2"/>
  <c r="K250" i="2"/>
  <c r="J250" i="2"/>
  <c r="I250" i="2"/>
  <c r="H250" i="2"/>
  <c r="G250" i="2"/>
  <c r="F250" i="2"/>
  <c r="E250" i="2"/>
  <c r="D250" i="2"/>
  <c r="K249" i="2"/>
  <c r="J249" i="2"/>
  <c r="I249" i="2"/>
  <c r="H249" i="2"/>
  <c r="G249" i="2"/>
  <c r="F249" i="2"/>
  <c r="E249" i="2"/>
  <c r="D249" i="2"/>
  <c r="K248" i="2"/>
  <c r="J248" i="2"/>
  <c r="I248" i="2"/>
  <c r="H248" i="2"/>
  <c r="G248" i="2"/>
  <c r="F248" i="2"/>
  <c r="E248" i="2"/>
  <c r="D248" i="2"/>
  <c r="K247" i="2"/>
  <c r="J247" i="2"/>
  <c r="I247" i="2"/>
  <c r="H247" i="2"/>
  <c r="G247" i="2"/>
  <c r="F247" i="2"/>
  <c r="E247" i="2"/>
  <c r="D247" i="2"/>
  <c r="K246" i="2"/>
  <c r="J246" i="2"/>
  <c r="I246" i="2"/>
  <c r="H246" i="2"/>
  <c r="G246" i="2"/>
  <c r="F246" i="2"/>
  <c r="E246" i="2"/>
  <c r="D246" i="2"/>
  <c r="K245" i="2"/>
  <c r="J245" i="2"/>
  <c r="I245" i="2"/>
  <c r="H245" i="2"/>
  <c r="G245" i="2"/>
  <c r="F245" i="2"/>
  <c r="E245" i="2"/>
  <c r="D245" i="2"/>
  <c r="K244" i="2"/>
  <c r="J244" i="2"/>
  <c r="I244" i="2"/>
  <c r="H244" i="2"/>
  <c r="G244" i="2"/>
  <c r="F244" i="2"/>
  <c r="E244" i="2"/>
  <c r="D244" i="2"/>
  <c r="K243" i="2"/>
  <c r="J243" i="2"/>
  <c r="I243" i="2"/>
  <c r="H243" i="2"/>
  <c r="G243" i="2"/>
  <c r="F243" i="2"/>
  <c r="E243" i="2"/>
  <c r="D243" i="2"/>
  <c r="K242" i="2"/>
  <c r="J242" i="2"/>
  <c r="I242" i="2"/>
  <c r="H242" i="2"/>
  <c r="G242" i="2"/>
  <c r="F242" i="2"/>
  <c r="E242" i="2"/>
  <c r="D242" i="2"/>
  <c r="K241" i="2"/>
  <c r="J241" i="2"/>
  <c r="I241" i="2"/>
  <c r="H241" i="2"/>
  <c r="G241" i="2"/>
  <c r="F241" i="2"/>
  <c r="E241" i="2"/>
  <c r="D241" i="2"/>
  <c r="K240" i="2"/>
  <c r="J240" i="2"/>
  <c r="I240" i="2"/>
  <c r="H240" i="2"/>
  <c r="G240" i="2"/>
  <c r="F240" i="2"/>
  <c r="E240" i="2"/>
  <c r="D240" i="2"/>
  <c r="K239" i="2"/>
  <c r="J239" i="2"/>
  <c r="I239" i="2"/>
  <c r="H239" i="2"/>
  <c r="G239" i="2"/>
  <c r="F239" i="2"/>
  <c r="E239" i="2"/>
  <c r="D239" i="2"/>
  <c r="K238" i="2"/>
  <c r="J238" i="2"/>
  <c r="I238" i="2"/>
  <c r="H238" i="2"/>
  <c r="G238" i="2"/>
  <c r="F238" i="2"/>
  <c r="E238" i="2"/>
  <c r="D238" i="2"/>
  <c r="K237" i="2"/>
  <c r="J237" i="2"/>
  <c r="I237" i="2"/>
  <c r="H237" i="2"/>
  <c r="G237" i="2"/>
  <c r="F237" i="2"/>
  <c r="E237" i="2"/>
  <c r="D237" i="2"/>
  <c r="K236" i="2"/>
  <c r="J236" i="2"/>
  <c r="I236" i="2"/>
  <c r="H236" i="2"/>
  <c r="G236" i="2"/>
  <c r="F236" i="2"/>
  <c r="E236" i="2"/>
  <c r="D236" i="2"/>
  <c r="K235" i="2"/>
  <c r="J235" i="2"/>
  <c r="I235" i="2"/>
  <c r="H235" i="2"/>
  <c r="G235" i="2"/>
  <c r="F235" i="2"/>
  <c r="E235" i="2"/>
  <c r="D235" i="2"/>
  <c r="K234" i="2"/>
  <c r="K259" i="2" s="1"/>
  <c r="J234" i="2"/>
  <c r="J259" i="2" s="1"/>
  <c r="I234" i="2"/>
  <c r="I259" i="2" s="1"/>
  <c r="H234" i="2"/>
  <c r="H259" i="2" s="1"/>
  <c r="G234" i="2"/>
  <c r="G259" i="2" s="1"/>
  <c r="F234" i="2"/>
  <c r="F259" i="2" s="1"/>
  <c r="E234" i="2"/>
  <c r="E259" i="2" s="1"/>
  <c r="D234" i="2"/>
  <c r="D259" i="2" s="1"/>
  <c r="K226" i="2"/>
  <c r="J226" i="2"/>
  <c r="I226" i="2"/>
  <c r="H226" i="2"/>
  <c r="G226" i="2"/>
  <c r="F226" i="2"/>
  <c r="E226" i="2"/>
  <c r="D226" i="2"/>
  <c r="K224" i="2"/>
  <c r="J224" i="2"/>
  <c r="I224" i="2"/>
  <c r="H224" i="2"/>
  <c r="G224" i="2"/>
  <c r="F224" i="2"/>
  <c r="E224" i="2"/>
  <c r="D224" i="2"/>
  <c r="K223" i="2"/>
  <c r="J223" i="2"/>
  <c r="I223" i="2"/>
  <c r="H223" i="2"/>
  <c r="K222" i="2"/>
  <c r="J222" i="2"/>
  <c r="I222" i="2"/>
  <c r="H222" i="2"/>
  <c r="G222" i="2"/>
  <c r="F222" i="2"/>
  <c r="E222" i="2"/>
  <c r="D222" i="2"/>
  <c r="K221" i="2"/>
  <c r="J221" i="2"/>
  <c r="I221" i="2"/>
  <c r="H221" i="2"/>
  <c r="G221" i="2"/>
  <c r="F221" i="2"/>
  <c r="E221" i="2"/>
  <c r="D221" i="2"/>
  <c r="K220" i="2"/>
  <c r="J220" i="2"/>
  <c r="I220" i="2"/>
  <c r="H220" i="2"/>
  <c r="G220" i="2"/>
  <c r="F220" i="2"/>
  <c r="E220" i="2"/>
  <c r="D220" i="2"/>
  <c r="K219" i="2"/>
  <c r="J219" i="2"/>
  <c r="I219" i="2"/>
  <c r="H219" i="2"/>
  <c r="G219" i="2"/>
  <c r="F219" i="2"/>
  <c r="E219" i="2"/>
  <c r="D219" i="2"/>
  <c r="K218" i="2"/>
  <c r="J218" i="2"/>
  <c r="I218" i="2"/>
  <c r="H218" i="2"/>
  <c r="G218" i="2"/>
  <c r="F218" i="2"/>
  <c r="E218" i="2"/>
  <c r="D218" i="2"/>
  <c r="K217" i="2"/>
  <c r="J217" i="2"/>
  <c r="I217" i="2"/>
  <c r="H217" i="2"/>
  <c r="G217" i="2"/>
  <c r="F217" i="2"/>
  <c r="E217" i="2"/>
  <c r="D217" i="2"/>
  <c r="K216" i="2"/>
  <c r="J216" i="2"/>
  <c r="I216" i="2"/>
  <c r="H216" i="2"/>
  <c r="G216" i="2"/>
  <c r="F216" i="2"/>
  <c r="E216" i="2"/>
  <c r="D216" i="2"/>
  <c r="K215" i="2"/>
  <c r="J215" i="2"/>
  <c r="I215" i="2"/>
  <c r="H215" i="2"/>
  <c r="G215" i="2"/>
  <c r="F215" i="2"/>
  <c r="E215" i="2"/>
  <c r="D215" i="2"/>
  <c r="K214" i="2"/>
  <c r="J214" i="2"/>
  <c r="I214" i="2"/>
  <c r="H214" i="2"/>
  <c r="G214" i="2"/>
  <c r="F214" i="2"/>
  <c r="E214" i="2"/>
  <c r="D214" i="2"/>
  <c r="K213" i="2"/>
  <c r="J213" i="2"/>
  <c r="I213" i="2"/>
  <c r="H213" i="2"/>
  <c r="G213" i="2"/>
  <c r="F213" i="2"/>
  <c r="E213" i="2"/>
  <c r="D213" i="2"/>
  <c r="K212" i="2"/>
  <c r="J212" i="2"/>
  <c r="I212" i="2"/>
  <c r="H212" i="2"/>
  <c r="G212" i="2"/>
  <c r="G223" i="2" s="1"/>
  <c r="F212" i="2"/>
  <c r="F223" i="2" s="1"/>
  <c r="E212" i="2"/>
  <c r="E223" i="2" s="1"/>
  <c r="D212" i="2"/>
  <c r="K211" i="2"/>
  <c r="J211" i="2"/>
  <c r="I211" i="2"/>
  <c r="H211" i="2"/>
  <c r="G211" i="2"/>
  <c r="F211" i="2"/>
  <c r="E211" i="2"/>
  <c r="D211" i="2"/>
  <c r="K210" i="2"/>
  <c r="J210" i="2"/>
  <c r="I210" i="2"/>
  <c r="H210" i="2"/>
  <c r="G210" i="2"/>
  <c r="F210" i="2"/>
  <c r="E210" i="2"/>
  <c r="D210" i="2"/>
  <c r="K209" i="2"/>
  <c r="J209" i="2"/>
  <c r="I209" i="2"/>
  <c r="H209" i="2"/>
  <c r="G209" i="2"/>
  <c r="F209" i="2"/>
  <c r="E209" i="2"/>
  <c r="D209" i="2"/>
  <c r="K208" i="2"/>
  <c r="J208" i="2"/>
  <c r="I208" i="2"/>
  <c r="H208" i="2"/>
  <c r="G208" i="2"/>
  <c r="F208" i="2"/>
  <c r="E208" i="2"/>
  <c r="D208" i="2"/>
  <c r="K207" i="2"/>
  <c r="J207" i="2"/>
  <c r="I207" i="2"/>
  <c r="H207" i="2"/>
  <c r="G207" i="2"/>
  <c r="F207" i="2"/>
  <c r="E207" i="2"/>
  <c r="D207" i="2"/>
  <c r="K206" i="2"/>
  <c r="J206" i="2"/>
  <c r="I206" i="2"/>
  <c r="H206" i="2"/>
  <c r="G206" i="2"/>
  <c r="F206" i="2"/>
  <c r="E206" i="2"/>
  <c r="D206" i="2"/>
  <c r="K205" i="2"/>
  <c r="K230" i="2" s="1"/>
  <c r="J205" i="2"/>
  <c r="J230" i="2" s="1"/>
  <c r="I205" i="2"/>
  <c r="I230" i="2" s="1"/>
  <c r="H205" i="2"/>
  <c r="H230" i="2" s="1"/>
  <c r="G205" i="2"/>
  <c r="G230" i="2" s="1"/>
  <c r="F205" i="2"/>
  <c r="F230" i="2" s="1"/>
  <c r="E205" i="2"/>
  <c r="E230" i="2" s="1"/>
  <c r="D205" i="2"/>
  <c r="Y611" i="2" l="1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2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9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7" i="2"/>
  <c r="Y600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5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8" i="2"/>
  <c r="Y234" i="2"/>
  <c r="Y205" i="2"/>
  <c r="Y206" i="2"/>
  <c r="Y209" i="2"/>
  <c r="Y210" i="2"/>
  <c r="Y215" i="2"/>
  <c r="Y216" i="2"/>
  <c r="Y218" i="2"/>
  <c r="Y222" i="2"/>
  <c r="Y226" i="2"/>
  <c r="Y495" i="2"/>
  <c r="Y498" i="2"/>
  <c r="Y500" i="2"/>
  <c r="Y502" i="2"/>
  <c r="Y503" i="2"/>
  <c r="Y505" i="2"/>
  <c r="Y507" i="2"/>
  <c r="Y510" i="2"/>
  <c r="Y511" i="2"/>
  <c r="Y514" i="2"/>
  <c r="Y583" i="2"/>
  <c r="Y586" i="2"/>
  <c r="Y587" i="2"/>
  <c r="Y590" i="2"/>
  <c r="Y592" i="2"/>
  <c r="Y594" i="2"/>
  <c r="Y595" i="2"/>
  <c r="Y598" i="2"/>
  <c r="Y601" i="2"/>
  <c r="Y670" i="2"/>
  <c r="Y673" i="2"/>
  <c r="Y674" i="2"/>
  <c r="Y676" i="2"/>
  <c r="Y679" i="2"/>
  <c r="Y681" i="2"/>
  <c r="Y684" i="2"/>
  <c r="Y685" i="2"/>
  <c r="Y687" i="2"/>
  <c r="Y690" i="2"/>
  <c r="Y727" i="2"/>
  <c r="Y729" i="2"/>
  <c r="Y731" i="2"/>
  <c r="Y733" i="2"/>
  <c r="Y735" i="2"/>
  <c r="Y737" i="2"/>
  <c r="Y739" i="2"/>
  <c r="Y741" i="2"/>
  <c r="Y744" i="2"/>
  <c r="Y748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3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2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1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400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4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1" i="2"/>
  <c r="Y207" i="2"/>
  <c r="Y208" i="2"/>
  <c r="Y211" i="2"/>
  <c r="Y212" i="2"/>
  <c r="Y213" i="2"/>
  <c r="Y214" i="2"/>
  <c r="Y217" i="2"/>
  <c r="Y219" i="2"/>
  <c r="Y220" i="2"/>
  <c r="Y221" i="2"/>
  <c r="Y224" i="2"/>
  <c r="Y496" i="2"/>
  <c r="Y497" i="2"/>
  <c r="Y499" i="2"/>
  <c r="Y501" i="2"/>
  <c r="Y504" i="2"/>
  <c r="Y506" i="2"/>
  <c r="Y508" i="2"/>
  <c r="Y509" i="2"/>
  <c r="Y512" i="2"/>
  <c r="Y513" i="2"/>
  <c r="Y516" i="2"/>
  <c r="Y582" i="2"/>
  <c r="Y584" i="2"/>
  <c r="Y585" i="2"/>
  <c r="Y588" i="2"/>
  <c r="Y589" i="2"/>
  <c r="Y591" i="2"/>
  <c r="Y593" i="2"/>
  <c r="Y596" i="2"/>
  <c r="Y597" i="2"/>
  <c r="Y599" i="2"/>
  <c r="Y603" i="2"/>
  <c r="Y669" i="2"/>
  <c r="Y671" i="2"/>
  <c r="Y672" i="2"/>
  <c r="Y675" i="2"/>
  <c r="Y677" i="2"/>
  <c r="Y678" i="2"/>
  <c r="Y680" i="2"/>
  <c r="Y682" i="2"/>
  <c r="Y683" i="2"/>
  <c r="Y686" i="2"/>
  <c r="Y688" i="2"/>
  <c r="Y728" i="2"/>
  <c r="Y730" i="2"/>
  <c r="Y732" i="2"/>
  <c r="Y734" i="2"/>
  <c r="Y736" i="2"/>
  <c r="Y738" i="2"/>
  <c r="Y740" i="2"/>
  <c r="Y742" i="2"/>
  <c r="Y743" i="2"/>
  <c r="Y745" i="2"/>
  <c r="Y746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4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9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7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5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6" i="2"/>
  <c r="D223" i="2"/>
  <c r="Y223" i="2" s="1"/>
  <c r="D230" i="2" l="1"/>
  <c r="Z467" i="2"/>
  <c r="Z471" i="2"/>
  <c r="Z475" i="2"/>
  <c r="Z479" i="2"/>
  <c r="Z483" i="2"/>
  <c r="Z487" i="2"/>
  <c r="Z468" i="2"/>
  <c r="Z472" i="2"/>
  <c r="Z476" i="2"/>
  <c r="Z480" i="2"/>
  <c r="Z484" i="2"/>
  <c r="Z488" i="2"/>
  <c r="Z473" i="2"/>
  <c r="Z481" i="2"/>
  <c r="Z466" i="2"/>
  <c r="Z477" i="2"/>
  <c r="Z474" i="2"/>
  <c r="Z482" i="2"/>
  <c r="Z469" i="2"/>
  <c r="Z485" i="2"/>
  <c r="Z470" i="2"/>
  <c r="Z478" i="2"/>
  <c r="Z489" i="2"/>
  <c r="Z699" i="2"/>
  <c r="Z703" i="2"/>
  <c r="Z707" i="2"/>
  <c r="Z711" i="2"/>
  <c r="Z715" i="2"/>
  <c r="Z719" i="2"/>
  <c r="Z700" i="2"/>
  <c r="Z704" i="2"/>
  <c r="Z708" i="2"/>
  <c r="Z712" i="2"/>
  <c r="Z716" i="2"/>
  <c r="Z720" i="2"/>
  <c r="Z705" i="2"/>
  <c r="Z713" i="2"/>
  <c r="Z698" i="2"/>
  <c r="Z701" i="2"/>
  <c r="Z706" i="2"/>
  <c r="Z714" i="2"/>
  <c r="Z709" i="2"/>
  <c r="Z710" i="2"/>
  <c r="Z717" i="2"/>
  <c r="Z702" i="2"/>
  <c r="Z721" i="2"/>
  <c r="Z351" i="2"/>
  <c r="Z355" i="2"/>
  <c r="Z359" i="2"/>
  <c r="Z363" i="2"/>
  <c r="Z367" i="2"/>
  <c r="Z371" i="2"/>
  <c r="Z352" i="2"/>
  <c r="Z356" i="2"/>
  <c r="Z360" i="2"/>
  <c r="Z364" i="2"/>
  <c r="Z368" i="2"/>
  <c r="Z372" i="2"/>
  <c r="Z353" i="2"/>
  <c r="Z361" i="2"/>
  <c r="Z365" i="2"/>
  <c r="Z354" i="2"/>
  <c r="Z362" i="2"/>
  <c r="Z369" i="2"/>
  <c r="Z357" i="2"/>
  <c r="Z350" i="2"/>
  <c r="Z358" i="2"/>
  <c r="Z366" i="2"/>
  <c r="Z373" i="2"/>
  <c r="Z555" i="2"/>
  <c r="Z559" i="2"/>
  <c r="Z563" i="2"/>
  <c r="Z567" i="2"/>
  <c r="Z571" i="2"/>
  <c r="Z575" i="2"/>
  <c r="Z556" i="2"/>
  <c r="Z560" i="2"/>
  <c r="Z564" i="2"/>
  <c r="Z568" i="2"/>
  <c r="Z553" i="2"/>
  <c r="Z557" i="2"/>
  <c r="Z565" i="2"/>
  <c r="Z572" i="2"/>
  <c r="Z569" i="2"/>
  <c r="Z558" i="2"/>
  <c r="Z566" i="2"/>
  <c r="Z574" i="2"/>
  <c r="Z561" i="2"/>
  <c r="Z554" i="2"/>
  <c r="Z562" i="2"/>
  <c r="Z570" i="2"/>
  <c r="Z576" i="2"/>
  <c r="Z275" i="2"/>
  <c r="Z282" i="2"/>
  <c r="Z263" i="2"/>
  <c r="Z279" i="2"/>
  <c r="Z266" i="2"/>
  <c r="Z273" i="2"/>
  <c r="Z284" i="2"/>
  <c r="Z268" i="2"/>
  <c r="Z271" i="2"/>
  <c r="Z270" i="2"/>
  <c r="Z267" i="2"/>
  <c r="Z278" i="2"/>
  <c r="Z285" i="2"/>
  <c r="Z269" i="2"/>
  <c r="Z280" i="2"/>
  <c r="Z274" i="2"/>
  <c r="Z281" i="2"/>
  <c r="Z276" i="2"/>
  <c r="Z277" i="2"/>
  <c r="Z272" i="2"/>
  <c r="Z286" i="2"/>
  <c r="Z264" i="2"/>
  <c r="Z265" i="2"/>
  <c r="Z411" i="2"/>
  <c r="Z415" i="2"/>
  <c r="Z419" i="2"/>
  <c r="Z423" i="2"/>
  <c r="Z408" i="2"/>
  <c r="Z412" i="2"/>
  <c r="Z416" i="2"/>
  <c r="Z420" i="2"/>
  <c r="Z424" i="2"/>
  <c r="Z427" i="2"/>
  <c r="Z409" i="2"/>
  <c r="Z417" i="2"/>
  <c r="Z425" i="2"/>
  <c r="Z421" i="2"/>
  <c r="Z410" i="2"/>
  <c r="Z418" i="2"/>
  <c r="Z426" i="2"/>
  <c r="Z413" i="2"/>
  <c r="Z429" i="2"/>
  <c r="Z414" i="2"/>
  <c r="Z422" i="2"/>
  <c r="Z430" i="2"/>
  <c r="Z431" i="2"/>
  <c r="Z643" i="2"/>
  <c r="Z647" i="2"/>
  <c r="Z651" i="2"/>
  <c r="Z655" i="2"/>
  <c r="Z640" i="2"/>
  <c r="Z644" i="2"/>
  <c r="Z648" i="2"/>
  <c r="Z652" i="2"/>
  <c r="Z656" i="2"/>
  <c r="Z659" i="2"/>
  <c r="Z641" i="2"/>
  <c r="Z649" i="2"/>
  <c r="Z657" i="2"/>
  <c r="Z645" i="2"/>
  <c r="Z661" i="2"/>
  <c r="Z642" i="2"/>
  <c r="Z650" i="2"/>
  <c r="Z658" i="2"/>
  <c r="Z653" i="2"/>
  <c r="Z646" i="2"/>
  <c r="Z654" i="2"/>
  <c r="Z662" i="2"/>
  <c r="Z663" i="2"/>
  <c r="Z527" i="2"/>
  <c r="Z531" i="2"/>
  <c r="Z535" i="2"/>
  <c r="Z539" i="2"/>
  <c r="Z524" i="2"/>
  <c r="Z528" i="2"/>
  <c r="Z532" i="2"/>
  <c r="Z536" i="2"/>
  <c r="Z540" i="2"/>
  <c r="Z543" i="2"/>
  <c r="Z529" i="2"/>
  <c r="Z537" i="2"/>
  <c r="Z545" i="2"/>
  <c r="Z533" i="2"/>
  <c r="Z530" i="2"/>
  <c r="Z538" i="2"/>
  <c r="Z546" i="2"/>
  <c r="Z525" i="2"/>
  <c r="Z541" i="2"/>
  <c r="Z526" i="2"/>
  <c r="Z542" i="2"/>
  <c r="Z534" i="2"/>
  <c r="Z547" i="2"/>
  <c r="Z296" i="2"/>
  <c r="Z300" i="2"/>
  <c r="Z304" i="2"/>
  <c r="Z308" i="2"/>
  <c r="Z311" i="2"/>
  <c r="Z294" i="2"/>
  <c r="Z299" i="2"/>
  <c r="Z305" i="2"/>
  <c r="Z310" i="2"/>
  <c r="Z292" i="2"/>
  <c r="Z302" i="2"/>
  <c r="Z313" i="2"/>
  <c r="Z295" i="2"/>
  <c r="Z301" i="2"/>
  <c r="Z306" i="2"/>
  <c r="Z297" i="2"/>
  <c r="Z307" i="2"/>
  <c r="Z298" i="2"/>
  <c r="Z309" i="2"/>
  <c r="Z314" i="2"/>
  <c r="Z303" i="2"/>
  <c r="Z293" i="2"/>
  <c r="Z315" i="2"/>
  <c r="Z235" i="2"/>
  <c r="Z239" i="2"/>
  <c r="Z243" i="2"/>
  <c r="Z247" i="2"/>
  <c r="Z251" i="2"/>
  <c r="Z255" i="2"/>
  <c r="Z238" i="2"/>
  <c r="Z244" i="2"/>
  <c r="Z249" i="2"/>
  <c r="Z253" i="2"/>
  <c r="Z241" i="2"/>
  <c r="Z252" i="2"/>
  <c r="Z240" i="2"/>
  <c r="Z245" i="2"/>
  <c r="Z250" i="2"/>
  <c r="Z256" i="2"/>
  <c r="Z236" i="2"/>
  <c r="Z246" i="2"/>
  <c r="Z234" i="2"/>
  <c r="Z248" i="2"/>
  <c r="Z237" i="2"/>
  <c r="Z242" i="2"/>
  <c r="Z257" i="2"/>
  <c r="Z207" i="2"/>
  <c r="Z211" i="2"/>
  <c r="Z215" i="2"/>
  <c r="Z219" i="2"/>
  <c r="Z223" i="2"/>
  <c r="Z227" i="2"/>
  <c r="Z208" i="2"/>
  <c r="Z213" i="2"/>
  <c r="Z218" i="2"/>
  <c r="Z210" i="2"/>
  <c r="Z221" i="2"/>
  <c r="Z209" i="2"/>
  <c r="Z214" i="2"/>
  <c r="Z220" i="2"/>
  <c r="Z224" i="2"/>
  <c r="Z216" i="2"/>
  <c r="Z226" i="2"/>
  <c r="Z217" i="2"/>
  <c r="Z206" i="2"/>
  <c r="Z212" i="2"/>
  <c r="Z222" i="2"/>
  <c r="Z205" i="2"/>
  <c r="Z228" i="2"/>
  <c r="Z583" i="2"/>
  <c r="Z587" i="2"/>
  <c r="Z591" i="2"/>
  <c r="Z595" i="2"/>
  <c r="Z599" i="2"/>
  <c r="Z603" i="2"/>
  <c r="Z584" i="2"/>
  <c r="Z588" i="2"/>
  <c r="Z592" i="2"/>
  <c r="Z596" i="2"/>
  <c r="Z600" i="2"/>
  <c r="Z604" i="2"/>
  <c r="Z585" i="2"/>
  <c r="Z593" i="2"/>
  <c r="Z589" i="2"/>
  <c r="Z582" i="2"/>
  <c r="Z586" i="2"/>
  <c r="Z594" i="2"/>
  <c r="Z601" i="2"/>
  <c r="Z597" i="2"/>
  <c r="Z598" i="2"/>
  <c r="Z590" i="2"/>
  <c r="Z605" i="2"/>
  <c r="Z439" i="2"/>
  <c r="Z443" i="2"/>
  <c r="Z447" i="2"/>
  <c r="Z451" i="2"/>
  <c r="Z455" i="2"/>
  <c r="Z459" i="2"/>
  <c r="Z440" i="2"/>
  <c r="Z444" i="2"/>
  <c r="Z448" i="2"/>
  <c r="Z452" i="2"/>
  <c r="Z437" i="2"/>
  <c r="Z445" i="2"/>
  <c r="Z453" i="2"/>
  <c r="Z441" i="2"/>
  <c r="Z456" i="2"/>
  <c r="Z438" i="2"/>
  <c r="Z446" i="2"/>
  <c r="Z454" i="2"/>
  <c r="Z449" i="2"/>
  <c r="Z450" i="2"/>
  <c r="Z458" i="2"/>
  <c r="Z442" i="2"/>
  <c r="Z460" i="2"/>
  <c r="Z671" i="2"/>
  <c r="Z675" i="2"/>
  <c r="Z679" i="2"/>
  <c r="Z683" i="2"/>
  <c r="Z687" i="2"/>
  <c r="Z691" i="2"/>
  <c r="Z672" i="2"/>
  <c r="Z676" i="2"/>
  <c r="Z680" i="2"/>
  <c r="Z684" i="2"/>
  <c r="Z669" i="2"/>
  <c r="Z677" i="2"/>
  <c r="Z685" i="2"/>
  <c r="Z681" i="2"/>
  <c r="Z670" i="2"/>
  <c r="Z678" i="2"/>
  <c r="Z686" i="2"/>
  <c r="Z673" i="2"/>
  <c r="Z688" i="2"/>
  <c r="Z690" i="2"/>
  <c r="Z682" i="2"/>
  <c r="Z674" i="2"/>
  <c r="Z692" i="2"/>
  <c r="Z323" i="2"/>
  <c r="Z327" i="2"/>
  <c r="Z331" i="2"/>
  <c r="Z335" i="2"/>
  <c r="Z339" i="2"/>
  <c r="Z324" i="2"/>
  <c r="Z328" i="2"/>
  <c r="Z332" i="2"/>
  <c r="Z336" i="2"/>
  <c r="Z321" i="2"/>
  <c r="Z325" i="2"/>
  <c r="Z333" i="2"/>
  <c r="Z340" i="2"/>
  <c r="Z329" i="2"/>
  <c r="Z343" i="2"/>
  <c r="Z326" i="2"/>
  <c r="Z334" i="2"/>
  <c r="Z342" i="2"/>
  <c r="Z337" i="2"/>
  <c r="Z322" i="2"/>
  <c r="Z330" i="2"/>
  <c r="Z338" i="2"/>
  <c r="Z344" i="2"/>
  <c r="Z499" i="2"/>
  <c r="Z503" i="2"/>
  <c r="Z507" i="2"/>
  <c r="Z511" i="2"/>
  <c r="Z514" i="2"/>
  <c r="Z496" i="2"/>
  <c r="Z500" i="2"/>
  <c r="Z504" i="2"/>
  <c r="Z508" i="2"/>
  <c r="Z512" i="2"/>
  <c r="Z516" i="2"/>
  <c r="Z501" i="2"/>
  <c r="Z509" i="2"/>
  <c r="Z517" i="2"/>
  <c r="Z497" i="2"/>
  <c r="Z513" i="2"/>
  <c r="Z502" i="2"/>
  <c r="Z510" i="2"/>
  <c r="Z495" i="2"/>
  <c r="Z505" i="2"/>
  <c r="Z506" i="2"/>
  <c r="Z498" i="2"/>
  <c r="Z518" i="2"/>
  <c r="Z383" i="2"/>
  <c r="Z387" i="2"/>
  <c r="Z391" i="2"/>
  <c r="Z395" i="2"/>
  <c r="Z398" i="2"/>
  <c r="Z380" i="2"/>
  <c r="Z384" i="2"/>
  <c r="Z388" i="2"/>
  <c r="Z392" i="2"/>
  <c r="Z396" i="2"/>
  <c r="Z400" i="2"/>
  <c r="Z381" i="2"/>
  <c r="Z389" i="2"/>
  <c r="Z397" i="2"/>
  <c r="Z385" i="2"/>
  <c r="Z401" i="2"/>
  <c r="Z382" i="2"/>
  <c r="Z390" i="2"/>
  <c r="Z393" i="2"/>
  <c r="Z394" i="2"/>
  <c r="Z379" i="2"/>
  <c r="Z386" i="2"/>
  <c r="Z402" i="2"/>
  <c r="Z731" i="2"/>
  <c r="Z735" i="2"/>
  <c r="Z739" i="2"/>
  <c r="Z743" i="2"/>
  <c r="Z746" i="2"/>
  <c r="Z728" i="2"/>
  <c r="Z732" i="2"/>
  <c r="Z736" i="2"/>
  <c r="Z740" i="2"/>
  <c r="Z744" i="2"/>
  <c r="Z748" i="2"/>
  <c r="Z733" i="2"/>
  <c r="Z741" i="2"/>
  <c r="Z749" i="2"/>
  <c r="Z734" i="2"/>
  <c r="Z742" i="2"/>
  <c r="Z727" i="2"/>
  <c r="Z729" i="2"/>
  <c r="Z737" i="2"/>
  <c r="Z745" i="2"/>
  <c r="Z730" i="2"/>
  <c r="Z738" i="2"/>
  <c r="Z750" i="2"/>
  <c r="Z615" i="2"/>
  <c r="Z619" i="2"/>
  <c r="Z623" i="2"/>
  <c r="Z627" i="2"/>
  <c r="Z630" i="2"/>
  <c r="Z612" i="2"/>
  <c r="Z616" i="2"/>
  <c r="Z620" i="2"/>
  <c r="Z624" i="2"/>
  <c r="Z628" i="2"/>
  <c r="Z632" i="2"/>
  <c r="Z613" i="2"/>
  <c r="Z621" i="2"/>
  <c r="Z629" i="2"/>
  <c r="Z625" i="2"/>
  <c r="Z614" i="2"/>
  <c r="Z622" i="2"/>
  <c r="Z617" i="2"/>
  <c r="Z633" i="2"/>
  <c r="Z618" i="2"/>
  <c r="Z611" i="2"/>
  <c r="Z626" i="2"/>
  <c r="Z634" i="2"/>
  <c r="Z787" i="2"/>
  <c r="Z791" i="2"/>
  <c r="Z795" i="2"/>
  <c r="Z799" i="2"/>
  <c r="Z803" i="2"/>
  <c r="Z807" i="2"/>
  <c r="Z788" i="2"/>
  <c r="Z792" i="2"/>
  <c r="Z796" i="2"/>
  <c r="Z800" i="2"/>
  <c r="Z808" i="2"/>
  <c r="Z785" i="2"/>
  <c r="Z789" i="2"/>
  <c r="Z793" i="2"/>
  <c r="Z797" i="2"/>
  <c r="Z801" i="2"/>
  <c r="Z804" i="2"/>
  <c r="Z786" i="2"/>
  <c r="Z790" i="2"/>
  <c r="Z794" i="2"/>
  <c r="Z798" i="2"/>
  <c r="Z802" i="2"/>
  <c r="Z806" i="2"/>
  <c r="Z759" i="2"/>
  <c r="Z763" i="2"/>
  <c r="Z767" i="2"/>
  <c r="Z771" i="2"/>
  <c r="Z779" i="2"/>
  <c r="Z756" i="2"/>
  <c r="Z760" i="2"/>
  <c r="Z764" i="2"/>
  <c r="Z768" i="2"/>
  <c r="Z772" i="2"/>
  <c r="Z775" i="2"/>
  <c r="Z757" i="2"/>
  <c r="Z761" i="2"/>
  <c r="Z765" i="2"/>
  <c r="Z769" i="2"/>
  <c r="Z773" i="2"/>
  <c r="Z777" i="2"/>
  <c r="Z758" i="2"/>
  <c r="Z762" i="2"/>
  <c r="Z766" i="2"/>
  <c r="Z770" i="2"/>
  <c r="Z774" i="2"/>
  <c r="Z778" i="2"/>
</calcChain>
</file>

<file path=xl/sharedStrings.xml><?xml version="1.0" encoding="utf-8"?>
<sst xmlns="http://schemas.openxmlformats.org/spreadsheetml/2006/main" count="1602" uniqueCount="703">
  <si>
    <t>VP1 44</t>
  </si>
  <si>
    <t>VP1 45</t>
  </si>
  <si>
    <t>VP1 46</t>
  </si>
  <si>
    <t>VP1 47</t>
  </si>
  <si>
    <t>VP1 48</t>
  </si>
  <si>
    <t>VP1 49</t>
  </si>
  <si>
    <t>VP1 50</t>
  </si>
  <si>
    <t>VP1 51</t>
  </si>
  <si>
    <t>VP2 44</t>
  </si>
  <si>
    <t>VP2 45</t>
  </si>
  <si>
    <t>VP2 46</t>
  </si>
  <si>
    <t>VP2 47</t>
  </si>
  <si>
    <t>VP2 48</t>
  </si>
  <si>
    <t>VP2 49</t>
  </si>
  <si>
    <t>VP2 50</t>
  </si>
  <si>
    <t>VP2 51</t>
  </si>
  <si>
    <t>RH1 44</t>
  </si>
  <si>
    <t>RH1 45</t>
  </si>
  <si>
    <t>RH1 46</t>
  </si>
  <si>
    <t>RH1 47</t>
  </si>
  <si>
    <t>RH1 48</t>
  </si>
  <si>
    <t>RH1 49</t>
  </si>
  <si>
    <t>RH1 50</t>
  </si>
  <si>
    <t>RH1 51</t>
  </si>
  <si>
    <t>RH2 44</t>
  </si>
  <si>
    <t>RH2 45</t>
  </si>
  <si>
    <t>RH2 46</t>
  </si>
  <si>
    <t>RH2 47</t>
  </si>
  <si>
    <t>RH2 48</t>
  </si>
  <si>
    <t>RH2 49</t>
  </si>
  <si>
    <t>RH2 50</t>
  </si>
  <si>
    <t>RH2 51</t>
  </si>
  <si>
    <t>TIME</t>
  </si>
  <si>
    <t>BSS 44</t>
  </si>
  <si>
    <t>BSS 45</t>
  </si>
  <si>
    <t>BSS 46</t>
  </si>
  <si>
    <t>BSS 47</t>
  </si>
  <si>
    <t>BSS 48</t>
  </si>
  <si>
    <t>BSS 49</t>
  </si>
  <si>
    <t>BSS 50</t>
  </si>
  <si>
    <t>BSS 51</t>
  </si>
  <si>
    <t>Z10</t>
  </si>
  <si>
    <t>Z11</t>
  </si>
  <si>
    <t>1992-93</t>
  </si>
  <si>
    <t>1993-94</t>
  </si>
  <si>
    <t>1994-95</t>
  </si>
  <si>
    <t>1995-96</t>
  </si>
  <si>
    <t>1996-97</t>
  </si>
  <si>
    <t>1997-98</t>
  </si>
  <si>
    <t>1998-99</t>
  </si>
  <si>
    <t>1999-2000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</si>
  <si>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</si>
  <si>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</si>
  <si>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</si>
  <si>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</si>
  <si>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</si>
  <si>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</si>
  <si>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</si>
  <si>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</si>
  <si>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</si>
  <si>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</si>
  <si>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</si>
  <si>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</si>
  <si>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</si>
  <si>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CORR</t>
  </si>
  <si>
    <t>MAXT 44</t>
  </si>
  <si>
    <t>MAXT 45</t>
  </si>
  <si>
    <t>MAXT 46</t>
  </si>
  <si>
    <t>MAXT 47</t>
  </si>
  <si>
    <t>MAXT 48</t>
  </si>
  <si>
    <t>MAXT 49</t>
  </si>
  <si>
    <t>MAXT 50</t>
  </si>
  <si>
    <t>MAXT 51</t>
  </si>
  <si>
    <t>Z20</t>
  </si>
  <si>
    <t>Z21</t>
  </si>
  <si>
    <t>MINT 44</t>
  </si>
  <si>
    <t>MINT 45</t>
  </si>
  <si>
    <t>MINT 46</t>
  </si>
  <si>
    <t>MINT 47</t>
  </si>
  <si>
    <t>MINT 48</t>
  </si>
  <si>
    <t>MINT 49</t>
  </si>
  <si>
    <t>MINT 50</t>
  </si>
  <si>
    <t>MINT 51</t>
  </si>
  <si>
    <t>Z30</t>
  </si>
  <si>
    <t>Z31</t>
  </si>
  <si>
    <t>Z40</t>
  </si>
  <si>
    <t>Z41</t>
  </si>
  <si>
    <t>Z50</t>
  </si>
  <si>
    <t>Z51</t>
  </si>
  <si>
    <t>Z60</t>
  </si>
  <si>
    <t>Z61</t>
  </si>
  <si>
    <t>Z70</t>
  </si>
  <si>
    <t>Z71</t>
  </si>
  <si>
    <t>BSS*MAXT 44</t>
  </si>
  <si>
    <t>BSS*MAXT 45</t>
  </si>
  <si>
    <t>BSS*MAXT 46</t>
  </si>
  <si>
    <t>BSS*MAXT 47</t>
  </si>
  <si>
    <t>BSS*MAXT 48</t>
  </si>
  <si>
    <t>BSS*MAXT 49</t>
  </si>
  <si>
    <t>BSS*MAXT 50</t>
  </si>
  <si>
    <t>BSS*MAXT 51</t>
  </si>
  <si>
    <t>Z120</t>
  </si>
  <si>
    <t>Z121</t>
  </si>
  <si>
    <t>BSS*MINT 44</t>
  </si>
  <si>
    <t>BSS*MINT 45</t>
  </si>
  <si>
    <t>BSS*MINT 46</t>
  </si>
  <si>
    <t>BSS*MINT 47</t>
  </si>
  <si>
    <t>BSS*MINT 48</t>
  </si>
  <si>
    <t>BSS*MINT 49</t>
  </si>
  <si>
    <t>BSS*MINT 50</t>
  </si>
  <si>
    <t>BSS*MINT 51</t>
  </si>
  <si>
    <t>Z130</t>
  </si>
  <si>
    <t>Z131</t>
  </si>
  <si>
    <t>BSS*RH1 44</t>
  </si>
  <si>
    <t>BSS*RH1 45</t>
  </si>
  <si>
    <t>BSS*RH1 46</t>
  </si>
  <si>
    <t>BSS*RH1 47</t>
  </si>
  <si>
    <t>BSS*RH1 48</t>
  </si>
  <si>
    <t>BSS*RH1 49</t>
  </si>
  <si>
    <t>BSS*RH1 50</t>
  </si>
  <si>
    <t>BSS*RH1 51</t>
  </si>
  <si>
    <t>Z140</t>
  </si>
  <si>
    <t>Z141</t>
  </si>
  <si>
    <t>BSS*RH2 44</t>
  </si>
  <si>
    <t>BSS*RH2 45</t>
  </si>
  <si>
    <t>BSS*RH2 46</t>
  </si>
  <si>
    <t>BSS*RH2 47</t>
  </si>
  <si>
    <t>BSS*RH2 48</t>
  </si>
  <si>
    <t>BSS*RH2 49</t>
  </si>
  <si>
    <t>BSS*RH2 50</t>
  </si>
  <si>
    <t>BSS*RH2 51</t>
  </si>
  <si>
    <t>Z150</t>
  </si>
  <si>
    <t>Z151</t>
  </si>
  <si>
    <t>BSS*VP1 44</t>
  </si>
  <si>
    <t>BSS*VP1 45</t>
  </si>
  <si>
    <t>BSS*VP1 46</t>
  </si>
  <si>
    <t>BSS*VP1 47</t>
  </si>
  <si>
    <t>BSS*VP1 48</t>
  </si>
  <si>
    <t>BSS*VP1 49</t>
  </si>
  <si>
    <t>BSS*VP1 50</t>
  </si>
  <si>
    <t>BSS*VP1 51</t>
  </si>
  <si>
    <t>Z160</t>
  </si>
  <si>
    <t>Z161</t>
  </si>
  <si>
    <t>BSS*VP2 44</t>
  </si>
  <si>
    <t>BSS*VP2 45</t>
  </si>
  <si>
    <t>BSS*VP2 46</t>
  </si>
  <si>
    <t>BSS*VP2 47</t>
  </si>
  <si>
    <t>BSS*VP2 48</t>
  </si>
  <si>
    <t>BSS*VP2 49</t>
  </si>
  <si>
    <t>BSS*VP2 50</t>
  </si>
  <si>
    <t>BSS*VP2 51</t>
  </si>
  <si>
    <t>Z170</t>
  </si>
  <si>
    <t>Z171</t>
  </si>
  <si>
    <t>MAXT*MINT 44</t>
  </si>
  <si>
    <t>MAXT*MINT 45</t>
  </si>
  <si>
    <t>MAXT*MINT 46</t>
  </si>
  <si>
    <t>MAXT*MINT 47</t>
  </si>
  <si>
    <t>MAXT*MINT 48</t>
  </si>
  <si>
    <t>MAXT*MINT 49</t>
  </si>
  <si>
    <t>MAXT*MINT 50</t>
  </si>
  <si>
    <t>MAXT*MINT 51</t>
  </si>
  <si>
    <t>Z230</t>
  </si>
  <si>
    <t>Z231</t>
  </si>
  <si>
    <t>MAXT*RH1 44</t>
  </si>
  <si>
    <t>MAXT*RH1 45</t>
  </si>
  <si>
    <t>MAXT*RH1 46</t>
  </si>
  <si>
    <t>MAXT*RH1 47</t>
  </si>
  <si>
    <t>MAXT*RH1 48</t>
  </si>
  <si>
    <t>MAXT*RH1 49</t>
  </si>
  <si>
    <t>MAXT*RH1 50</t>
  </si>
  <si>
    <t>MAXT*RH1 51</t>
  </si>
  <si>
    <t>Z240</t>
  </si>
  <si>
    <t>Z241</t>
  </si>
  <si>
    <t>MAXT*RH2 44</t>
  </si>
  <si>
    <t>MAXT*RH2 45</t>
  </si>
  <si>
    <t>MAXT*RH2 46</t>
  </si>
  <si>
    <t>MAXT*RH2 47</t>
  </si>
  <si>
    <t>MAXT*RH2 48</t>
  </si>
  <si>
    <t>MAXT*RH2 49</t>
  </si>
  <si>
    <t>MAXT*RH2 50</t>
  </si>
  <si>
    <t>MAXT*RH2 51</t>
  </si>
  <si>
    <t>Z250</t>
  </si>
  <si>
    <t>Z251</t>
  </si>
  <si>
    <t>MAXT*VP1 44</t>
  </si>
  <si>
    <t>MAXT*VP1 45</t>
  </si>
  <si>
    <t>MAXT*VP1 46</t>
  </si>
  <si>
    <t>MAXT*VP1 47</t>
  </si>
  <si>
    <t>MAXT*VP1 48</t>
  </si>
  <si>
    <t>MAXT*VP1 49</t>
  </si>
  <si>
    <t>MAXT*VP1 50</t>
  </si>
  <si>
    <t>MAXT*VP1 51</t>
  </si>
  <si>
    <t>Z260</t>
  </si>
  <si>
    <t>Z261</t>
  </si>
  <si>
    <t>MAXT*VP2 44</t>
  </si>
  <si>
    <t>MAXT*VP2 45</t>
  </si>
  <si>
    <t>MAXT*VP2 46</t>
  </si>
  <si>
    <t>MAXT*VP2 47</t>
  </si>
  <si>
    <t>MAXT*VP2 48</t>
  </si>
  <si>
    <t>MAXT*VP2 49</t>
  </si>
  <si>
    <t>MAXT*VP2 50</t>
  </si>
  <si>
    <t>MAXT*VP2 51</t>
  </si>
  <si>
    <t>Z270</t>
  </si>
  <si>
    <t>Z271</t>
  </si>
  <si>
    <t>MINT*RH1 44</t>
  </si>
  <si>
    <t>MINT*RH1 45</t>
  </si>
  <si>
    <t>MINT*RH1 46</t>
  </si>
  <si>
    <t>MINT*RH1 47</t>
  </si>
  <si>
    <t>MINT*RH1 48</t>
  </si>
  <si>
    <t>MINT*RH1 49</t>
  </si>
  <si>
    <t>MINT*RH1 50</t>
  </si>
  <si>
    <t>MINT*RH1 51</t>
  </si>
  <si>
    <t>Z340</t>
  </si>
  <si>
    <t>Z341</t>
  </si>
  <si>
    <t>MINT*RH2 44</t>
  </si>
  <si>
    <t>MINT*RH2 45</t>
  </si>
  <si>
    <t>MINT*RH2 46</t>
  </si>
  <si>
    <t>MINT*RH2 47</t>
  </si>
  <si>
    <t>MINT*RH2 48</t>
  </si>
  <si>
    <t>MINT*RH2 49</t>
  </si>
  <si>
    <t>MINT*RH2 50</t>
  </si>
  <si>
    <t>MINT*RH2 51</t>
  </si>
  <si>
    <t>Z350</t>
  </si>
  <si>
    <t>Z351</t>
  </si>
  <si>
    <t>MINT*VP1 44</t>
  </si>
  <si>
    <t>MINT*VP1 45</t>
  </si>
  <si>
    <t>MINT*VP1 46</t>
  </si>
  <si>
    <t>MINT*VP1 47</t>
  </si>
  <si>
    <t>MINT*VP1 48</t>
  </si>
  <si>
    <t>MINT*VP1 49</t>
  </si>
  <si>
    <t>MINT*VP1 50</t>
  </si>
  <si>
    <t>MINT*VP1 51</t>
  </si>
  <si>
    <t>Z360</t>
  </si>
  <si>
    <t>Z361</t>
  </si>
  <si>
    <t>MINT*VP2 44</t>
  </si>
  <si>
    <t>MINT*VP2 45</t>
  </si>
  <si>
    <t>MINT*VP2 46</t>
  </si>
  <si>
    <t>MINT*VP2 47</t>
  </si>
  <si>
    <t>MINT*VP2 48</t>
  </si>
  <si>
    <t>MINT*VP2 49</t>
  </si>
  <si>
    <t>MINT*VP2 50</t>
  </si>
  <si>
    <t>MINT*VP2 51</t>
  </si>
  <si>
    <t>Z370</t>
  </si>
  <si>
    <t>Z371</t>
  </si>
  <si>
    <t>RH1*RH2 44</t>
  </si>
  <si>
    <t>RH1*RH2 45</t>
  </si>
  <si>
    <t>RH1*RH2 46</t>
  </si>
  <si>
    <t>RH1*RH2 47</t>
  </si>
  <si>
    <t>RH1*RH2 48</t>
  </si>
  <si>
    <t>RH1*RH2 49</t>
  </si>
  <si>
    <t>RH1*RH2 50</t>
  </si>
  <si>
    <t>RH1*RH2 51</t>
  </si>
  <si>
    <t>Z450</t>
  </si>
  <si>
    <t>Z451</t>
  </si>
  <si>
    <t>RH1*VP1 44</t>
  </si>
  <si>
    <t>RH1*VP1 45</t>
  </si>
  <si>
    <t>RH1*VP1 46</t>
  </si>
  <si>
    <t>RH1*VP1 47</t>
  </si>
  <si>
    <t>RH1*VP1 48</t>
  </si>
  <si>
    <t>RH1*VP1 49</t>
  </si>
  <si>
    <t>RH1*VP1 50</t>
  </si>
  <si>
    <t>RH1*VP1 51</t>
  </si>
  <si>
    <t>Z460</t>
  </si>
  <si>
    <t>Z461</t>
  </si>
  <si>
    <t>RH1*VP2 44</t>
  </si>
  <si>
    <t>RH1*VP2 45</t>
  </si>
  <si>
    <t>RH1*VP2 46</t>
  </si>
  <si>
    <t>RH1*VP2 47</t>
  </si>
  <si>
    <t>RH1*VP2 48</t>
  </si>
  <si>
    <t>RH1*VP2 49</t>
  </si>
  <si>
    <t>RH1*VP2 50</t>
  </si>
  <si>
    <t>RH1*VP2 51</t>
  </si>
  <si>
    <t>Z470</t>
  </si>
  <si>
    <t>Z471</t>
  </si>
  <si>
    <t>RH2*VP1 44</t>
  </si>
  <si>
    <t>RH2*VP1 45</t>
  </si>
  <si>
    <t>RH2*VP1 46</t>
  </si>
  <si>
    <t>RH2*VP1 47</t>
  </si>
  <si>
    <t>RH2*VP1 48</t>
  </si>
  <si>
    <t>RH2*VP1 49</t>
  </si>
  <si>
    <t>RH2*VP1 50</t>
  </si>
  <si>
    <t>RH2*VP1 51</t>
  </si>
  <si>
    <t>Z560</t>
  </si>
  <si>
    <t>Z561</t>
  </si>
  <si>
    <t>RH2*VP2 44</t>
  </si>
  <si>
    <t>RH2*VP2 45</t>
  </si>
  <si>
    <t>RH2*VP2 46</t>
  </si>
  <si>
    <t>RH2*VP2 47</t>
  </si>
  <si>
    <t>RH2*VP2 48</t>
  </si>
  <si>
    <t>RH2*VP2 49</t>
  </si>
  <si>
    <t>RH2*VP2 50</t>
  </si>
  <si>
    <t>RH2*VP2 51</t>
  </si>
  <si>
    <t>Z570</t>
  </si>
  <si>
    <t>Z571</t>
  </si>
  <si>
    <t>VP1*VP2 44</t>
  </si>
  <si>
    <t>VP1*VP2 45</t>
  </si>
  <si>
    <t>VP1*VP2 46</t>
  </si>
  <si>
    <t>VP1*VP2 47</t>
  </si>
  <si>
    <t>VP1*VP2 48</t>
  </si>
  <si>
    <t>VP1*VP2 49</t>
  </si>
  <si>
    <t>VP1*VP2 50</t>
  </si>
  <si>
    <t>VP1*VP2 51</t>
  </si>
  <si>
    <t>Z670</t>
  </si>
  <si>
    <t>Z671</t>
  </si>
  <si>
    <t>YIELD</t>
  </si>
  <si>
    <t>O-P</t>
  </si>
  <si>
    <t>PRED</t>
  </si>
  <si>
    <t>ERROR</t>
  </si>
  <si>
    <t>2013-14</t>
  </si>
  <si>
    <t>2014-15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</si>
  <si>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</si>
  <si>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</si>
  <si>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</si>
  <si>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</si>
  <si>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</si>
  <si>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</si>
  <si>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</si>
  <si>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</si>
  <si>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</si>
  <si>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</si>
  <si>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</si>
  <si>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</si>
  <si>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</si>
  <si>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</si>
  <si>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</si>
  <si>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</si>
  <si>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</si>
  <si>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</si>
  <si>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</si>
  <si>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</si>
  <si>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</si>
  <si>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</si>
  <si>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</si>
  <si>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</si>
  <si>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BSS 52</t>
  </si>
  <si>
    <t>MAXT 52</t>
  </si>
  <si>
    <t>MINT 52</t>
  </si>
  <si>
    <t>RH1 52</t>
  </si>
  <si>
    <t>RH2 52</t>
  </si>
  <si>
    <t>VP1 52</t>
  </si>
  <si>
    <t>VP2 52</t>
  </si>
  <si>
    <t>BSS*MAXT 52</t>
  </si>
  <si>
    <t>BSS*MINT 52</t>
  </si>
  <si>
    <t>BSS*RH1 52</t>
  </si>
  <si>
    <t>BSS*RH2 52</t>
  </si>
  <si>
    <t>BSS*VP1 52</t>
  </si>
  <si>
    <t>BSS*VP2 52</t>
  </si>
  <si>
    <t>MAXT*MINT 52</t>
  </si>
  <si>
    <t>MAXT*RH1 52</t>
  </si>
  <si>
    <t>MAXT*RH2 52</t>
  </si>
  <si>
    <t>MAXT*VP1 52</t>
  </si>
  <si>
    <t>MAXT*VP2 52</t>
  </si>
  <si>
    <t>MINT*RH1 52</t>
  </si>
  <si>
    <t>MINT*RH2 52</t>
  </si>
  <si>
    <t>MINT*VP1 52</t>
  </si>
  <si>
    <t>MINT*VP2 52</t>
  </si>
  <si>
    <t>RH1*RH2 52</t>
  </si>
  <si>
    <t>RH1*VP1 52</t>
  </si>
  <si>
    <t>RH1*VP2 52</t>
  </si>
  <si>
    <t>RH2*VP1 52</t>
  </si>
  <si>
    <t>RH2*VP2 52</t>
  </si>
  <si>
    <t>VP1*VP2 52</t>
  </si>
  <si>
    <t>BSS 1</t>
  </si>
  <si>
    <t>BSS 2</t>
  </si>
  <si>
    <t>BSS 3</t>
  </si>
  <si>
    <t>MAXT 1</t>
  </si>
  <si>
    <t>MAXT 2</t>
  </si>
  <si>
    <t>MAXT 3</t>
  </si>
  <si>
    <t>MINT 1</t>
  </si>
  <si>
    <t>MINT 2</t>
  </si>
  <si>
    <t>MINT 3</t>
  </si>
  <si>
    <t>RH1 1</t>
  </si>
  <si>
    <t>RH1 2</t>
  </si>
  <si>
    <t>RH1 3</t>
  </si>
  <si>
    <t>RH2 1</t>
  </si>
  <si>
    <t>RH2 2</t>
  </si>
  <si>
    <t>RH2 3</t>
  </si>
  <si>
    <t>VP1 1</t>
  </si>
  <si>
    <t>VP1 2</t>
  </si>
  <si>
    <t>VP1 3</t>
  </si>
  <si>
    <t>VP2 1</t>
  </si>
  <si>
    <t>VP2 2</t>
  </si>
  <si>
    <t>VP2 3</t>
  </si>
  <si>
    <t>BSS*MAXT 1</t>
  </si>
  <si>
    <t>BSS*MAXT 2</t>
  </si>
  <si>
    <t>BSS*MAXT 3</t>
  </si>
  <si>
    <t>BSS*MINT 1</t>
  </si>
  <si>
    <t>BSS*MINT 2</t>
  </si>
  <si>
    <t>BSS*MINT 3</t>
  </si>
  <si>
    <t>BSS*RH1 1</t>
  </si>
  <si>
    <t>BSS*RH1 2</t>
  </si>
  <si>
    <t>BSS*RH1 3</t>
  </si>
  <si>
    <t>BSS*RH2 1</t>
  </si>
  <si>
    <t>BSS*RH2 2</t>
  </si>
  <si>
    <t>BSS*RH2 3</t>
  </si>
  <si>
    <t>BSS*VP1 1</t>
  </si>
  <si>
    <t>BSS*VP1 2</t>
  </si>
  <si>
    <t>BSS*VP1 3</t>
  </si>
  <si>
    <t>BSS*VP2 1</t>
  </si>
  <si>
    <t>BSS*VP2 2</t>
  </si>
  <si>
    <t>BSS*VP2 3</t>
  </si>
  <si>
    <t>MAXT*MINT 1</t>
  </si>
  <si>
    <t>MAXT*MINT 2</t>
  </si>
  <si>
    <t>MAXT*MINT 3</t>
  </si>
  <si>
    <t>MAXT*RH1 1</t>
  </si>
  <si>
    <t>MAXT*RH1 2</t>
  </si>
  <si>
    <t>MAXT*RH1 3</t>
  </si>
  <si>
    <t>MAXT*RH2 1</t>
  </si>
  <si>
    <t>MAXT*RH2 2</t>
  </si>
  <si>
    <t>MAXT*RH2 3</t>
  </si>
  <si>
    <t>MAXT*VP1 1</t>
  </si>
  <si>
    <t>MAXT*VP1 2</t>
  </si>
  <si>
    <t>MAXT*VP1 3</t>
  </si>
  <si>
    <t>MAXT*VP2 1</t>
  </si>
  <si>
    <t>MAXT*VP2 2</t>
  </si>
  <si>
    <t>MAXT*VP2 3</t>
  </si>
  <si>
    <t>MINT*RH1 1</t>
  </si>
  <si>
    <t>MINT*RH1 2</t>
  </si>
  <si>
    <t>MINT*RH1 3</t>
  </si>
  <si>
    <t>MINT*RH2 1</t>
  </si>
  <si>
    <t>MINT*RH2 2</t>
  </si>
  <si>
    <t>MINT*RH2 3</t>
  </si>
  <si>
    <t>MINT*VP1 1</t>
  </si>
  <si>
    <t>MINT*VP1 2</t>
  </si>
  <si>
    <t>MINT*VP1 3</t>
  </si>
  <si>
    <t>MINT*VP2 1</t>
  </si>
  <si>
    <t>MINT*VP2 2</t>
  </si>
  <si>
    <t>MINT*VP2 3</t>
  </si>
  <si>
    <t>RH1*RH2 1</t>
  </si>
  <si>
    <t>RH1*RH2 2</t>
  </si>
  <si>
    <t>RH1*RH2 3</t>
  </si>
  <si>
    <t>RH1*VP1 1</t>
  </si>
  <si>
    <t>RH1*VP1 2</t>
  </si>
  <si>
    <t>RH1*VP1 3</t>
  </si>
  <si>
    <t>RH1*VP2 1</t>
  </si>
  <si>
    <t>RH1*VP2 2</t>
  </si>
  <si>
    <t>RH1*VP2 3</t>
  </si>
  <si>
    <t>RH2*VP1 1</t>
  </si>
  <si>
    <t>RH2*VP1 2</t>
  </si>
  <si>
    <t>RH2*VP1 3</t>
  </si>
  <si>
    <t>RH2*VP2 1</t>
  </si>
  <si>
    <t>RH2*VP2 2</t>
  </si>
  <si>
    <t>RH2*VP2 3</t>
  </si>
  <si>
    <t>VP1*VP2 1</t>
  </si>
  <si>
    <t>VP1*VP2 2</t>
  </si>
  <si>
    <t>VP1*VP2 3</t>
  </si>
  <si>
    <t>YEAR</t>
  </si>
  <si>
    <t>BSS 4</t>
  </si>
  <si>
    <t>BSS 5</t>
  </si>
  <si>
    <t>BSS 6</t>
  </si>
  <si>
    <t>BSS 7</t>
  </si>
  <si>
    <t>MAXT 4</t>
  </si>
  <si>
    <t>MAXT 5</t>
  </si>
  <si>
    <t>MAXT 6</t>
  </si>
  <si>
    <t>MAXT 7</t>
  </si>
  <si>
    <t>MINT 4</t>
  </si>
  <si>
    <t>MINT 5</t>
  </si>
  <si>
    <t>MINT 6</t>
  </si>
  <si>
    <t>MINT 7</t>
  </si>
  <si>
    <t>RH1 4</t>
  </si>
  <si>
    <t>RH1 5</t>
  </si>
  <si>
    <t>RH1 6</t>
  </si>
  <si>
    <t>RH1 7</t>
  </si>
  <si>
    <t>RH2 4</t>
  </si>
  <si>
    <t>RH2 5</t>
  </si>
  <si>
    <t>RH2 6</t>
  </si>
  <si>
    <t>RH2 7</t>
  </si>
  <si>
    <t>VP1 4</t>
  </si>
  <si>
    <t>VP1 5</t>
  </si>
  <si>
    <t>VP1 6</t>
  </si>
  <si>
    <t>VP1 7</t>
  </si>
  <si>
    <t>VP2 4</t>
  </si>
  <si>
    <t>VP2 5</t>
  </si>
  <si>
    <t>VP2 6</t>
  </si>
  <si>
    <t>VP2 7</t>
  </si>
  <si>
    <t>BSS*MAXT 4</t>
  </si>
  <si>
    <t>BSS*MAXT 5</t>
  </si>
  <si>
    <t>BSS*MAXT 6</t>
  </si>
  <si>
    <t>BSS*MAXT 7</t>
  </si>
  <si>
    <t>BSS*MINT 4</t>
  </si>
  <si>
    <t>BSS*MINT 5</t>
  </si>
  <si>
    <t>BSS*MINT 6</t>
  </si>
  <si>
    <t>BSS*MINT 7</t>
  </si>
  <si>
    <t>BSS*RH1 4</t>
  </si>
  <si>
    <t>BSS*RH1 5</t>
  </si>
  <si>
    <t>BSS*RH1 6</t>
  </si>
  <si>
    <t>BSS*RH1 7</t>
  </si>
  <si>
    <t>BSS*RH2 4</t>
  </si>
  <si>
    <t>BSS*RH2 5</t>
  </si>
  <si>
    <t>BSS*RH2 6</t>
  </si>
  <si>
    <t>BSS*RH2 7</t>
  </si>
  <si>
    <t>BSS*VP1 4</t>
  </si>
  <si>
    <t>BSS*VP1 5</t>
  </si>
  <si>
    <t>BSS*VP1 6</t>
  </si>
  <si>
    <t>BSS*VP1 7</t>
  </si>
  <si>
    <t>BSS*VP2 4</t>
  </si>
  <si>
    <t>BSS*VP2 5</t>
  </si>
  <si>
    <t>BSS*VP2 6</t>
  </si>
  <si>
    <t>BSS*VP2 7</t>
  </si>
  <si>
    <t>MAXT*MINT 4</t>
  </si>
  <si>
    <t>MAXT*MINT 5</t>
  </si>
  <si>
    <t>MAXT*MINT 6</t>
  </si>
  <si>
    <t>MAXT*MINT 7</t>
  </si>
  <si>
    <t>MAXT*RH1 4</t>
  </si>
  <si>
    <t>MAXT*RH1 5</t>
  </si>
  <si>
    <t>MAXT*RH1 6</t>
  </si>
  <si>
    <t>MAXT*RH1 7</t>
  </si>
  <si>
    <t>MAXT*RH2 4</t>
  </si>
  <si>
    <t>MAXT*RH2 5</t>
  </si>
  <si>
    <t>MAXT*RH2 6</t>
  </si>
  <si>
    <t>MAXT*RH2 7</t>
  </si>
  <si>
    <t>MAXT*VP1 4</t>
  </si>
  <si>
    <t>MAXT*VP1 5</t>
  </si>
  <si>
    <t>MAXT*VP1 6</t>
  </si>
  <si>
    <t>MAXT*VP1 7</t>
  </si>
  <si>
    <t>MAXT*VP2 4</t>
  </si>
  <si>
    <t>MAXT*VP2 5</t>
  </si>
  <si>
    <t>MAXT*VP2 6</t>
  </si>
  <si>
    <t>MAXT*VP2 7</t>
  </si>
  <si>
    <t>MINT*RH1 4</t>
  </si>
  <si>
    <t>MINT*RH1 5</t>
  </si>
  <si>
    <t>MINT*RH1 6</t>
  </si>
  <si>
    <t>MINT*RH1 7</t>
  </si>
  <si>
    <t>MINT*RH2 4</t>
  </si>
  <si>
    <t>MINT*RH2 5</t>
  </si>
  <si>
    <t>MINT*RH2 6</t>
  </si>
  <si>
    <t>MINT*RH2 7</t>
  </si>
  <si>
    <t>MINT*VP1 4</t>
  </si>
  <si>
    <t>MINT*VP1 5</t>
  </si>
  <si>
    <t>MINT*VP1 6</t>
  </si>
  <si>
    <t>MINT*VP1 7</t>
  </si>
  <si>
    <t>MINT*VP2 4</t>
  </si>
  <si>
    <t>MINT*VP2 5</t>
  </si>
  <si>
    <t>MINT*VP2 6</t>
  </si>
  <si>
    <t>MINT*VP2 7</t>
  </si>
  <si>
    <t>RH1*RH2 4</t>
  </si>
  <si>
    <t>RH1*RH2 5</t>
  </si>
  <si>
    <t>RH1*RH2 6</t>
  </si>
  <si>
    <t>RH1*RH2 7</t>
  </si>
  <si>
    <t>RH1*VP1 4</t>
  </si>
  <si>
    <t>RH1*VP1 5</t>
  </si>
  <si>
    <t>RH1*VP1 6</t>
  </si>
  <si>
    <t>RH1*VP1 7</t>
  </si>
  <si>
    <t>RH1*VP2 4</t>
  </si>
  <si>
    <t>RH1*VP2 5</t>
  </si>
  <si>
    <t>RH1*VP2 6</t>
  </si>
  <si>
    <t>RH1*VP2 7</t>
  </si>
  <si>
    <t>RH2*VP1 4</t>
  </si>
  <si>
    <t>RH2*VP1 5</t>
  </si>
  <si>
    <t>RH2*VP1 6</t>
  </si>
  <si>
    <t>RH2*VP1 7</t>
  </si>
  <si>
    <t>RH2*VP2 4</t>
  </si>
  <si>
    <t>RH2*VP2 5</t>
  </si>
  <si>
    <t>RH2*VP2 6</t>
  </si>
  <si>
    <t>RH2*VP2 7</t>
  </si>
  <si>
    <t>VP1*VP2 4</t>
  </si>
  <si>
    <t>VP1*VP2 5</t>
  </si>
  <si>
    <t>VP1*VP2 6</t>
  </si>
  <si>
    <t>VP1*VP2 7</t>
  </si>
  <si>
    <t>BSS 8</t>
  </si>
  <si>
    <t>BSS 9</t>
  </si>
  <si>
    <t>BSS 10</t>
  </si>
  <si>
    <t>BSS 11</t>
  </si>
  <si>
    <t>MAXT 8</t>
  </si>
  <si>
    <t>MAXT 9</t>
  </si>
  <si>
    <t>MAXT 10</t>
  </si>
  <si>
    <t>MAXT 11</t>
  </si>
  <si>
    <t>MINT 8</t>
  </si>
  <si>
    <t>MINT 9</t>
  </si>
  <si>
    <t>MINT 10</t>
  </si>
  <si>
    <t>MINT 11</t>
  </si>
  <si>
    <t>RH1 8</t>
  </si>
  <si>
    <t>RH1 9</t>
  </si>
  <si>
    <t>RH1 10</t>
  </si>
  <si>
    <t>RH1 11</t>
  </si>
  <si>
    <t>RH2 8</t>
  </si>
  <si>
    <t>RH2 9</t>
  </si>
  <si>
    <t>RH2 10</t>
  </si>
  <si>
    <t>RH2 11</t>
  </si>
  <si>
    <t>VP1 8</t>
  </si>
  <si>
    <t>VP1 9</t>
  </si>
  <si>
    <t>VP1 10</t>
  </si>
  <si>
    <t>VP1 11</t>
  </si>
  <si>
    <t>VP2 8</t>
  </si>
  <si>
    <t>VP2 9</t>
  </si>
  <si>
    <t>VP2 10</t>
  </si>
  <si>
    <t>VP2 11</t>
  </si>
  <si>
    <t>BSS*MAXT 8</t>
  </si>
  <si>
    <t>BSS*MAXT 9</t>
  </si>
  <si>
    <t>BSS*MAXT 10</t>
  </si>
  <si>
    <t>BSS*MAXT 11</t>
  </si>
  <si>
    <t>BSS*MINT 8</t>
  </si>
  <si>
    <t>BSS*MINT 9</t>
  </si>
  <si>
    <t>BSS*MINT 10</t>
  </si>
  <si>
    <t>BSS*MINT 11</t>
  </si>
  <si>
    <t>BSS*RH1 8</t>
  </si>
  <si>
    <t>BSS*RH1 9</t>
  </si>
  <si>
    <t>BSS*RH1 10</t>
  </si>
  <si>
    <t>BSS*RH1 11</t>
  </si>
  <si>
    <t>BSS*RH2 8</t>
  </si>
  <si>
    <t>BSS*RH2 9</t>
  </si>
  <si>
    <t>BSS*RH2 10</t>
  </si>
  <si>
    <t>BSS*RH2 11</t>
  </si>
  <si>
    <t>BSS*VP1 8</t>
  </si>
  <si>
    <t>BSS*VP1 9</t>
  </si>
  <si>
    <t>BSS*VP1 10</t>
  </si>
  <si>
    <t>BSS*VP1 11</t>
  </si>
  <si>
    <t>BSS*VP2 8</t>
  </si>
  <si>
    <t>BSS*VP2 9</t>
  </si>
  <si>
    <t>BSS*VP2 10</t>
  </si>
  <si>
    <t>BSS*VP2 11</t>
  </si>
  <si>
    <t>MAXT*MINT 8</t>
  </si>
  <si>
    <t>MAXT*MINT 9</t>
  </si>
  <si>
    <t>MAXT*MINT 10</t>
  </si>
  <si>
    <t>MAXT*MINT 11</t>
  </si>
  <si>
    <t>MAXT*RH1 8</t>
  </si>
  <si>
    <t>MAXT*RH1 9</t>
  </si>
  <si>
    <t>MAXT*RH1 10</t>
  </si>
  <si>
    <t>MAXT*RH1 11</t>
  </si>
  <si>
    <t>MAXT*RH2 8</t>
  </si>
  <si>
    <t>MAXT*RH2 9</t>
  </si>
  <si>
    <t>MAXT*RH2 10</t>
  </si>
  <si>
    <t>MAXT*RH2 11</t>
  </si>
  <si>
    <t>MAXT*VP1 8</t>
  </si>
  <si>
    <t>MAXT*VP1 9</t>
  </si>
  <si>
    <t>MAXT*VP1 10</t>
  </si>
  <si>
    <t>MAXT*VP1 11</t>
  </si>
  <si>
    <t>MAXT*VP2 8</t>
  </si>
  <si>
    <t>MAXT*VP2 9</t>
  </si>
  <si>
    <t>MAXT*VP2 10</t>
  </si>
  <si>
    <t>MAXT*VP2 11</t>
  </si>
  <si>
    <t>MINT*RH1 8</t>
  </si>
  <si>
    <t>MINT*RH1 9</t>
  </si>
  <si>
    <t>MINT*RH1 10</t>
  </si>
  <si>
    <t>MINT*RH1 11</t>
  </si>
  <si>
    <t>MINT*RH2 8</t>
  </si>
  <si>
    <t>MINT*RH2 9</t>
  </si>
  <si>
    <t>MINT*RH2 10</t>
  </si>
  <si>
    <t>MINT*RH2 11</t>
  </si>
  <si>
    <t>MINT*VP1 8</t>
  </si>
  <si>
    <t>MINT*VP1 9</t>
  </si>
  <si>
    <t>MINT*VP1 10</t>
  </si>
  <si>
    <t>MINT*VP1 11</t>
  </si>
  <si>
    <t>MINT*VP2 8</t>
  </si>
  <si>
    <t>MINT*VP2 9</t>
  </si>
  <si>
    <t>MINT*VP2 10</t>
  </si>
  <si>
    <t>MINT*VP2 11</t>
  </si>
  <si>
    <t>RH1*RH2 8</t>
  </si>
  <si>
    <t>RH1*RH2 9</t>
  </si>
  <si>
    <t>RH1*RH2 10</t>
  </si>
  <si>
    <t>RH1*RH2 11</t>
  </si>
  <si>
    <t>RH1*VP1 8</t>
  </si>
  <si>
    <t>RH1*VP1 9</t>
  </si>
  <si>
    <t>RH1*VP1 10</t>
  </si>
  <si>
    <t>RH1*VP1 11</t>
  </si>
  <si>
    <t>RH1*VP2 8</t>
  </si>
  <si>
    <t>RH1*VP2 9</t>
  </si>
  <si>
    <t>RH1*VP2 10</t>
  </si>
  <si>
    <t>RH1*VP2 11</t>
  </si>
  <si>
    <t>RH2*VP1 8</t>
  </si>
  <si>
    <t>RH2*VP1 9</t>
  </si>
  <si>
    <t>RH2*VP1 10</t>
  </si>
  <si>
    <t>RH2*VP1 11</t>
  </si>
  <si>
    <t>RH2*VP2 8</t>
  </si>
  <si>
    <t>RH2*VP2 9</t>
  </si>
  <si>
    <t>RH2*VP2 10</t>
  </si>
  <si>
    <t>RH2*VP2 11</t>
  </si>
  <si>
    <t>VP1*VP2 8</t>
  </si>
  <si>
    <t>VP1*VP2 9</t>
  </si>
  <si>
    <t>VP1*VP2 10</t>
  </si>
  <si>
    <t>VP1*VP2 11</t>
  </si>
  <si>
    <t>2015-16</t>
  </si>
  <si>
    <r>
      <rPr>
        <b/>
        <sz val="9"/>
        <color indexed="8"/>
        <rFont val="Arial Bold"/>
      </rPr>
      <t>Model Summary</t>
    </r>
  </si>
  <si>
    <r>
      <rPr>
        <sz val="9"/>
        <color indexed="8"/>
        <rFont val="Arial"/>
      </rPr>
      <t>Model</t>
    </r>
  </si>
  <si>
    <r>
      <rPr>
        <sz val="9"/>
        <color indexed="8"/>
        <rFont val="Arial"/>
      </rPr>
      <t>R</t>
    </r>
  </si>
  <si>
    <r>
      <rPr>
        <sz val="9"/>
        <color indexed="8"/>
        <rFont val="Arial"/>
      </rPr>
      <t>R Square</t>
    </r>
  </si>
  <si>
    <r>
      <rPr>
        <sz val="9"/>
        <color indexed="8"/>
        <rFont val="Arial"/>
      </rPr>
      <t>Adjusted R Square</t>
    </r>
  </si>
  <si>
    <r>
      <rPr>
        <sz val="9"/>
        <color indexed="8"/>
        <rFont val="Arial"/>
      </rPr>
      <t>Std. Error of the Estimate</t>
    </r>
  </si>
  <si>
    <r>
      <rPr>
        <sz val="9"/>
        <color indexed="8"/>
        <rFont val="Arial"/>
      </rPr>
      <t>.888</t>
    </r>
    <r>
      <rPr>
        <vertAlign val="superscript"/>
        <sz val="9"/>
        <color indexed="8"/>
        <rFont val="Arial"/>
      </rPr>
      <t>a</t>
    </r>
  </si>
  <si>
    <r>
      <rPr>
        <sz val="9"/>
        <color indexed="8"/>
        <rFont val="Arial"/>
      </rPr>
      <t>.916</t>
    </r>
    <r>
      <rPr>
        <vertAlign val="superscript"/>
        <sz val="9"/>
        <color indexed="8"/>
        <rFont val="Arial"/>
      </rPr>
      <t>b</t>
    </r>
  </si>
  <si>
    <r>
      <rPr>
        <sz val="9"/>
        <color indexed="8"/>
        <rFont val="Arial"/>
      </rPr>
      <t>.938</t>
    </r>
    <r>
      <rPr>
        <vertAlign val="superscript"/>
        <sz val="9"/>
        <color indexed="8"/>
        <rFont val="Arial"/>
      </rPr>
      <t>c</t>
    </r>
  </si>
  <si>
    <r>
      <rPr>
        <b/>
        <sz val="9"/>
        <color indexed="8"/>
        <rFont val="Arial Bold"/>
      </rPr>
      <t>ANOVA</t>
    </r>
    <r>
      <rPr>
        <b/>
        <vertAlign val="superscript"/>
        <sz val="9"/>
        <color indexed="8"/>
        <rFont val="Arial Bold"/>
      </rPr>
      <t>d</t>
    </r>
  </si>
  <si>
    <r>
      <rPr>
        <sz val="9"/>
        <color indexed="8"/>
        <rFont val="Arial"/>
      </rPr>
      <t>Sum of Squares</t>
    </r>
  </si>
  <si>
    <r>
      <rPr>
        <sz val="9"/>
        <color indexed="8"/>
        <rFont val="Arial"/>
      </rPr>
      <t>df</t>
    </r>
  </si>
  <si>
    <r>
      <rPr>
        <sz val="9"/>
        <color indexed="8"/>
        <rFont val="Arial"/>
      </rPr>
      <t>Mean Square</t>
    </r>
  </si>
  <si>
    <r>
      <rPr>
        <sz val="9"/>
        <color indexed="8"/>
        <rFont val="Arial"/>
      </rPr>
      <t>F</t>
    </r>
  </si>
  <si>
    <r>
      <rPr>
        <sz val="9"/>
        <color indexed="8"/>
        <rFont val="Arial"/>
      </rPr>
      <t>Sig.</t>
    </r>
  </si>
  <si>
    <r>
      <rPr>
        <sz val="9"/>
        <color indexed="8"/>
        <rFont val="Arial"/>
      </rPr>
      <t>Regression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</si>
  <si>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a</t>
    </r>
  </si>
  <si>
    <r>
      <rPr>
        <sz val="9"/>
        <color indexed="8"/>
        <rFont val="Arial"/>
      </rPr>
      <t>Residual</t>
    </r>
  </si>
  <si>
    <r>
      <rPr>
        <sz val="9"/>
        <color indexed="8"/>
        <rFont val="Arial"/>
      </rPr>
      <t>Total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</si>
  <si>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b</t>
    </r>
  </si>
  <si>
    <r>
      <rPr>
        <sz val="9"/>
        <color indexed="8"/>
        <rFont val="Arial"/>
      </rPr>
      <t>.000</t>
    </r>
    <r>
      <rPr>
        <vertAlign val="superscript"/>
        <sz val="9"/>
        <color indexed="8"/>
        <rFont val="Arial"/>
      </rPr>
      <t>c</t>
    </r>
  </si>
  <si>
    <r>
      <rPr>
        <b/>
        <sz val="9"/>
        <color indexed="8"/>
        <rFont val="Arial Bold"/>
      </rPr>
      <t>Coefficients</t>
    </r>
    <r>
      <rPr>
        <b/>
        <vertAlign val="superscript"/>
        <sz val="9"/>
        <color indexed="8"/>
        <rFont val="Arial Bold"/>
      </rPr>
      <t>a</t>
    </r>
  </si>
  <si>
    <r>
      <rPr>
        <sz val="9"/>
        <color indexed="8"/>
        <rFont val="Arial"/>
      </rPr>
      <t>Unstandardized Coefficients</t>
    </r>
  </si>
  <si>
    <r>
      <rPr>
        <sz val="9"/>
        <color indexed="8"/>
        <rFont val="Arial"/>
      </rPr>
      <t>Standardized Coefficients</t>
    </r>
  </si>
  <si>
    <r>
      <rPr>
        <sz val="9"/>
        <color indexed="8"/>
        <rFont val="Arial"/>
      </rPr>
      <t>t</t>
    </r>
  </si>
  <si>
    <r>
      <rPr>
        <sz val="9"/>
        <color indexed="8"/>
        <rFont val="Arial"/>
      </rPr>
      <t>B</t>
    </r>
  </si>
  <si>
    <r>
      <rPr>
        <sz val="9"/>
        <color indexed="8"/>
        <rFont val="Arial"/>
      </rPr>
      <t>Std. Error</t>
    </r>
  </si>
  <si>
    <r>
      <rPr>
        <sz val="9"/>
        <color indexed="8"/>
        <rFont val="Arial"/>
      </rPr>
      <t>Beta</t>
    </r>
  </si>
  <si>
    <r>
      <rPr>
        <sz val="9"/>
        <color indexed="8"/>
        <rFont val="Arial"/>
      </rPr>
      <t>(Constant)</t>
    </r>
  </si>
  <si>
    <r>
      <rPr>
        <sz val="9"/>
        <color indexed="8"/>
        <rFont val="Arial"/>
      </rPr>
      <t>Z231</t>
    </r>
  </si>
  <si>
    <r>
      <rPr>
        <sz val="9"/>
        <color indexed="8"/>
        <rFont val="Arial"/>
      </rPr>
      <t>Z121</t>
    </r>
  </si>
  <si>
    <r>
      <rPr>
        <sz val="9"/>
        <color indexed="8"/>
        <rFont val="Arial"/>
      </rPr>
      <t>Z10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</si>
</sst>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.000"/>
    <numFmt numFmtId="165" formatCode="0.0"/>
    <numFmt numFmtId="166" formatCode="###0"/>
  </numFmts>
  <fonts count="21" x14ac:knownFonts="1">
    <font>
      <sz val="11"/>
      <color theme="1"/>
      <name val="Calibri"/>
      <family val="2"/>
      <scheme val="minor"/>
    </font>
    <font>
      <b/>
      <sz val="11"/>
      <color rgb="FFFF3300"/>
      <name val="Calibri"/>
      <family val="2"/>
      <scheme val="minor"/>
    </font>
    <font>
      <sz val="11"/>
      <color rgb="FFFF33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color indexed="8"/>
      <name val="Arial Bold"/>
    </font>
    <font>
      <sz val="7"/>
      <color indexed="8"/>
      <name val="Arial"/>
      <family val="2"/>
    </font>
    <font>
      <vertAlign val="superscript"/>
      <sz val="7"/>
      <color indexed="8"/>
      <name val="Arial"/>
      <family val="2"/>
    </font>
    <font>
      <b/>
      <vertAlign val="superscript"/>
      <sz val="7"/>
      <color indexed="8"/>
      <name val="Arial Bold"/>
    </font>
    <font>
      <sz val="11"/>
      <name val="Calibri"/>
      <family val="2"/>
      <scheme val="minor"/>
    </font>
    <font>
      <sz val="10"/>
      <name val="Arial"/>
    </font>
    <font>
      <sz val="10.5"/>
      <color theme="1"/>
      <name val="Times New Roman"/>
      <family val="1"/>
    </font>
    <font>
      <b/>
      <sz val="10"/>
      <color indexed="8"/>
      <name val="Arial Bold"/>
    </font>
    <font>
      <b/>
      <sz val="9"/>
      <color indexed="8"/>
      <name val="Arial Bold"/>
    </font>
    <font>
      <sz val="9"/>
      <color indexed="8"/>
      <name val="Arial"/>
    </font>
    <font>
      <vertAlign val="superscript"/>
      <sz val="9"/>
      <color indexed="8"/>
      <name val="Arial"/>
    </font>
    <font>
      <b/>
      <vertAlign val="superscript"/>
      <sz val="9"/>
      <color indexed="8"/>
      <name val="Arial Bold"/>
    </font>
    <font>
      <sz val="10"/>
      <color indexed="8"/>
      <name val="Arial Bold"/>
    </font>
    <font>
      <sz val="10"/>
      <color indexed="8"/>
      <name val="Arial"/>
      <family val="2"/>
    </font>
    <font>
      <sz val="11"/>
      <color theme="1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3">
    <xf numFmtId="0" fontId="0" fillId="0" borderId="0"/>
    <xf numFmtId="0" fontId="4" fillId="0" borderId="0"/>
    <xf numFmtId="0" fontId="10" fillId="0" borderId="0"/>
  </cellStyleXfs>
  <cellXfs count="109">
    <xf numFmtId="0" fontId="0" fillId="0" borderId="0" xfId="0"/>
    <xf numFmtId="1" fontId="0" fillId="0" borderId="0" xfId="0" applyNumberFormat="1" applyAlignment="1">
      <alignment horizontal="center"/>
    </xf>
    <xf numFmtId="0" fontId="1" fillId="0" borderId="0" xfId="0" applyFont="1" applyFill="1"/>
    <xf numFmtId="0" fontId="2" fillId="0" borderId="0" xfId="0" applyFont="1"/>
    <xf numFmtId="0" fontId="0" fillId="0" borderId="0" xfId="0" applyFill="1" applyBorder="1" applyAlignment="1"/>
    <xf numFmtId="165" fontId="9" fillId="0" borderId="0" xfId="0" applyNumberFormat="1" applyFont="1" applyAlignment="1">
      <alignment horizontal="center"/>
    </xf>
    <xf numFmtId="165" fontId="4" fillId="0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4" fillId="0" borderId="0" xfId="1" applyBorder="1"/>
    <xf numFmtId="0" fontId="6" fillId="0" borderId="0" xfId="1" applyFont="1" applyBorder="1" applyAlignment="1">
      <alignment horizontal="center" wrapText="1"/>
    </xf>
    <xf numFmtId="164" fontId="6" fillId="0" borderId="0" xfId="1" applyNumberFormat="1" applyFont="1" applyBorder="1" applyAlignment="1">
      <alignment horizontal="right" vertical="top"/>
    </xf>
    <xf numFmtId="0" fontId="4" fillId="0" borderId="0" xfId="1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" fontId="0" fillId="0" borderId="0" xfId="0" applyNumberFormat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1" fontId="0" fillId="0" borderId="0" xfId="0" applyNumberFormat="1"/>
    <xf numFmtId="165" fontId="9" fillId="2" borderId="0" xfId="0" applyNumberFormat="1" applyFont="1" applyFill="1" applyBorder="1" applyAlignment="1">
      <alignment horizontal="center"/>
    </xf>
    <xf numFmtId="165" fontId="9" fillId="2" borderId="0" xfId="0" applyNumberFormat="1" applyFont="1" applyFill="1" applyAlignment="1">
      <alignment horizontal="center"/>
    </xf>
    <xf numFmtId="165" fontId="11" fillId="0" borderId="0" xfId="0" applyNumberFormat="1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1" applyFont="1" applyBorder="1" applyAlignment="1">
      <alignment horizontal="center" vertical="center"/>
    </xf>
    <xf numFmtId="164" fontId="7" fillId="0" borderId="0" xfId="1" applyNumberFormat="1" applyFont="1" applyBorder="1" applyAlignment="1">
      <alignment horizontal="center" vertical="top"/>
    </xf>
    <xf numFmtId="0" fontId="4" fillId="0" borderId="0" xfId="1" applyBorder="1" applyAlignment="1">
      <alignment horizontal="center"/>
    </xf>
    <xf numFmtId="0" fontId="8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center" vertical="top" wrapText="1"/>
    </xf>
    <xf numFmtId="0" fontId="10" fillId="0" borderId="0" xfId="2"/>
    <xf numFmtId="0" fontId="14" fillId="0" borderId="3" xfId="2" applyFont="1" applyBorder="1" applyAlignment="1">
      <alignment horizontal="left" wrapText="1"/>
    </xf>
    <xf numFmtId="0" fontId="14" fillId="0" borderId="4" xfId="2" applyFont="1" applyBorder="1" applyAlignment="1">
      <alignment horizontal="center" wrapText="1"/>
    </xf>
    <xf numFmtId="0" fontId="14" fillId="0" borderId="5" xfId="2" applyFont="1" applyBorder="1" applyAlignment="1">
      <alignment horizontal="center" wrapText="1"/>
    </xf>
    <xf numFmtId="0" fontId="14" fillId="0" borderId="6" xfId="2" applyFont="1" applyBorder="1" applyAlignment="1">
      <alignment horizontal="center" wrapText="1"/>
    </xf>
    <xf numFmtId="0" fontId="14" fillId="0" borderId="7" xfId="2" applyFont="1" applyBorder="1" applyAlignment="1">
      <alignment horizontal="left" vertical="top" wrapText="1"/>
    </xf>
    <xf numFmtId="164" fontId="15" fillId="0" borderId="8" xfId="2" applyNumberFormat="1" applyFont="1" applyBorder="1" applyAlignment="1">
      <alignment horizontal="right" vertical="top"/>
    </xf>
    <xf numFmtId="164" fontId="14" fillId="0" borderId="9" xfId="2" applyNumberFormat="1" applyFont="1" applyBorder="1" applyAlignment="1">
      <alignment horizontal="right" vertical="top"/>
    </xf>
    <xf numFmtId="164" fontId="14" fillId="0" borderId="10" xfId="2" applyNumberFormat="1" applyFont="1" applyBorder="1" applyAlignment="1">
      <alignment horizontal="right" vertical="top"/>
    </xf>
    <xf numFmtId="0" fontId="14" fillId="0" borderId="11" xfId="2" applyFont="1" applyBorder="1" applyAlignment="1">
      <alignment horizontal="left" vertical="top" wrapText="1"/>
    </xf>
    <xf numFmtId="164" fontId="15" fillId="0" borderId="12" xfId="2" applyNumberFormat="1" applyFont="1" applyBorder="1" applyAlignment="1">
      <alignment horizontal="right" vertical="top"/>
    </xf>
    <xf numFmtId="164" fontId="14" fillId="0" borderId="13" xfId="2" applyNumberFormat="1" applyFont="1" applyBorder="1" applyAlignment="1">
      <alignment horizontal="right" vertical="top"/>
    </xf>
    <xf numFmtId="164" fontId="14" fillId="0" borderId="14" xfId="2" applyNumberFormat="1" applyFont="1" applyBorder="1" applyAlignment="1">
      <alignment horizontal="right" vertical="top"/>
    </xf>
    <xf numFmtId="0" fontId="14" fillId="0" borderId="15" xfId="2" applyFont="1" applyBorder="1" applyAlignment="1">
      <alignment horizontal="left" vertical="top" wrapText="1"/>
    </xf>
    <xf numFmtId="164" fontId="15" fillId="0" borderId="16" xfId="2" applyNumberFormat="1" applyFont="1" applyBorder="1" applyAlignment="1">
      <alignment horizontal="right" vertical="top"/>
    </xf>
    <xf numFmtId="164" fontId="14" fillId="0" borderId="17" xfId="2" applyNumberFormat="1" applyFont="1" applyBorder="1" applyAlignment="1">
      <alignment horizontal="right" vertical="top"/>
    </xf>
    <xf numFmtId="164" fontId="14" fillId="0" borderId="18" xfId="2" applyNumberFormat="1" applyFont="1" applyBorder="1" applyAlignment="1">
      <alignment horizontal="right" vertical="top"/>
    </xf>
    <xf numFmtId="0" fontId="14" fillId="0" borderId="3" xfId="2" applyFont="1" applyBorder="1" applyAlignment="1">
      <alignment horizontal="left" wrapText="1"/>
    </xf>
    <xf numFmtId="0" fontId="14" fillId="0" borderId="21" xfId="2" applyFont="1" applyBorder="1" applyAlignment="1">
      <alignment horizontal="left" vertical="top" wrapText="1"/>
    </xf>
    <xf numFmtId="164" fontId="14" fillId="0" borderId="8" xfId="2" applyNumberFormat="1" applyFont="1" applyBorder="1" applyAlignment="1">
      <alignment horizontal="right" vertical="top"/>
    </xf>
    <xf numFmtId="166" fontId="14" fillId="0" borderId="9" xfId="2" applyNumberFormat="1" applyFont="1" applyBorder="1" applyAlignment="1">
      <alignment horizontal="right" vertical="top"/>
    </xf>
    <xf numFmtId="164" fontId="15" fillId="0" borderId="10" xfId="2" applyNumberFormat="1" applyFont="1" applyBorder="1" applyAlignment="1">
      <alignment horizontal="right" vertical="top"/>
    </xf>
    <xf numFmtId="0" fontId="14" fillId="0" borderId="23" xfId="2" applyFont="1" applyBorder="1" applyAlignment="1">
      <alignment horizontal="left" vertical="top" wrapText="1"/>
    </xf>
    <xf numFmtId="164" fontId="14" fillId="0" borderId="12" xfId="2" applyNumberFormat="1" applyFont="1" applyBorder="1" applyAlignment="1">
      <alignment horizontal="right" vertical="top"/>
    </xf>
    <xf numFmtId="166" fontId="14" fillId="0" borderId="13" xfId="2" applyNumberFormat="1" applyFont="1" applyBorder="1" applyAlignment="1">
      <alignment horizontal="right" vertical="top"/>
    </xf>
    <xf numFmtId="0" fontId="10" fillId="0" borderId="13" xfId="2" applyFont="1" applyBorder="1" applyAlignment="1">
      <alignment horizontal="center" vertical="center"/>
    </xf>
    <xf numFmtId="0" fontId="10" fillId="0" borderId="14" xfId="2" applyFont="1" applyBorder="1" applyAlignment="1">
      <alignment horizontal="center" vertical="center"/>
    </xf>
    <xf numFmtId="0" fontId="14" fillId="0" borderId="25" xfId="2" applyFont="1" applyBorder="1" applyAlignment="1">
      <alignment horizontal="left" vertical="top" wrapText="1"/>
    </xf>
    <xf numFmtId="164" fontId="14" fillId="0" borderId="26" xfId="2" applyNumberFormat="1" applyFont="1" applyBorder="1" applyAlignment="1">
      <alignment horizontal="right" vertical="top"/>
    </xf>
    <xf numFmtId="166" fontId="14" fillId="0" borderId="27" xfId="2" applyNumberFormat="1" applyFont="1" applyBorder="1" applyAlignment="1">
      <alignment horizontal="right" vertical="top"/>
    </xf>
    <xf numFmtId="0" fontId="10" fillId="0" borderId="27" xfId="2" applyFont="1" applyBorder="1" applyAlignment="1">
      <alignment horizontal="center" vertical="center"/>
    </xf>
    <xf numFmtId="0" fontId="10" fillId="0" borderId="28" xfId="2" applyFont="1" applyBorder="1" applyAlignment="1">
      <alignment horizontal="center" vertical="center"/>
    </xf>
    <xf numFmtId="0" fontId="14" fillId="0" borderId="30" xfId="2" applyFont="1" applyBorder="1" applyAlignment="1">
      <alignment horizontal="left" vertical="top" wrapText="1"/>
    </xf>
    <xf numFmtId="164" fontId="14" fillId="0" borderId="31" xfId="2" applyNumberFormat="1" applyFont="1" applyBorder="1" applyAlignment="1">
      <alignment horizontal="right" vertical="top"/>
    </xf>
    <xf numFmtId="166" fontId="14" fillId="0" borderId="32" xfId="2" applyNumberFormat="1" applyFont="1" applyBorder="1" applyAlignment="1">
      <alignment horizontal="right" vertical="top"/>
    </xf>
    <xf numFmtId="164" fontId="14" fillId="0" borderId="32" xfId="2" applyNumberFormat="1" applyFont="1" applyBorder="1" applyAlignment="1">
      <alignment horizontal="right" vertical="top"/>
    </xf>
    <xf numFmtId="164" fontId="15" fillId="0" borderId="33" xfId="2" applyNumberFormat="1" applyFont="1" applyBorder="1" applyAlignment="1">
      <alignment horizontal="right" vertical="top"/>
    </xf>
    <xf numFmtId="0" fontId="14" fillId="0" borderId="36" xfId="2" applyFont="1" applyBorder="1" applyAlignment="1">
      <alignment horizontal="left" vertical="top" wrapText="1"/>
    </xf>
    <xf numFmtId="164" fontId="14" fillId="0" borderId="16" xfId="2" applyNumberFormat="1" applyFont="1" applyBorder="1" applyAlignment="1">
      <alignment horizontal="right" vertical="top"/>
    </xf>
    <xf numFmtId="166" fontId="14" fillId="0" borderId="17" xfId="2" applyNumberFormat="1" applyFont="1" applyBorder="1" applyAlignment="1">
      <alignment horizontal="right" vertical="top"/>
    </xf>
    <xf numFmtId="0" fontId="10" fillId="0" borderId="17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0" fontId="14" fillId="0" borderId="39" xfId="2" applyFont="1" applyBorder="1" applyAlignment="1">
      <alignment horizontal="center" wrapText="1"/>
    </xf>
    <xf numFmtId="0" fontId="14" fillId="0" borderId="5" xfId="2" applyFont="1" applyBorder="1" applyAlignment="1">
      <alignment horizontal="center" wrapText="1"/>
    </xf>
    <xf numFmtId="0" fontId="14" fillId="0" borderId="6" xfId="2" applyFont="1" applyBorder="1" applyAlignment="1">
      <alignment horizontal="center" wrapText="1"/>
    </xf>
    <xf numFmtId="0" fontId="14" fillId="0" borderId="40" xfId="2" applyFont="1" applyBorder="1" applyAlignment="1">
      <alignment horizontal="center" wrapText="1"/>
    </xf>
    <xf numFmtId="0" fontId="14" fillId="0" borderId="41" xfId="2" applyFont="1" applyBorder="1" applyAlignment="1">
      <alignment horizontal="center" wrapText="1"/>
    </xf>
    <xf numFmtId="0" fontId="10" fillId="0" borderId="9" xfId="2" applyFont="1" applyBorder="1" applyAlignment="1">
      <alignment horizontal="center" vertical="center"/>
    </xf>
    <xf numFmtId="164" fontId="14" fillId="0" borderId="27" xfId="2" applyNumberFormat="1" applyFont="1" applyBorder="1" applyAlignment="1">
      <alignment horizontal="right" vertical="top"/>
    </xf>
    <xf numFmtId="164" fontId="14" fillId="0" borderId="28" xfId="2" applyNumberFormat="1" applyFont="1" applyBorder="1" applyAlignment="1">
      <alignment horizontal="right" vertical="top"/>
    </xf>
    <xf numFmtId="0" fontId="10" fillId="0" borderId="32" xfId="2" applyFont="1" applyBorder="1" applyAlignment="1">
      <alignment horizontal="center" vertical="center"/>
    </xf>
    <xf numFmtId="164" fontId="14" fillId="0" borderId="33" xfId="2" applyNumberFormat="1" applyFont="1" applyBorder="1" applyAlignment="1">
      <alignment horizontal="right" vertical="top"/>
    </xf>
    <xf numFmtId="0" fontId="12" fillId="0" borderId="0" xfId="1" applyFont="1" applyBorder="1" applyAlignment="1">
      <alignment horizontal="center" vertical="center"/>
    </xf>
    <xf numFmtId="0" fontId="17" fillId="0" borderId="0" xfId="1" applyFont="1" applyBorder="1" applyAlignment="1">
      <alignment vertical="center" wrapText="1"/>
    </xf>
    <xf numFmtId="0" fontId="17" fillId="0" borderId="0" xfId="1" applyFont="1" applyBorder="1" applyAlignment="1">
      <alignment horizontal="center" vertical="center"/>
    </xf>
    <xf numFmtId="1" fontId="18" fillId="0" borderId="0" xfId="1" applyNumberFormat="1" applyFont="1" applyBorder="1" applyAlignment="1">
      <alignment horizontal="center" vertical="center"/>
    </xf>
    <xf numFmtId="1" fontId="19" fillId="0" borderId="0" xfId="0" applyNumberFormat="1" applyFont="1" applyAlignment="1">
      <alignment horizontal="center"/>
    </xf>
    <xf numFmtId="1" fontId="20" fillId="0" borderId="0" xfId="1" applyNumberFormat="1" applyFont="1" applyBorder="1" applyAlignment="1">
      <alignment horizontal="center" vertical="center"/>
    </xf>
    <xf numFmtId="0" fontId="14" fillId="0" borderId="34" xfId="2" applyFont="1" applyBorder="1" applyAlignment="1">
      <alignment horizontal="left" vertical="top" wrapText="1"/>
    </xf>
    <xf numFmtId="0" fontId="16" fillId="0" borderId="22" xfId="2" applyFont="1" applyBorder="1" applyAlignment="1">
      <alignment horizontal="center" vertical="center"/>
    </xf>
    <xf numFmtId="0" fontId="16" fillId="0" borderId="35" xfId="2" applyFont="1" applyBorder="1" applyAlignment="1">
      <alignment horizontal="center" vertical="center"/>
    </xf>
    <xf numFmtId="0" fontId="13" fillId="0" borderId="0" xfId="2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16" fillId="0" borderId="0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center" vertical="center"/>
    </xf>
    <xf numFmtId="0" fontId="14" fillId="0" borderId="3" xfId="2" applyFont="1" applyBorder="1" applyAlignment="1">
      <alignment horizontal="left" wrapText="1"/>
    </xf>
    <xf numFmtId="0" fontId="16" fillId="0" borderId="19" xfId="2" applyFont="1" applyBorder="1" applyAlignment="1">
      <alignment horizontal="center" vertical="center"/>
    </xf>
    <xf numFmtId="0" fontId="14" fillId="0" borderId="20" xfId="2" applyFont="1" applyBorder="1" applyAlignment="1">
      <alignment horizontal="left" vertical="top" wrapText="1"/>
    </xf>
    <xf numFmtId="0" fontId="16" fillId="0" borderId="24" xfId="2" applyFont="1" applyBorder="1" applyAlignment="1">
      <alignment horizontal="center" vertical="center"/>
    </xf>
    <xf numFmtId="0" fontId="14" fillId="0" borderId="29" xfId="2" applyFont="1" applyBorder="1" applyAlignment="1">
      <alignment horizontal="left" vertical="top" wrapText="1"/>
    </xf>
    <xf numFmtId="0" fontId="16" fillId="0" borderId="21" xfId="2" applyFont="1" applyBorder="1" applyAlignment="1">
      <alignment horizontal="center" vertical="center"/>
    </xf>
    <xf numFmtId="0" fontId="16" fillId="0" borderId="36" xfId="2" applyFont="1" applyBorder="1" applyAlignment="1">
      <alignment horizontal="center" vertical="center"/>
    </xf>
    <xf numFmtId="0" fontId="14" fillId="0" borderId="37" xfId="2" applyFont="1" applyBorder="1" applyAlignment="1">
      <alignment horizontal="center" wrapText="1"/>
    </xf>
    <xf numFmtId="0" fontId="16" fillId="0" borderId="38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wrapText="1"/>
    </xf>
    <xf numFmtId="0" fontId="16" fillId="0" borderId="17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wrapText="1"/>
    </xf>
    <xf numFmtId="0" fontId="16" fillId="0" borderId="18" xfId="2" applyFont="1" applyBorder="1" applyAlignment="1">
      <alignment horizontal="center" vertical="center"/>
    </xf>
  </cellXfs>
  <cellStyles count="3">
    <cellStyle name="Normal" xfId="0" builtinId="0"/>
    <cellStyle name="Normal_Sheet1" xfId="2"/>
    <cellStyle name="Normal_VALIDATION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10"/>
  <sheetViews>
    <sheetView tabSelected="1" topLeftCell="A755" zoomScale="70" zoomScaleNormal="70" workbookViewId="0">
      <selection activeCell="AK31" sqref="AK31"/>
    </sheetView>
  </sheetViews>
  <sheetFormatPr defaultRowHeight="15" x14ac:dyDescent="0.25"/>
  <sheetData>
    <row r="1" spans="1:27" x14ac:dyDescent="0.25">
      <c r="B1" t="s">
        <v>303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333</v>
      </c>
      <c r="M1" t="s">
        <v>361</v>
      </c>
      <c r="N1" t="s">
        <v>362</v>
      </c>
      <c r="O1" t="s">
        <v>363</v>
      </c>
      <c r="P1" t="s">
        <v>446</v>
      </c>
      <c r="Q1" t="s">
        <v>447</v>
      </c>
      <c r="R1" t="s">
        <v>448</v>
      </c>
      <c r="S1" t="s">
        <v>449</v>
      </c>
      <c r="T1" t="s">
        <v>558</v>
      </c>
      <c r="U1" t="s">
        <v>559</v>
      </c>
      <c r="V1" t="s">
        <v>560</v>
      </c>
      <c r="W1" t="s">
        <v>561</v>
      </c>
      <c r="Y1" t="s">
        <v>41</v>
      </c>
      <c r="Z1" t="s">
        <v>42</v>
      </c>
    </row>
    <row r="2" spans="1:27" x14ac:dyDescent="0.25">
      <c r="A2" t="s">
        <v>43</v>
      </c>
      <c r="B2" s="20">
        <v>1964</v>
      </c>
      <c r="C2">
        <v>1</v>
      </c>
      <c r="D2" s="15">
        <v>10.014285714285716</v>
      </c>
      <c r="E2" s="15">
        <v>10.042857142857143</v>
      </c>
      <c r="F2" s="15">
        <v>9.6571428571428566</v>
      </c>
      <c r="G2" s="15">
        <v>9.171428571428569</v>
      </c>
      <c r="H2" s="15">
        <v>9.514285714285716</v>
      </c>
      <c r="I2" s="15">
        <v>8.4</v>
      </c>
      <c r="J2" s="15">
        <v>9.6285714285714299</v>
      </c>
      <c r="K2" s="15">
        <v>9.4142857142857146</v>
      </c>
      <c r="L2" s="15">
        <v>9.1999999999999993</v>
      </c>
      <c r="M2" s="15">
        <v>8.4214285714285708</v>
      </c>
      <c r="N2" s="15">
        <v>7.5333333333333341</v>
      </c>
      <c r="O2" s="15">
        <v>8.7071428571428573</v>
      </c>
      <c r="P2" s="15">
        <v>9.1071428571428559</v>
      </c>
      <c r="Q2" s="15">
        <v>8.9785714285714295</v>
      </c>
      <c r="R2" s="15">
        <v>10.185714285714285</v>
      </c>
      <c r="S2" s="15">
        <v>9.757142857142858</v>
      </c>
      <c r="T2" s="15">
        <v>9.5142857142857142</v>
      </c>
      <c r="U2" s="15">
        <v>8.757142857142858</v>
      </c>
      <c r="V2" s="15">
        <v>10.085714285714285</v>
      </c>
      <c r="W2" s="15">
        <v>10.228571428571428</v>
      </c>
      <c r="Y2" s="15">
        <f>SUM(D2:W2)</f>
        <v>186.31904761904764</v>
      </c>
      <c r="Z2">
        <f t="shared" ref="Z2:Z21" si="0">SUMPRODUCT($D$27:$W$27,D2:W2)</f>
        <v>-7.9874518994550492</v>
      </c>
    </row>
    <row r="3" spans="1:27" x14ac:dyDescent="0.25">
      <c r="A3" t="s">
        <v>44</v>
      </c>
      <c r="B3" s="20">
        <v>2053</v>
      </c>
      <c r="C3">
        <v>2</v>
      </c>
      <c r="D3" s="15">
        <v>9.7571428571428562</v>
      </c>
      <c r="E3" s="15">
        <v>9.6857142857142851</v>
      </c>
      <c r="F3" s="15">
        <v>5.9857142857142858</v>
      </c>
      <c r="G3" s="15">
        <v>9.3857142857142861</v>
      </c>
      <c r="H3" s="15">
        <v>8.9428571428571413</v>
      </c>
      <c r="I3" s="15">
        <v>9.2285714285714295</v>
      </c>
      <c r="J3" s="15">
        <v>9.3857142857142861</v>
      </c>
      <c r="K3" s="15">
        <v>8.9142857142857146</v>
      </c>
      <c r="L3" s="15">
        <v>8.6499999999999986</v>
      </c>
      <c r="M3" s="15">
        <v>7.4571428571428573</v>
      </c>
      <c r="N3" s="15">
        <v>6.0285714285714276</v>
      </c>
      <c r="O3" s="15">
        <v>8.6571428571428566</v>
      </c>
      <c r="P3" s="15">
        <v>9.0142857142857142</v>
      </c>
      <c r="Q3" s="15">
        <v>9.4571428571428573</v>
      </c>
      <c r="R3" s="15">
        <v>9.4571428571428573</v>
      </c>
      <c r="S3" s="15">
        <v>9.7428571428571438</v>
      </c>
      <c r="T3" s="15">
        <v>9.6428571428571406</v>
      </c>
      <c r="U3" s="15">
        <v>9.9</v>
      </c>
      <c r="V3" s="15">
        <v>9.3142857142857149</v>
      </c>
      <c r="W3" s="15">
        <v>9.3142857142857149</v>
      </c>
      <c r="Y3" s="15">
        <f t="shared" ref="Y3:Y25" si="1">SUM(D3:W3)</f>
        <v>177.92142857142858</v>
      </c>
      <c r="Z3">
        <f t="shared" si="0"/>
        <v>-7.7318442382889181</v>
      </c>
    </row>
    <row r="4" spans="1:27" x14ac:dyDescent="0.25">
      <c r="A4" t="s">
        <v>45</v>
      </c>
      <c r="B4" s="20">
        <v>2211</v>
      </c>
      <c r="C4">
        <v>3</v>
      </c>
      <c r="D4" s="15">
        <v>7.7714285714285714</v>
      </c>
      <c r="E4" s="15">
        <v>8.0142857142857142</v>
      </c>
      <c r="F4" s="15">
        <v>8.4714285714285733</v>
      </c>
      <c r="G4" s="15">
        <v>8.9571428571428573</v>
      </c>
      <c r="H4" s="15">
        <v>8.2999999999999989</v>
      </c>
      <c r="I4" s="15">
        <v>8.6428571428571441</v>
      </c>
      <c r="J4" s="15">
        <v>8.8571428571428577</v>
      </c>
      <c r="K4" s="15">
        <v>8.1571428571428566</v>
      </c>
      <c r="L4" s="15">
        <v>8.7124999999999986</v>
      </c>
      <c r="M4" s="15">
        <v>8.8285714285714274</v>
      </c>
      <c r="N4" s="15">
        <v>5.2285714285714286</v>
      </c>
      <c r="O4" s="15">
        <v>7.5857142857142863</v>
      </c>
      <c r="P4" s="15">
        <v>8.9</v>
      </c>
      <c r="Q4" s="15">
        <v>8.9571428571428573</v>
      </c>
      <c r="R4" s="15">
        <v>9.2999999999999989</v>
      </c>
      <c r="S4" s="15">
        <v>8.6428571428571423</v>
      </c>
      <c r="T4" s="15">
        <v>7.2571428571428571</v>
      </c>
      <c r="U4" s="15">
        <v>6.7714285714285722</v>
      </c>
      <c r="V4" s="15">
        <v>8.0285714285714285</v>
      </c>
      <c r="W4" s="15">
        <v>8.1428571428571423</v>
      </c>
      <c r="Y4" s="15">
        <f t="shared" si="1"/>
        <v>163.52678571428575</v>
      </c>
      <c r="Z4">
        <f t="shared" si="0"/>
        <v>-8.4360446492784469</v>
      </c>
    </row>
    <row r="5" spans="1:27" x14ac:dyDescent="0.25">
      <c r="A5" t="s">
        <v>46</v>
      </c>
      <c r="B5" s="20">
        <v>1862</v>
      </c>
      <c r="C5">
        <v>4</v>
      </c>
      <c r="D5" s="15">
        <v>8.3571428571428577</v>
      </c>
      <c r="E5" s="15">
        <v>9.3428571428571416</v>
      </c>
      <c r="F5" s="15">
        <v>9.257142857142858</v>
      </c>
      <c r="G5" s="15">
        <v>8.9</v>
      </c>
      <c r="H5" s="15">
        <v>9.0285714285714285</v>
      </c>
      <c r="I5" s="15">
        <v>8.7714285714285705</v>
      </c>
      <c r="J5" s="15">
        <v>8.6428571428571423</v>
      </c>
      <c r="K5" s="15">
        <v>8.6428571428571423</v>
      </c>
      <c r="L5" s="15">
        <v>8.0124999999999993</v>
      </c>
      <c r="M5" s="15">
        <v>8.0428571428571427</v>
      </c>
      <c r="N5" s="15">
        <v>8.9571428571428573</v>
      </c>
      <c r="O5" s="15">
        <v>8.9285714285714288</v>
      </c>
      <c r="P5" s="15">
        <v>9.1999999999999993</v>
      </c>
      <c r="Q5" s="15">
        <v>9.3142857142857132</v>
      </c>
      <c r="R5" s="15">
        <v>9.3000000000000007</v>
      </c>
      <c r="S5" s="15">
        <v>9.3571428571428577</v>
      </c>
      <c r="T5" s="15">
        <v>9.671428571428569</v>
      </c>
      <c r="U5" s="15">
        <v>9.4714285714285715</v>
      </c>
      <c r="V5" s="15">
        <v>9.2428571428571438</v>
      </c>
      <c r="W5" s="15">
        <v>7.7285714285714286</v>
      </c>
      <c r="Y5" s="15">
        <f t="shared" si="1"/>
        <v>178.16964285714286</v>
      </c>
      <c r="Z5">
        <f t="shared" si="0"/>
        <v>-7.1628488978821281</v>
      </c>
    </row>
    <row r="6" spans="1:27" x14ac:dyDescent="0.25">
      <c r="A6" t="s">
        <v>47</v>
      </c>
      <c r="B6" s="20">
        <v>2355</v>
      </c>
      <c r="C6">
        <v>5</v>
      </c>
      <c r="D6" s="15">
        <v>9.3428571428571434</v>
      </c>
      <c r="E6" s="15">
        <v>9.2571428571428562</v>
      </c>
      <c r="F6" s="15">
        <v>8.9285714285714288</v>
      </c>
      <c r="G6" s="15">
        <v>8.7857142857142865</v>
      </c>
      <c r="H6" s="15">
        <v>9.1285714285714281</v>
      </c>
      <c r="I6" s="15">
        <v>8.1714285714285726</v>
      </c>
      <c r="J6" s="15">
        <v>9.014285714285716</v>
      </c>
      <c r="K6" s="15">
        <v>8.1857142857142868</v>
      </c>
      <c r="L6" s="15">
        <v>7.6374999999999993</v>
      </c>
      <c r="M6" s="15">
        <v>8.9571428571428573</v>
      </c>
      <c r="N6" s="15">
        <v>6.9857142857142867</v>
      </c>
      <c r="O6" s="15">
        <v>8.5428571428571445</v>
      </c>
      <c r="P6" s="15">
        <v>9.1142857142857139</v>
      </c>
      <c r="Q6" s="15">
        <v>8.6285714285714299</v>
      </c>
      <c r="R6" s="15">
        <v>8.8857142857142861</v>
      </c>
      <c r="S6" s="15">
        <v>8.3714285714285719</v>
      </c>
      <c r="T6" s="15">
        <v>9.9285714285714288</v>
      </c>
      <c r="U6" s="15">
        <v>9.171428571428569</v>
      </c>
      <c r="V6" s="15">
        <v>7.6428571428571432</v>
      </c>
      <c r="W6" s="15">
        <v>6.8</v>
      </c>
      <c r="Y6" s="15">
        <f t="shared" si="1"/>
        <v>171.48035714285714</v>
      </c>
      <c r="Z6">
        <f t="shared" si="0"/>
        <v>-7.829513646767321</v>
      </c>
    </row>
    <row r="7" spans="1:27" x14ac:dyDescent="0.25">
      <c r="A7" t="s">
        <v>48</v>
      </c>
      <c r="B7" s="20">
        <v>3140</v>
      </c>
      <c r="C7">
        <v>6</v>
      </c>
      <c r="D7" s="15">
        <v>8.3142857142857149</v>
      </c>
      <c r="E7" s="15">
        <v>8.3857142857142861</v>
      </c>
      <c r="F7" s="15">
        <v>8.242857142857142</v>
      </c>
      <c r="G7" s="15">
        <v>7.1571428571428566</v>
      </c>
      <c r="H7" s="15">
        <v>7.3999999999999995</v>
      </c>
      <c r="I7" s="15">
        <v>6.3142857142857149</v>
      </c>
      <c r="J7" s="15">
        <v>7.8857142857142861</v>
      </c>
      <c r="K7" s="15">
        <v>8.1142857142857139</v>
      </c>
      <c r="L7" s="15">
        <v>7.95</v>
      </c>
      <c r="M7" s="15">
        <v>8.4</v>
      </c>
      <c r="N7" s="15">
        <v>8.9714285714285715</v>
      </c>
      <c r="O7" s="15">
        <v>9.3857142857142861</v>
      </c>
      <c r="P7" s="15">
        <v>9.2285714285714278</v>
      </c>
      <c r="Q7" s="15">
        <v>8.1428571428571423</v>
      </c>
      <c r="R7" s="15">
        <v>9.8571428571428577</v>
      </c>
      <c r="S7" s="15">
        <v>8.7428571428571438</v>
      </c>
      <c r="T7" s="15">
        <v>9.1142857142857157</v>
      </c>
      <c r="U7" s="15">
        <v>9.4857142857142858</v>
      </c>
      <c r="V7" s="15">
        <v>9.2428571428571438</v>
      </c>
      <c r="W7" s="15">
        <v>8.8714285714285719</v>
      </c>
      <c r="Y7" s="15">
        <f t="shared" si="1"/>
        <v>169.20714285714288</v>
      </c>
      <c r="Z7">
        <f t="shared" si="0"/>
        <v>-2.7384666140460747</v>
      </c>
    </row>
    <row r="8" spans="1:27" x14ac:dyDescent="0.25">
      <c r="A8" t="s">
        <v>49</v>
      </c>
      <c r="B8" s="20">
        <v>2127</v>
      </c>
      <c r="C8">
        <v>7</v>
      </c>
      <c r="D8" s="15">
        <v>8.4428571428571448</v>
      </c>
      <c r="E8" s="15">
        <v>8.7857142857142865</v>
      </c>
      <c r="F8" s="15">
        <v>7.7142857142857144</v>
      </c>
      <c r="G8" s="15">
        <v>8.3142857142857132</v>
      </c>
      <c r="H8" s="15">
        <v>7.6999999999999984</v>
      </c>
      <c r="I8" s="15">
        <v>9.3285714285714274</v>
      </c>
      <c r="J8" s="15">
        <v>8.6</v>
      </c>
      <c r="K8" s="15">
        <v>8.4999999999999982</v>
      </c>
      <c r="L8" s="15">
        <v>8.6000000000000014</v>
      </c>
      <c r="M8" s="15">
        <v>8.8428571428571416</v>
      </c>
      <c r="N8" s="15">
        <v>9.0285714285714267</v>
      </c>
      <c r="O8" s="15">
        <v>9.1428571428571423</v>
      </c>
      <c r="P8" s="15">
        <v>9.1857142857142851</v>
      </c>
      <c r="Q8" s="15">
        <v>9.3714285714285719</v>
      </c>
      <c r="R8" s="15">
        <v>8.8428571428571434</v>
      </c>
      <c r="S8" s="15">
        <v>9.4142857142857146</v>
      </c>
      <c r="T8" s="15">
        <v>9.514285714285716</v>
      </c>
      <c r="U8" s="15">
        <v>9.4142857142857146</v>
      </c>
      <c r="V8" s="15">
        <v>8.9571428571428573</v>
      </c>
      <c r="W8" s="15">
        <v>8.4428571428571413</v>
      </c>
      <c r="Y8" s="15">
        <f t="shared" si="1"/>
        <v>176.14285714285714</v>
      </c>
      <c r="Z8">
        <f t="shared" si="0"/>
        <v>-5.5494589600825286</v>
      </c>
    </row>
    <row r="9" spans="1:27" x14ac:dyDescent="0.25">
      <c r="A9" t="s">
        <v>50</v>
      </c>
      <c r="B9" s="20">
        <v>2365</v>
      </c>
      <c r="C9">
        <v>8</v>
      </c>
      <c r="D9" s="15">
        <v>8.8428571428571416</v>
      </c>
      <c r="E9" s="15">
        <v>9.0571428571428587</v>
      </c>
      <c r="F9" s="15">
        <v>9.0714285714285712</v>
      </c>
      <c r="G9" s="15">
        <v>8.3142857142857149</v>
      </c>
      <c r="H9" s="15">
        <v>9</v>
      </c>
      <c r="I9" s="15">
        <v>8.7285714285714278</v>
      </c>
      <c r="J9" s="15">
        <v>13.171428571428574</v>
      </c>
      <c r="K9" s="15">
        <v>8.4714285714285715</v>
      </c>
      <c r="L9" s="15">
        <v>8.25</v>
      </c>
      <c r="M9" s="15">
        <v>8.7428571428571438</v>
      </c>
      <c r="N9" s="15">
        <v>8.4285714285714288</v>
      </c>
      <c r="O9" s="15">
        <v>9.2999999999999989</v>
      </c>
      <c r="P9" s="15">
        <v>8.242857142857142</v>
      </c>
      <c r="Q9" s="15">
        <v>8.5571428571428587</v>
      </c>
      <c r="R9" s="15">
        <v>8.5857142857142854</v>
      </c>
      <c r="S9" s="15">
        <v>9.4714285714285715</v>
      </c>
      <c r="T9" s="15">
        <v>8.5</v>
      </c>
      <c r="U9" s="15">
        <v>9.0857142857142854</v>
      </c>
      <c r="V9" s="15">
        <v>8.4</v>
      </c>
      <c r="W9" s="15">
        <v>8.828571428571431</v>
      </c>
      <c r="Y9" s="15">
        <f t="shared" si="1"/>
        <v>179.05</v>
      </c>
      <c r="Z9">
        <f t="shared" si="0"/>
        <v>-7.1740417082420098</v>
      </c>
    </row>
    <row r="10" spans="1:27" x14ac:dyDescent="0.25">
      <c r="A10" t="s">
        <v>51</v>
      </c>
      <c r="B10" s="20">
        <v>2383</v>
      </c>
      <c r="C10">
        <v>9</v>
      </c>
      <c r="D10" s="15">
        <v>9.3428571428571434</v>
      </c>
      <c r="E10" s="15">
        <v>8.8428571428571434</v>
      </c>
      <c r="F10" s="15">
        <v>8.9428571428571413</v>
      </c>
      <c r="G10" s="15">
        <v>9.0714285714285712</v>
      </c>
      <c r="H10" s="15">
        <v>8.8571428571428577</v>
      </c>
      <c r="I10" s="15">
        <v>8.7714285714285705</v>
      </c>
      <c r="J10" s="15">
        <v>8.671428571428569</v>
      </c>
      <c r="K10" s="15">
        <v>8.4142857142857146</v>
      </c>
      <c r="L10" s="15">
        <v>8.5374999999999996</v>
      </c>
      <c r="M10" s="15">
        <v>8.3571428571428577</v>
      </c>
      <c r="N10" s="15">
        <v>8.6714285714285726</v>
      </c>
      <c r="O10" s="15">
        <v>8.8142857142857132</v>
      </c>
      <c r="P10" s="15">
        <v>8.9142857142857146</v>
      </c>
      <c r="Q10" s="15">
        <v>8.7857142857142865</v>
      </c>
      <c r="R10" s="15">
        <v>9.3714285714285701</v>
      </c>
      <c r="S10" s="15">
        <v>9.2428571428571438</v>
      </c>
      <c r="T10" s="15">
        <v>9.7000000000000011</v>
      </c>
      <c r="U10" s="15">
        <v>9.4142857142857146</v>
      </c>
      <c r="V10" s="15">
        <v>9.9857142857142858</v>
      </c>
      <c r="W10" s="15">
        <v>10.014285714285714</v>
      </c>
      <c r="Y10" s="15">
        <f t="shared" si="1"/>
        <v>180.72321428571428</v>
      </c>
      <c r="Z10">
        <f t="shared" si="0"/>
        <v>-6.4277430903748396</v>
      </c>
    </row>
    <row r="11" spans="1:27" x14ac:dyDescent="0.25">
      <c r="A11" t="s">
        <v>52</v>
      </c>
      <c r="B11" s="20">
        <v>2137</v>
      </c>
      <c r="C11">
        <v>10</v>
      </c>
      <c r="D11" s="15">
        <v>9.4</v>
      </c>
      <c r="E11" s="15">
        <v>9.0571428571428569</v>
      </c>
      <c r="F11" s="15">
        <v>9.0714285714285712</v>
      </c>
      <c r="G11" s="15">
        <v>8.6142857142857139</v>
      </c>
      <c r="H11" s="15">
        <v>8.4142857142857146</v>
      </c>
      <c r="I11" s="15">
        <v>8.3857142857142843</v>
      </c>
      <c r="J11" s="15">
        <v>7.9428571428571422</v>
      </c>
      <c r="K11" s="15">
        <v>8.2714285714285722</v>
      </c>
      <c r="L11" s="15">
        <v>7.4444444444444446</v>
      </c>
      <c r="M11" s="15">
        <v>8.1285714285714281</v>
      </c>
      <c r="N11" s="15">
        <v>8.4</v>
      </c>
      <c r="O11" s="15">
        <v>7.4285714285714288</v>
      </c>
      <c r="P11" s="15">
        <v>8.2571428571428562</v>
      </c>
      <c r="Q11" s="15">
        <v>8.8428571428571434</v>
      </c>
      <c r="R11" s="15">
        <v>7.2714285714285714</v>
      </c>
      <c r="S11" s="15">
        <v>9.5</v>
      </c>
      <c r="T11" s="15">
        <v>9.6142857142857139</v>
      </c>
      <c r="U11" s="15">
        <v>9.7000000000000011</v>
      </c>
      <c r="V11" s="15">
        <v>8.4857142857142858</v>
      </c>
      <c r="W11" s="15">
        <v>7.1857142857142859</v>
      </c>
      <c r="Y11" s="15">
        <f t="shared" si="1"/>
        <v>169.41587301587299</v>
      </c>
      <c r="Z11">
        <f t="shared" si="0"/>
        <v>-7.7564110911219171</v>
      </c>
    </row>
    <row r="12" spans="1:27" x14ac:dyDescent="0.25">
      <c r="A12" t="s">
        <v>53</v>
      </c>
      <c r="B12" s="20">
        <v>2298</v>
      </c>
      <c r="C12">
        <v>11</v>
      </c>
      <c r="D12" s="15">
        <v>8.8714285714285719</v>
      </c>
      <c r="E12" s="15">
        <v>7.9571428571428573</v>
      </c>
      <c r="F12" s="15">
        <v>8.2428571428571438</v>
      </c>
      <c r="G12" s="15">
        <v>6.8</v>
      </c>
      <c r="H12" s="15">
        <v>8.1857142857142851</v>
      </c>
      <c r="I12" s="15">
        <v>8.5857142857142854</v>
      </c>
      <c r="J12" s="15">
        <v>8.6142857142857139</v>
      </c>
      <c r="K12" s="15">
        <v>8.6857142857142851</v>
      </c>
      <c r="L12" s="15">
        <v>7.7000000000000011</v>
      </c>
      <c r="M12" s="15">
        <v>8.5714285714285712</v>
      </c>
      <c r="N12" s="15">
        <v>8.7714285714285705</v>
      </c>
      <c r="O12" s="15">
        <v>8.8428571428571434</v>
      </c>
      <c r="P12" s="15">
        <v>8.2999999999999989</v>
      </c>
      <c r="Q12" s="15">
        <v>7.6428571428571432</v>
      </c>
      <c r="R12" s="15">
        <v>8.9857142857142858</v>
      </c>
      <c r="S12" s="15">
        <v>7.3999999999999995</v>
      </c>
      <c r="T12" s="15">
        <v>8.3571428571428559</v>
      </c>
      <c r="U12" s="15">
        <v>9.1142857142857157</v>
      </c>
      <c r="V12" s="15">
        <v>9.985714285714284</v>
      </c>
      <c r="W12" s="15">
        <v>9.0714285714285712</v>
      </c>
      <c r="Y12" s="15">
        <f t="shared" si="1"/>
        <v>168.68571428571431</v>
      </c>
      <c r="Z12">
        <f t="shared" si="0"/>
        <v>-4.4144361723546659</v>
      </c>
    </row>
    <row r="13" spans="1:27" x14ac:dyDescent="0.25">
      <c r="A13" t="s">
        <v>54</v>
      </c>
      <c r="B13" s="20">
        <v>2405</v>
      </c>
      <c r="C13">
        <v>12</v>
      </c>
      <c r="D13" s="15">
        <v>9.828571428571431</v>
      </c>
      <c r="E13" s="15">
        <v>9.2714285714285705</v>
      </c>
      <c r="F13" s="15">
        <v>9.3714285714285719</v>
      </c>
      <c r="G13" s="15">
        <v>8.3285714285714274</v>
      </c>
      <c r="H13" s="15">
        <v>9.0285714285714285</v>
      </c>
      <c r="I13" s="15">
        <v>8.985714285714284</v>
      </c>
      <c r="J13" s="15">
        <v>8.4571428571428573</v>
      </c>
      <c r="K13" s="15">
        <v>8.6285714285714281</v>
      </c>
      <c r="L13" s="15">
        <v>7.7888888888888879</v>
      </c>
      <c r="M13" s="15">
        <v>7.8999999999999995</v>
      </c>
      <c r="N13" s="15">
        <v>7.9142857142857128</v>
      </c>
      <c r="O13" s="15">
        <v>7.7142857142857144</v>
      </c>
      <c r="P13" s="15">
        <v>9.4285714285714288</v>
      </c>
      <c r="Q13" s="15">
        <v>9.5857142857142854</v>
      </c>
      <c r="R13" s="15">
        <v>9.7857142857142865</v>
      </c>
      <c r="S13" s="15">
        <v>9.7714285714285722</v>
      </c>
      <c r="T13" s="15">
        <v>9.7285714285714278</v>
      </c>
      <c r="U13" s="15">
        <v>9.8714285714285701</v>
      </c>
      <c r="V13" s="15">
        <v>8.9142857142857146</v>
      </c>
      <c r="W13" s="15">
        <v>9.5000000000000018</v>
      </c>
      <c r="Y13" s="15">
        <f t="shared" si="1"/>
        <v>179.8031746031746</v>
      </c>
      <c r="Z13">
        <f t="shared" si="0"/>
        <v>-7.4407487374774082</v>
      </c>
    </row>
    <row r="14" spans="1:27" x14ac:dyDescent="0.25">
      <c r="A14" t="s">
        <v>55</v>
      </c>
      <c r="B14">
        <v>2250</v>
      </c>
      <c r="C14">
        <v>13</v>
      </c>
      <c r="D14" s="15">
        <v>8.2714285714285705</v>
      </c>
      <c r="E14" s="15">
        <v>6.7999999999999989</v>
      </c>
      <c r="F14" s="15">
        <v>8.9428571428571431</v>
      </c>
      <c r="G14" s="15">
        <v>8.8714285714285701</v>
      </c>
      <c r="H14" s="15">
        <v>8.9428571428571413</v>
      </c>
      <c r="I14" s="15">
        <v>7.742857142857142</v>
      </c>
      <c r="J14" s="15">
        <v>7.6714285714285708</v>
      </c>
      <c r="K14" s="15">
        <v>8.9714285714285715</v>
      </c>
      <c r="L14" s="15">
        <v>7.25</v>
      </c>
      <c r="M14" s="15">
        <v>8.4571428571428573</v>
      </c>
      <c r="N14" s="15">
        <v>9.2571428571428562</v>
      </c>
      <c r="O14" s="15">
        <v>8.571428571428573</v>
      </c>
      <c r="P14" s="15">
        <v>5.7</v>
      </c>
      <c r="Q14" s="15">
        <v>9.1714285714285726</v>
      </c>
      <c r="R14" s="15">
        <v>8.8714285714285701</v>
      </c>
      <c r="S14" s="15">
        <v>8.8714285714285701</v>
      </c>
      <c r="T14" s="15">
        <v>9.985714285714284</v>
      </c>
      <c r="U14" s="15">
        <v>8.9285714285714288</v>
      </c>
      <c r="V14" s="15">
        <v>8</v>
      </c>
      <c r="W14" s="15">
        <v>9.4571428571428573</v>
      </c>
      <c r="Y14" s="15">
        <f t="shared" si="1"/>
        <v>168.73571428571427</v>
      </c>
      <c r="Z14">
        <f t="shared" si="0"/>
        <v>-6.1596444260502974</v>
      </c>
    </row>
    <row r="15" spans="1:27" x14ac:dyDescent="0.25">
      <c r="A15" t="s">
        <v>56</v>
      </c>
      <c r="B15" s="20">
        <v>2254</v>
      </c>
      <c r="C15">
        <v>14</v>
      </c>
      <c r="D15" s="15">
        <v>9.4285714285714288</v>
      </c>
      <c r="E15" s="15">
        <v>8.8857142857142861</v>
      </c>
      <c r="F15" s="15">
        <v>9.2142857142857135</v>
      </c>
      <c r="G15" s="15">
        <v>9.1999999999999993</v>
      </c>
      <c r="H15" s="15">
        <v>8.7999999999999989</v>
      </c>
      <c r="I15" s="15">
        <v>8.5571428571428587</v>
      </c>
      <c r="J15" s="15">
        <v>9.1428571428571423</v>
      </c>
      <c r="K15" s="15">
        <v>8.6</v>
      </c>
      <c r="L15" s="15">
        <v>8.4125000000000014</v>
      </c>
      <c r="M15" s="15">
        <v>8.4142857142857128</v>
      </c>
      <c r="N15" s="15">
        <v>9.1142857142857139</v>
      </c>
      <c r="O15" s="15">
        <v>8.6</v>
      </c>
      <c r="P15" s="15">
        <v>9.0857142857142854</v>
      </c>
      <c r="Q15" s="15">
        <v>8.6428571428571423</v>
      </c>
      <c r="R15" s="15">
        <v>9.1571428571428584</v>
      </c>
      <c r="S15" s="15">
        <v>9.2000000000000011</v>
      </c>
      <c r="T15" s="15">
        <v>9.5857142857142854</v>
      </c>
      <c r="U15" s="15">
        <v>9.6857142857142851</v>
      </c>
      <c r="V15" s="15">
        <v>7.8857142857142852</v>
      </c>
      <c r="W15" s="15">
        <v>8.5714285714285712</v>
      </c>
      <c r="Y15" s="15">
        <f t="shared" si="1"/>
        <v>178.18392857142854</v>
      </c>
      <c r="Z15">
        <f t="shared" si="0"/>
        <v>-6.9632175500444617</v>
      </c>
    </row>
    <row r="16" spans="1:27" x14ac:dyDescent="0.25">
      <c r="A16" t="s">
        <v>57</v>
      </c>
      <c r="B16" s="20">
        <v>2251</v>
      </c>
      <c r="C16">
        <v>15</v>
      </c>
      <c r="D16" s="15">
        <v>8.8571428571428577</v>
      </c>
      <c r="E16" s="15">
        <v>8.1142857142857157</v>
      </c>
      <c r="F16" s="15">
        <v>8.1428571428571423</v>
      </c>
      <c r="G16" s="15">
        <v>8.2142857142857135</v>
      </c>
      <c r="H16" s="15">
        <v>8.6142857142857139</v>
      </c>
      <c r="I16" s="15">
        <v>7</v>
      </c>
      <c r="J16" s="15">
        <v>8.6428571428571423</v>
      </c>
      <c r="K16" s="15">
        <v>8.7857142857142865</v>
      </c>
      <c r="L16" s="15">
        <v>8.0428571428571427</v>
      </c>
      <c r="M16" s="15">
        <v>7.3714285714285719</v>
      </c>
      <c r="N16" s="15">
        <v>8.3428571428571416</v>
      </c>
      <c r="O16" s="15">
        <v>8.4285714285714288</v>
      </c>
      <c r="P16" s="15">
        <v>7.83</v>
      </c>
      <c r="Q16" s="15">
        <v>9.2142857142857135</v>
      </c>
      <c r="R16" s="15">
        <v>7.299999999999998</v>
      </c>
      <c r="S16" s="15">
        <v>9.5571428571428587</v>
      </c>
      <c r="T16" s="15">
        <v>9.2571428571428562</v>
      </c>
      <c r="U16" s="15">
        <v>9.5571428571428552</v>
      </c>
      <c r="V16" s="15">
        <v>8.6999999999999993</v>
      </c>
      <c r="W16" s="15">
        <v>9.2142857142857171</v>
      </c>
      <c r="Y16" s="15">
        <f t="shared" si="1"/>
        <v>169.18714285714285</v>
      </c>
      <c r="Z16">
        <f t="shared" si="0"/>
        <v>-5.9375650923365377</v>
      </c>
      <c r="AA16" s="15"/>
    </row>
    <row r="17" spans="1:27" x14ac:dyDescent="0.25">
      <c r="A17" t="s">
        <v>58</v>
      </c>
      <c r="B17" s="20">
        <v>2577</v>
      </c>
      <c r="C17">
        <v>16</v>
      </c>
      <c r="D17" s="15">
        <v>8.9142857142857146</v>
      </c>
      <c r="E17" s="15">
        <v>9.3071428571428552</v>
      </c>
      <c r="F17" s="15">
        <v>8.9285714285714288</v>
      </c>
      <c r="G17" s="15">
        <v>9.1857142857142868</v>
      </c>
      <c r="H17" s="15">
        <v>8.9285714285714288</v>
      </c>
      <c r="I17" s="15">
        <v>6.9285714285714288</v>
      </c>
      <c r="J17" s="15">
        <v>7.871428571428571</v>
      </c>
      <c r="K17" s="15">
        <v>8.7000000000000011</v>
      </c>
      <c r="L17" s="15">
        <v>7.0125000000000011</v>
      </c>
      <c r="M17" s="15">
        <v>7.371428571428571</v>
      </c>
      <c r="N17" s="15">
        <v>7.3428571428571434</v>
      </c>
      <c r="O17" s="15">
        <v>7.8857142857142843</v>
      </c>
      <c r="P17" s="15">
        <v>8.8714285714285701</v>
      </c>
      <c r="Q17" s="15">
        <v>7.8571428571428568</v>
      </c>
      <c r="R17" s="15">
        <v>9.0571428571428552</v>
      </c>
      <c r="S17" s="15">
        <v>10.442857142857141</v>
      </c>
      <c r="T17" s="15">
        <v>9.5</v>
      </c>
      <c r="U17" s="15">
        <v>10.2125</v>
      </c>
      <c r="V17" s="15">
        <v>8.4428571428571431</v>
      </c>
      <c r="W17" s="15">
        <v>7.4571428571428573</v>
      </c>
      <c r="Y17" s="15">
        <f t="shared" si="1"/>
        <v>170.21785714285716</v>
      </c>
      <c r="Z17">
        <f t="shared" si="0"/>
        <v>-7.1104074088675322</v>
      </c>
      <c r="AA17" s="15"/>
    </row>
    <row r="18" spans="1:27" x14ac:dyDescent="0.25">
      <c r="A18" t="s">
        <v>59</v>
      </c>
      <c r="B18" s="20">
        <v>2263</v>
      </c>
      <c r="C18">
        <v>17</v>
      </c>
      <c r="D18" s="15">
        <v>10.057142857142859</v>
      </c>
      <c r="E18" s="15">
        <v>9.5285714285714267</v>
      </c>
      <c r="F18" s="15">
        <v>8</v>
      </c>
      <c r="G18" s="15">
        <v>7.6</v>
      </c>
      <c r="H18" s="15">
        <v>7.3428571428571434</v>
      </c>
      <c r="I18" s="15">
        <v>7.4571428571428564</v>
      </c>
      <c r="J18" s="15">
        <v>7.4142857142857128</v>
      </c>
      <c r="K18" s="15">
        <v>9.1</v>
      </c>
      <c r="L18" s="15">
        <v>0.16250000000000009</v>
      </c>
      <c r="M18" s="15">
        <v>9.3714285714285719</v>
      </c>
      <c r="N18" s="15">
        <v>8.4142857142857128</v>
      </c>
      <c r="O18" s="15">
        <v>6.9571428571428573</v>
      </c>
      <c r="P18" s="15">
        <v>7.7571428571428571</v>
      </c>
      <c r="Q18" s="15">
        <v>10.171428571428573</v>
      </c>
      <c r="R18" s="15">
        <v>10.299999999999999</v>
      </c>
      <c r="S18" s="15">
        <v>10.400000000000002</v>
      </c>
      <c r="T18" s="15">
        <v>9.1999999999999993</v>
      </c>
      <c r="U18" s="15">
        <v>10.342857142857142</v>
      </c>
      <c r="V18" s="15">
        <v>10.4</v>
      </c>
      <c r="W18" s="15">
        <v>9.9285714285714288</v>
      </c>
      <c r="Y18" s="15">
        <f t="shared" si="1"/>
        <v>169.9053571428571</v>
      </c>
      <c r="Z18">
        <f t="shared" si="0"/>
        <v>-4.8877321407833758</v>
      </c>
      <c r="AA18" s="15"/>
    </row>
    <row r="19" spans="1:27" x14ac:dyDescent="0.25">
      <c r="A19" t="s">
        <v>60</v>
      </c>
      <c r="B19" s="1">
        <v>2562</v>
      </c>
      <c r="C19">
        <v>18</v>
      </c>
      <c r="D19" s="15">
        <v>9.9285714285714288</v>
      </c>
      <c r="E19" s="15">
        <v>7.6857142857142851</v>
      </c>
      <c r="F19" s="15">
        <v>3.5</v>
      </c>
      <c r="G19" s="15">
        <v>9.5571428571428587</v>
      </c>
      <c r="H19" s="15">
        <v>9.5857142857142854</v>
      </c>
      <c r="I19" s="15">
        <v>8.6714285714285708</v>
      </c>
      <c r="J19" s="15">
        <v>8.014285714285716</v>
      </c>
      <c r="K19" s="15">
        <v>6.9428571428571431</v>
      </c>
      <c r="L19" s="15">
        <v>9.0428571428571427</v>
      </c>
      <c r="M19" s="15">
        <v>9.2999999999999989</v>
      </c>
      <c r="N19" s="15">
        <v>8.9857142857142858</v>
      </c>
      <c r="O19" s="15">
        <v>9.6857142857142851</v>
      </c>
      <c r="P19" s="15">
        <v>9.6571428571428566</v>
      </c>
      <c r="Q19" s="15">
        <v>8.3285714285714274</v>
      </c>
      <c r="R19" s="15">
        <v>7.7999999999999989</v>
      </c>
      <c r="S19" s="15">
        <v>9.2714285714285705</v>
      </c>
      <c r="T19" s="15">
        <v>9.1857142857142851</v>
      </c>
      <c r="U19" s="15">
        <v>9.2714285714285722</v>
      </c>
      <c r="V19" s="15">
        <v>9.5142857142857142</v>
      </c>
      <c r="W19" s="15">
        <v>9.9571428571428573</v>
      </c>
      <c r="Y19" s="15">
        <f t="shared" si="1"/>
        <v>173.88571428571424</v>
      </c>
      <c r="Z19">
        <f t="shared" si="0"/>
        <v>-4.1291040874001821</v>
      </c>
      <c r="AA19" s="15"/>
    </row>
    <row r="20" spans="1:27" x14ac:dyDescent="0.25">
      <c r="A20" t="s">
        <v>61</v>
      </c>
      <c r="B20" s="16">
        <v>2792</v>
      </c>
      <c r="C20">
        <v>19</v>
      </c>
      <c r="D20" s="15">
        <v>9.2857142857142865</v>
      </c>
      <c r="E20" s="15">
        <v>7.3285714285714292</v>
      </c>
      <c r="F20" s="15">
        <v>5.6428571428571432</v>
      </c>
      <c r="G20" s="15">
        <v>4.4571428571428573</v>
      </c>
      <c r="H20" s="15">
        <v>7.871428571428571</v>
      </c>
      <c r="I20" s="15">
        <v>9.0142857142857142</v>
      </c>
      <c r="J20" s="15">
        <v>9.1</v>
      </c>
      <c r="K20" s="15">
        <v>9.4857142857142858</v>
      </c>
      <c r="L20" s="15">
        <v>7.8999999999999995</v>
      </c>
      <c r="M20" s="15">
        <v>9.6714285714285726</v>
      </c>
      <c r="N20" s="15">
        <v>9.6428571428571423</v>
      </c>
      <c r="O20" s="15">
        <v>9.6428571428571423</v>
      </c>
      <c r="P20" s="15">
        <v>9.4</v>
      </c>
      <c r="Q20" s="15">
        <v>9.5285714285714267</v>
      </c>
      <c r="R20" s="15">
        <v>9.4714285714285715</v>
      </c>
      <c r="S20" s="15">
        <v>9.9142857142857146</v>
      </c>
      <c r="T20" s="15">
        <v>10.285714285714286</v>
      </c>
      <c r="U20" s="15">
        <v>10.3</v>
      </c>
      <c r="V20" s="15">
        <v>10.014285714285714</v>
      </c>
      <c r="W20" s="15">
        <v>10.557142857142859</v>
      </c>
      <c r="Y20" s="15">
        <f t="shared" si="1"/>
        <v>178.51428571428571</v>
      </c>
      <c r="Z20">
        <f t="shared" si="0"/>
        <v>-0.84879668664226449</v>
      </c>
      <c r="AA20" s="15"/>
    </row>
    <row r="21" spans="1:27" x14ac:dyDescent="0.25">
      <c r="A21" t="s">
        <v>62</v>
      </c>
      <c r="B21" s="1">
        <v>2720</v>
      </c>
      <c r="C21">
        <v>20</v>
      </c>
      <c r="D21" s="15">
        <v>8.1285714285714299</v>
      </c>
      <c r="E21" s="15">
        <v>8.9714285714285698</v>
      </c>
      <c r="F21" s="15">
        <v>7.4142857142857101</v>
      </c>
      <c r="G21" s="15">
        <v>6.9</v>
      </c>
      <c r="H21" s="15">
        <v>7.6285714285714299</v>
      </c>
      <c r="I21" s="15">
        <v>8.2571428571428598</v>
      </c>
      <c r="J21" s="15">
        <v>9.5714285714285694</v>
      </c>
      <c r="K21" s="15">
        <v>9.6</v>
      </c>
      <c r="L21" s="15">
        <v>7.1142857142857103</v>
      </c>
      <c r="M21" s="15">
        <v>8.1285714285714281</v>
      </c>
      <c r="N21" s="15">
        <v>9.2857142857142865</v>
      </c>
      <c r="O21" s="15">
        <v>9.4428571428571413</v>
      </c>
      <c r="P21" s="15">
        <v>9.4285714285714288</v>
      </c>
      <c r="Q21" s="15">
        <v>9.7714285714285722</v>
      </c>
      <c r="R21" s="15">
        <v>9.8857142857142861</v>
      </c>
      <c r="S21" s="15">
        <v>9.6857142857142851</v>
      </c>
      <c r="T21" s="15">
        <v>9.8142857142857149</v>
      </c>
      <c r="U21" s="15">
        <v>9.8142857142857149</v>
      </c>
      <c r="V21" s="15">
        <v>9.5571428571428587</v>
      </c>
      <c r="W21" s="15">
        <v>10.185714285714285</v>
      </c>
      <c r="Y21" s="15">
        <f t="shared" si="1"/>
        <v>178.58571428571429</v>
      </c>
      <c r="Z21">
        <f t="shared" si="0"/>
        <v>-3.5417555171985127</v>
      </c>
    </row>
    <row r="22" spans="1:27" x14ac:dyDescent="0.25">
      <c r="B22" s="1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Y22" s="15"/>
    </row>
    <row r="23" spans="1:27" x14ac:dyDescent="0.25">
      <c r="A23" t="s">
        <v>63</v>
      </c>
      <c r="B23" s="8"/>
      <c r="D23" s="15">
        <v>9.0857142857142854</v>
      </c>
      <c r="E23" s="15">
        <v>7.9571428571428573</v>
      </c>
      <c r="F23" s="15">
        <v>8.2428571428571438</v>
      </c>
      <c r="G23" s="15">
        <v>6.8</v>
      </c>
      <c r="H23" s="15">
        <v>8.1857142857142851</v>
      </c>
      <c r="I23" s="15">
        <v>8.5857142857142854</v>
      </c>
      <c r="J23" s="15">
        <v>8.6142857142857139</v>
      </c>
      <c r="K23" s="15">
        <v>8.6857142857142851</v>
      </c>
      <c r="L23" s="15">
        <v>7.7000000000000011</v>
      </c>
      <c r="M23" s="15">
        <v>8.5714285714285712</v>
      </c>
      <c r="N23" s="15">
        <v>8.7714285714285705</v>
      </c>
      <c r="O23" s="15">
        <v>10.842857142857101</v>
      </c>
      <c r="P23" s="15">
        <v>8.2999999999999989</v>
      </c>
      <c r="Q23" s="15">
        <v>7.6428571428571432</v>
      </c>
      <c r="R23" s="15">
        <v>8.9857142857142858</v>
      </c>
      <c r="S23" s="15">
        <v>7.3999999999999995</v>
      </c>
      <c r="T23" s="15">
        <v>9.358441558441557</v>
      </c>
      <c r="U23" s="15">
        <v>10.575162337662301</v>
      </c>
      <c r="V23" s="15">
        <v>8.9233766233766243</v>
      </c>
      <c r="W23" s="15">
        <v>8.8792207792207805</v>
      </c>
      <c r="Y23" s="15">
        <f t="shared" si="1"/>
        <v>172.10762987012978</v>
      </c>
      <c r="Z23">
        <f>SUMPRODUCT($D$27:$W$27,D23:W23)</f>
        <v>-3.4098503332115078</v>
      </c>
    </row>
    <row r="24" spans="1:27" x14ac:dyDescent="0.25">
      <c r="A24" t="s">
        <v>307</v>
      </c>
      <c r="D24" s="15">
        <v>8.4</v>
      </c>
      <c r="E24" s="15">
        <v>7.6428571428571432</v>
      </c>
      <c r="F24" s="15">
        <v>8.1857142857142868</v>
      </c>
      <c r="G24" s="15">
        <v>7.9</v>
      </c>
      <c r="H24" s="15">
        <v>9.0285714285714285</v>
      </c>
      <c r="I24" s="15">
        <v>8.3714285714285701</v>
      </c>
      <c r="J24" s="15">
        <v>6.4</v>
      </c>
      <c r="K24" s="15">
        <v>8.757142857142858</v>
      </c>
      <c r="L24" s="15">
        <v>3.9</v>
      </c>
      <c r="M24" s="15">
        <v>5.0571428571428569</v>
      </c>
      <c r="N24" s="15">
        <v>7.0285714285714294</v>
      </c>
      <c r="O24" s="15">
        <v>7.8714285714285728</v>
      </c>
      <c r="P24" s="15">
        <v>5.3</v>
      </c>
      <c r="Q24" s="15">
        <v>6.2</v>
      </c>
      <c r="R24" s="15">
        <v>9.8000000000000007</v>
      </c>
      <c r="S24" s="15">
        <v>4.0999999999999996</v>
      </c>
      <c r="T24" s="15">
        <v>9.8000000000000007</v>
      </c>
      <c r="U24" s="15">
        <v>11</v>
      </c>
      <c r="V24" s="15">
        <v>7.8</v>
      </c>
      <c r="W24" s="15">
        <v>8.1</v>
      </c>
      <c r="Y24" s="15">
        <f t="shared" si="1"/>
        <v>150.64285714285714</v>
      </c>
      <c r="Z24">
        <f>SUMPRODUCT($D$27:$W$27,D24:W24)</f>
        <v>-6.4626727357482183</v>
      </c>
    </row>
    <row r="25" spans="1:27" x14ac:dyDescent="0.25">
      <c r="A25" t="s">
        <v>308</v>
      </c>
      <c r="D25" s="14">
        <v>7.1571428571428584</v>
      </c>
      <c r="E25" s="14">
        <v>9.2000000000000011</v>
      </c>
      <c r="F25" s="14">
        <v>6.4714285714285724</v>
      </c>
      <c r="G25" s="14">
        <v>9.0857142857142854</v>
      </c>
      <c r="H25" s="14">
        <v>8.9714285714285715</v>
      </c>
      <c r="I25" s="14">
        <v>9.2428571428571438</v>
      </c>
      <c r="J25" s="14">
        <v>8.2714285714285705</v>
      </c>
      <c r="K25" s="14">
        <v>7.6714285714285717</v>
      </c>
      <c r="L25" s="14">
        <v>8.0250000000000004</v>
      </c>
      <c r="M25" s="14">
        <v>7.4</v>
      </c>
      <c r="N25" s="14">
        <v>7.2</v>
      </c>
      <c r="O25" s="14">
        <v>8.1999999999999993</v>
      </c>
      <c r="P25" s="14">
        <v>8.5289285714285707</v>
      </c>
      <c r="Q25" s="14">
        <v>8.8928571428571423</v>
      </c>
      <c r="R25" s="14">
        <v>8.6142857142857121</v>
      </c>
      <c r="S25" s="14">
        <v>9.9178571428571427</v>
      </c>
      <c r="T25" s="14">
        <v>9.2857142857142847</v>
      </c>
      <c r="U25" s="14">
        <v>9.8459821428571423</v>
      </c>
      <c r="V25" s="14">
        <v>9.2642857142857142</v>
      </c>
      <c r="W25" s="14">
        <v>9.1392857142857142</v>
      </c>
      <c r="Y25" s="15">
        <f t="shared" si="1"/>
        <v>170.38562499999998</v>
      </c>
      <c r="Z25">
        <f>SUMPRODUCT($D$27:$W$27,D25:W25)</f>
        <v>-6.8871081621295751</v>
      </c>
    </row>
    <row r="26" spans="1:27" x14ac:dyDescent="0.25">
      <c r="A26" t="s">
        <v>670</v>
      </c>
      <c r="D26" s="15">
        <v>9.3214285714285712</v>
      </c>
      <c r="E26" s="15">
        <v>8.3651785714285705</v>
      </c>
      <c r="F26" s="15">
        <v>7.7178571428571443</v>
      </c>
      <c r="G26" s="15">
        <v>8.1767857142857139</v>
      </c>
      <c r="H26" s="15">
        <v>8.6392857142857125</v>
      </c>
      <c r="I26" s="15">
        <v>8.0446428571428577</v>
      </c>
      <c r="J26" s="15">
        <v>8.2892857142857128</v>
      </c>
      <c r="K26" s="15">
        <v>8.6171428571428557</v>
      </c>
      <c r="L26" s="15">
        <v>7.0756547619047625</v>
      </c>
      <c r="M26" s="15">
        <v>8.4557142857142864</v>
      </c>
      <c r="N26" s="15">
        <v>8.6185714285714266</v>
      </c>
      <c r="O26" s="15">
        <v>8.3757142857142863</v>
      </c>
      <c r="P26" s="15">
        <v>8.0110714285714284</v>
      </c>
      <c r="Q26" s="15">
        <v>9.1535714285714285</v>
      </c>
      <c r="R26" s="15">
        <v>8.8959183673469386</v>
      </c>
      <c r="S26" s="15">
        <v>9.644897959183675</v>
      </c>
      <c r="T26" s="15">
        <v>9.3440476190476183</v>
      </c>
      <c r="U26" s="15">
        <v>9.5498511904761898</v>
      </c>
      <c r="V26" s="15">
        <v>8.9726190476190499</v>
      </c>
      <c r="W26" s="15">
        <v>8.96904761904762</v>
      </c>
      <c r="Y26" s="15">
        <f t="shared" ref="Y26" si="2">SUM(D26:W26)</f>
        <v>172.23828656462581</v>
      </c>
      <c r="Z26">
        <f>SUMPRODUCT($D$27:$W$27,D26:W26)</f>
        <v>-5.7736733112921979</v>
      </c>
    </row>
    <row r="27" spans="1:27" x14ac:dyDescent="0.25">
      <c r="A27" s="2" t="s">
        <v>64</v>
      </c>
      <c r="D27" s="3">
        <f>CORREL($B$2:$B$21,D2:D21)</f>
        <v>-0.16361776643617101</v>
      </c>
      <c r="E27" s="3">
        <f t="shared" ref="E27:W27" si="3">CORREL($B$2:$B$21,E2:E21)</f>
        <v>-0.36271428838829872</v>
      </c>
      <c r="F27" s="3">
        <f t="shared" si="3"/>
        <v>-0.32609985486510934</v>
      </c>
      <c r="G27" s="3">
        <f t="shared" si="3"/>
        <v>-0.54366810143178201</v>
      </c>
      <c r="H27" s="3">
        <f t="shared" si="3"/>
        <v>-0.42256828619100845</v>
      </c>
      <c r="I27" s="3">
        <f t="shared" si="3"/>
        <v>-0.44952787346918144</v>
      </c>
      <c r="J27" s="3">
        <f t="shared" si="3"/>
        <v>-8.9563515128347537E-2</v>
      </c>
      <c r="K27" s="3">
        <f t="shared" si="3"/>
        <v>-0.10177937799180956</v>
      </c>
      <c r="L27" s="3">
        <f t="shared" si="3"/>
        <v>-4.3894845204076327E-2</v>
      </c>
      <c r="M27" s="3">
        <f t="shared" si="3"/>
        <v>0.20677904002033951</v>
      </c>
      <c r="N27" s="3">
        <f t="shared" si="3"/>
        <v>0.32342486937255865</v>
      </c>
      <c r="O27" s="3">
        <f t="shared" si="3"/>
        <v>0.37827050471584633</v>
      </c>
      <c r="P27" s="3">
        <f t="shared" si="3"/>
        <v>0.23709077438274964</v>
      </c>
      <c r="Q27" s="3">
        <f t="shared" si="3"/>
        <v>-0.24745815373898766</v>
      </c>
      <c r="R27" s="3">
        <f t="shared" si="3"/>
        <v>0.14686149118860248</v>
      </c>
      <c r="S27" s="3">
        <f t="shared" si="3"/>
        <v>-8.1000533201425178E-3</v>
      </c>
      <c r="T27" s="3">
        <f t="shared" si="3"/>
        <v>7.8365170677828291E-2</v>
      </c>
      <c r="U27" s="3">
        <f t="shared" si="3"/>
        <v>0.25468389661714119</v>
      </c>
      <c r="V27" s="3">
        <f t="shared" si="3"/>
        <v>0.11327213681451617</v>
      </c>
      <c r="W27" s="3">
        <f t="shared" si="3"/>
        <v>0.24499349017379302</v>
      </c>
    </row>
    <row r="30" spans="1:27" x14ac:dyDescent="0.25">
      <c r="D30" t="s">
        <v>65</v>
      </c>
      <c r="E30" t="s">
        <v>66</v>
      </c>
      <c r="F30" t="s">
        <v>67</v>
      </c>
      <c r="G30" t="s">
        <v>68</v>
      </c>
      <c r="H30" t="s">
        <v>69</v>
      </c>
      <c r="I30" t="s">
        <v>70</v>
      </c>
      <c r="J30" t="s">
        <v>71</v>
      </c>
      <c r="K30" t="s">
        <v>72</v>
      </c>
      <c r="L30" t="s">
        <v>334</v>
      </c>
      <c r="M30" t="s">
        <v>364</v>
      </c>
      <c r="N30" t="s">
        <v>365</v>
      </c>
      <c r="O30" t="s">
        <v>366</v>
      </c>
      <c r="P30" t="s">
        <v>450</v>
      </c>
      <c r="Q30" t="s">
        <v>451</v>
      </c>
      <c r="R30" t="s">
        <v>452</v>
      </c>
      <c r="S30" t="s">
        <v>453</v>
      </c>
      <c r="T30" t="s">
        <v>562</v>
      </c>
      <c r="U30" t="s">
        <v>563</v>
      </c>
      <c r="V30" t="s">
        <v>564</v>
      </c>
      <c r="W30" t="s">
        <v>565</v>
      </c>
      <c r="Y30" t="s">
        <v>73</v>
      </c>
      <c r="Z30" t="s">
        <v>74</v>
      </c>
    </row>
    <row r="31" spans="1:27" x14ac:dyDescent="0.25">
      <c r="A31" t="s">
        <v>43</v>
      </c>
      <c r="D31" s="5">
        <v>35</v>
      </c>
      <c r="E31" s="7">
        <v>33.18571428571429</v>
      </c>
      <c r="F31" s="7">
        <v>32.857142857142861</v>
      </c>
      <c r="G31" s="7">
        <v>31.071428571428573</v>
      </c>
      <c r="H31" s="15">
        <v>32.214285714285715</v>
      </c>
      <c r="I31" s="15">
        <v>32.214285714285715</v>
      </c>
      <c r="J31" s="15">
        <v>30.428571428571427</v>
      </c>
      <c r="K31" s="15">
        <v>32.214285714285715</v>
      </c>
      <c r="L31" s="15">
        <v>29.5</v>
      </c>
      <c r="M31" s="15">
        <v>33.5</v>
      </c>
      <c r="N31" s="15">
        <v>30.714285714285715</v>
      </c>
      <c r="O31" s="15">
        <v>29.5</v>
      </c>
      <c r="P31" s="15">
        <v>29.857142857142858</v>
      </c>
      <c r="Q31" s="15">
        <v>31.214285714285715</v>
      </c>
      <c r="R31" s="15">
        <v>34.785714285714285</v>
      </c>
      <c r="S31" s="15">
        <v>35.071428571428569</v>
      </c>
      <c r="T31" s="15">
        <v>30.5</v>
      </c>
      <c r="U31" s="15">
        <v>32.571428571428569</v>
      </c>
      <c r="V31" s="15">
        <v>37.714285714285715</v>
      </c>
      <c r="W31" s="15">
        <v>35.785714285714285</v>
      </c>
      <c r="Y31" s="15">
        <f t="shared" ref="Y31:Y54" si="4">SUM(D31:W31)</f>
        <v>649.9</v>
      </c>
      <c r="Z31">
        <f t="shared" ref="Z31:Z50" si="5">SUMPRODUCT($D$56:$W$56,D31:W31)</f>
        <v>-115.91424709896233</v>
      </c>
      <c r="AA31" s="5"/>
    </row>
    <row r="32" spans="1:27" x14ac:dyDescent="0.25">
      <c r="A32" t="s">
        <v>44</v>
      </c>
      <c r="D32" s="5">
        <v>33.942857142857143</v>
      </c>
      <c r="E32" s="7">
        <v>32.557142857142857</v>
      </c>
      <c r="F32" s="7">
        <v>31.471428571428572</v>
      </c>
      <c r="G32" s="7">
        <v>31.371428571428574</v>
      </c>
      <c r="H32" s="15">
        <v>33.539047619047622</v>
      </c>
      <c r="I32" s="15">
        <v>32.721666666666671</v>
      </c>
      <c r="J32" s="15">
        <v>33.028333333333336</v>
      </c>
      <c r="K32" s="15">
        <v>32.75119047619048</v>
      </c>
      <c r="L32" s="15">
        <v>28.566349206349205</v>
      </c>
      <c r="M32" s="15">
        <v>32.814285714285717</v>
      </c>
      <c r="N32" s="15">
        <v>32.971428571428575</v>
      </c>
      <c r="O32" s="15">
        <v>29.571428571428573</v>
      </c>
      <c r="P32" s="15">
        <v>33.957142857142856</v>
      </c>
      <c r="Q32" s="15">
        <v>31.971428571428572</v>
      </c>
      <c r="R32" s="15">
        <v>30.785714285714285</v>
      </c>
      <c r="S32" s="15">
        <v>31.857142857142858</v>
      </c>
      <c r="T32" s="15">
        <v>32.071428571428569</v>
      </c>
      <c r="U32" s="15">
        <v>35.6</v>
      </c>
      <c r="V32" s="15">
        <v>36.27428571428571</v>
      </c>
      <c r="W32" s="15">
        <v>37.294285714285714</v>
      </c>
      <c r="Y32" s="15">
        <f t="shared" si="4"/>
        <v>655.11801587301591</v>
      </c>
      <c r="Z32">
        <f t="shared" si="5"/>
        <v>-119.66839721479823</v>
      </c>
      <c r="AA32" s="5"/>
    </row>
    <row r="33" spans="1:27" x14ac:dyDescent="0.25">
      <c r="A33" t="s">
        <v>45</v>
      </c>
      <c r="D33" s="5">
        <v>34.842857142857142</v>
      </c>
      <c r="E33" s="7">
        <v>34.18571428571429</v>
      </c>
      <c r="F33" s="7">
        <v>33.114285714285714</v>
      </c>
      <c r="G33" s="7">
        <v>30.585714285714282</v>
      </c>
      <c r="H33" s="15">
        <v>32</v>
      </c>
      <c r="I33" s="15">
        <v>32.071428571428569</v>
      </c>
      <c r="J33" s="15">
        <v>28.571428571428573</v>
      </c>
      <c r="K33" s="15">
        <v>31.071428571428573</v>
      </c>
      <c r="L33" s="15">
        <v>26.111111111111111</v>
      </c>
      <c r="M33" s="15">
        <v>30.294285714285714</v>
      </c>
      <c r="N33" s="15">
        <v>31.617142857142859</v>
      </c>
      <c r="O33" s="15">
        <v>32.520000000000003</v>
      </c>
      <c r="P33" s="15">
        <v>31.494285714285713</v>
      </c>
      <c r="Q33" s="15">
        <v>31.340000000000003</v>
      </c>
      <c r="R33" s="15">
        <v>32.948571428571427</v>
      </c>
      <c r="S33" s="15">
        <v>33.794285714285714</v>
      </c>
      <c r="T33" s="15">
        <v>33.668571428571425</v>
      </c>
      <c r="U33" s="15">
        <v>36.028571428571432</v>
      </c>
      <c r="V33" s="15">
        <v>32.214285714285715</v>
      </c>
      <c r="W33" s="15">
        <v>34.771428571428572</v>
      </c>
      <c r="Y33" s="15">
        <f t="shared" si="4"/>
        <v>643.24539682539682</v>
      </c>
      <c r="Z33">
        <f t="shared" si="5"/>
        <v>-114.67614071466087</v>
      </c>
      <c r="AA33" s="5"/>
    </row>
    <row r="34" spans="1:27" x14ac:dyDescent="0.25">
      <c r="A34" t="s">
        <v>46</v>
      </c>
      <c r="D34" s="5">
        <v>35.500000000000007</v>
      </c>
      <c r="E34" s="7">
        <v>34.68571428571429</v>
      </c>
      <c r="F34" s="7">
        <v>34.9</v>
      </c>
      <c r="G34" s="7">
        <v>34.714285714285715</v>
      </c>
      <c r="H34" s="15">
        <v>31.542857142857144</v>
      </c>
      <c r="I34" s="15">
        <v>31.071428571428573</v>
      </c>
      <c r="J34" s="15">
        <v>33.9</v>
      </c>
      <c r="K34" s="15">
        <v>32.314285714285717</v>
      </c>
      <c r="L34" s="15">
        <v>28.033333333333331</v>
      </c>
      <c r="M34" s="15">
        <v>28.6</v>
      </c>
      <c r="N34" s="15">
        <v>30.228571428571431</v>
      </c>
      <c r="O34" s="15">
        <v>27.714285714285719</v>
      </c>
      <c r="P34" s="15">
        <v>31.942857142857147</v>
      </c>
      <c r="Q34" s="15">
        <v>31.528571428571421</v>
      </c>
      <c r="R34" s="15">
        <v>32.742857142857147</v>
      </c>
      <c r="S34" s="15">
        <v>33.514285714285712</v>
      </c>
      <c r="T34" s="15">
        <v>35.071428571428569</v>
      </c>
      <c r="U34" s="15">
        <v>34.214285714285715</v>
      </c>
      <c r="V34" s="15">
        <v>36.514285714285712</v>
      </c>
      <c r="W34" s="15">
        <v>39.74285714285714</v>
      </c>
      <c r="Y34" s="15">
        <f t="shared" si="4"/>
        <v>658.47619047619048</v>
      </c>
      <c r="Z34">
        <f t="shared" si="5"/>
        <v>-115.35861535962324</v>
      </c>
      <c r="AA34" s="5"/>
    </row>
    <row r="35" spans="1:27" x14ac:dyDescent="0.25">
      <c r="A35" t="s">
        <v>47</v>
      </c>
      <c r="D35" s="5">
        <v>32.428571428571431</v>
      </c>
      <c r="E35" s="7">
        <v>33.557142857142857</v>
      </c>
      <c r="F35" s="7">
        <v>33</v>
      </c>
      <c r="G35" s="7">
        <v>32.214285714285715</v>
      </c>
      <c r="H35" s="15">
        <v>32.299999999999997</v>
      </c>
      <c r="I35" s="15">
        <v>31.057142857142853</v>
      </c>
      <c r="J35" s="15">
        <v>29.24285714285714</v>
      </c>
      <c r="K35" s="15">
        <v>32.68571428571429</v>
      </c>
      <c r="L35" s="15">
        <v>32.266666666666666</v>
      </c>
      <c r="M35" s="15">
        <v>30.471428571428572</v>
      </c>
      <c r="N35" s="15">
        <v>27.542857142857144</v>
      </c>
      <c r="O35" s="15">
        <v>28.657142857142862</v>
      </c>
      <c r="P35" s="15">
        <v>28.585714285714289</v>
      </c>
      <c r="Q35" s="15">
        <v>30.414285714285711</v>
      </c>
      <c r="R35" s="15">
        <v>29.657142857142855</v>
      </c>
      <c r="S35" s="15">
        <v>31.685714285714287</v>
      </c>
      <c r="T35" s="15">
        <v>32.985714285714288</v>
      </c>
      <c r="U35" s="15">
        <v>34.51428571428572</v>
      </c>
      <c r="V35" s="15">
        <v>36.157142857142858</v>
      </c>
      <c r="W35" s="15">
        <v>36.75714285714286</v>
      </c>
      <c r="Y35" s="15">
        <f t="shared" si="4"/>
        <v>636.18095238095236</v>
      </c>
      <c r="Z35">
        <f t="shared" si="5"/>
        <v>-111.66884849567154</v>
      </c>
      <c r="AA35" s="5"/>
    </row>
    <row r="36" spans="1:27" x14ac:dyDescent="0.25">
      <c r="A36" t="s">
        <v>48</v>
      </c>
      <c r="D36" s="5">
        <v>36.1</v>
      </c>
      <c r="E36" s="7">
        <v>35.771428571428565</v>
      </c>
      <c r="F36" s="7">
        <v>34.457142857142856</v>
      </c>
      <c r="G36" s="7">
        <v>33.771428571428572</v>
      </c>
      <c r="H36" s="15">
        <v>30.271428571428572</v>
      </c>
      <c r="I36" s="15">
        <v>29.642857142857142</v>
      </c>
      <c r="J36" s="15">
        <v>28.671428571428574</v>
      </c>
      <c r="K36" s="15">
        <v>27.614285714285717</v>
      </c>
      <c r="L36" s="15">
        <v>25.455555555555556</v>
      </c>
      <c r="M36" s="15">
        <v>29.157142857142855</v>
      </c>
      <c r="N36" s="15">
        <v>32.042857142857137</v>
      </c>
      <c r="O36" s="15">
        <v>28.442857142857143</v>
      </c>
      <c r="P36" s="15">
        <v>28.071428571428573</v>
      </c>
      <c r="Q36" s="15">
        <v>32.971428571428575</v>
      </c>
      <c r="R36" s="15">
        <v>32.671428571428571</v>
      </c>
      <c r="S36" s="15">
        <v>34.942857142857143</v>
      </c>
      <c r="T36" s="15">
        <v>31.128571428571426</v>
      </c>
      <c r="U36" s="15">
        <v>31.857142857142858</v>
      </c>
      <c r="V36" s="15">
        <v>37.800000000000004</v>
      </c>
      <c r="W36" s="15">
        <v>34.928571428571431</v>
      </c>
      <c r="Y36" s="15">
        <f t="shared" si="4"/>
        <v>635.76984126984121</v>
      </c>
      <c r="Z36">
        <f t="shared" si="5"/>
        <v>-107.43470058657645</v>
      </c>
      <c r="AA36" s="5"/>
    </row>
    <row r="37" spans="1:27" x14ac:dyDescent="0.25">
      <c r="A37" t="s">
        <v>49</v>
      </c>
      <c r="D37" s="5">
        <v>34.771428571428572</v>
      </c>
      <c r="E37" s="7">
        <v>35.214285714285715</v>
      </c>
      <c r="F37" s="7">
        <v>32.857142857142854</v>
      </c>
      <c r="G37" s="7">
        <v>32.357142857142854</v>
      </c>
      <c r="H37" s="15">
        <v>33</v>
      </c>
      <c r="I37" s="15">
        <v>33.085714285714282</v>
      </c>
      <c r="J37" s="15">
        <v>33.142857142857146</v>
      </c>
      <c r="K37" s="15">
        <v>31.5</v>
      </c>
      <c r="L37" s="15">
        <v>27.722222222222221</v>
      </c>
      <c r="M37" s="15">
        <v>31.857142857142858</v>
      </c>
      <c r="N37" s="15">
        <v>31.099999999999998</v>
      </c>
      <c r="O37" s="15">
        <v>32.071428571428569</v>
      </c>
      <c r="P37" s="15">
        <v>31.142857142857142</v>
      </c>
      <c r="Q37" s="15">
        <v>29.914285714285715</v>
      </c>
      <c r="R37" s="15">
        <v>30.62857142857143</v>
      </c>
      <c r="S37" s="15">
        <v>35.285714285714285</v>
      </c>
      <c r="T37" s="15">
        <v>34.957142857142863</v>
      </c>
      <c r="U37" s="15">
        <v>36.6</v>
      </c>
      <c r="V37" s="15">
        <v>35.4</v>
      </c>
      <c r="W37" s="15">
        <v>36.499999999999993</v>
      </c>
      <c r="Y37" s="15">
        <f t="shared" si="4"/>
        <v>659.10793650793664</v>
      </c>
      <c r="Z37">
        <f t="shared" si="5"/>
        <v>-118.11827400288585</v>
      </c>
      <c r="AA37" s="5"/>
    </row>
    <row r="38" spans="1:27" x14ac:dyDescent="0.25">
      <c r="A38" t="s">
        <v>50</v>
      </c>
      <c r="D38" s="5">
        <v>36.457142857142856</v>
      </c>
      <c r="E38" s="7">
        <v>34.528571428571425</v>
      </c>
      <c r="F38" s="7">
        <v>34</v>
      </c>
      <c r="G38" s="7">
        <v>31.900000000000002</v>
      </c>
      <c r="H38" s="15">
        <v>31.822857142857139</v>
      </c>
      <c r="I38" s="15">
        <v>33.171428571428571</v>
      </c>
      <c r="J38" s="15">
        <v>32.214285714285715</v>
      </c>
      <c r="K38" s="15">
        <v>33.214285714285715</v>
      </c>
      <c r="L38" s="15">
        <v>29.977777777777778</v>
      </c>
      <c r="M38" s="15">
        <v>34.128571428571433</v>
      </c>
      <c r="N38" s="15">
        <v>33.31428571428571</v>
      </c>
      <c r="O38" s="15">
        <v>33.285714285714285</v>
      </c>
      <c r="P38" s="15">
        <v>33</v>
      </c>
      <c r="Q38" s="15">
        <v>33.014285714285712</v>
      </c>
      <c r="R38" s="15">
        <v>32.485714285714288</v>
      </c>
      <c r="S38" s="15">
        <v>32.571428571428569</v>
      </c>
      <c r="T38" s="15">
        <v>32.428571428571431</v>
      </c>
      <c r="U38" s="15">
        <v>34.9</v>
      </c>
      <c r="V38" s="15">
        <v>35.1</v>
      </c>
      <c r="W38" s="15">
        <v>35.042857142857144</v>
      </c>
      <c r="Y38" s="15">
        <f t="shared" si="4"/>
        <v>666.5577777777778</v>
      </c>
      <c r="Z38">
        <f t="shared" si="5"/>
        <v>-118.43797918882349</v>
      </c>
      <c r="AA38" s="5"/>
    </row>
    <row r="39" spans="1:27" x14ac:dyDescent="0.25">
      <c r="A39" t="s">
        <v>51</v>
      </c>
      <c r="D39" s="5">
        <v>38.24285714285714</v>
      </c>
      <c r="E39" s="7">
        <v>37.24285714285714</v>
      </c>
      <c r="F39" s="7">
        <v>37.857142857142847</v>
      </c>
      <c r="G39" s="7">
        <v>37.228571428571435</v>
      </c>
      <c r="H39" s="15">
        <v>31.223809523809525</v>
      </c>
      <c r="I39" s="15">
        <v>32.090476190476188</v>
      </c>
      <c r="J39" s="15">
        <v>30.80952380952381</v>
      </c>
      <c r="K39" s="15">
        <v>30.652380952380952</v>
      </c>
      <c r="L39" s="15">
        <v>29.504761904761903</v>
      </c>
      <c r="M39" s="15">
        <v>29.157142857142855</v>
      </c>
      <c r="N39" s="15">
        <v>30.457142857142859</v>
      </c>
      <c r="O39" s="15">
        <v>32.5</v>
      </c>
      <c r="P39" s="15">
        <v>33.942857142857143</v>
      </c>
      <c r="Q39" s="15">
        <v>32.542857142857144</v>
      </c>
      <c r="R39" s="15">
        <v>33.128571428571426</v>
      </c>
      <c r="S39" s="15">
        <v>34.185714285714283</v>
      </c>
      <c r="T39" s="15">
        <v>35.528571428571425</v>
      </c>
      <c r="U39" s="15">
        <v>35.971428571428568</v>
      </c>
      <c r="V39" s="15">
        <v>35.842857142857142</v>
      </c>
      <c r="W39" s="15">
        <v>37.342857142857142</v>
      </c>
      <c r="Y39" s="15">
        <f t="shared" si="4"/>
        <v>675.45238095238096</v>
      </c>
      <c r="Z39">
        <f t="shared" si="5"/>
        <v>-114.39903035624125</v>
      </c>
      <c r="AA39" s="5"/>
    </row>
    <row r="40" spans="1:27" x14ac:dyDescent="0.25">
      <c r="A40" t="s">
        <v>52</v>
      </c>
      <c r="D40" s="5">
        <v>37.457142857142856</v>
      </c>
      <c r="E40" s="7">
        <v>36</v>
      </c>
      <c r="F40" s="7">
        <v>34.642857142857146</v>
      </c>
      <c r="G40" s="7">
        <v>35.142857142857146</v>
      </c>
      <c r="H40" s="15">
        <v>32.357142857142854</v>
      </c>
      <c r="I40" s="15">
        <v>32.371428571428574</v>
      </c>
      <c r="J40" s="15">
        <v>33.871428571428574</v>
      </c>
      <c r="K40" s="15">
        <v>34.142857142857146</v>
      </c>
      <c r="L40" s="15">
        <v>28.888888888888889</v>
      </c>
      <c r="M40" s="15">
        <v>31.428571428571427</v>
      </c>
      <c r="N40" s="15">
        <v>32.785714285714285</v>
      </c>
      <c r="O40" s="15">
        <v>33.214285714285715</v>
      </c>
      <c r="P40" s="15">
        <v>31.171428571428574</v>
      </c>
      <c r="Q40" s="15">
        <v>30</v>
      </c>
      <c r="R40" s="15">
        <v>33.128571428571426</v>
      </c>
      <c r="S40" s="15">
        <v>33.857142857142854</v>
      </c>
      <c r="T40" s="15">
        <v>36.885714285714293</v>
      </c>
      <c r="U40" s="15">
        <v>37.157142857142858</v>
      </c>
      <c r="V40" s="15">
        <v>37.299999999999997</v>
      </c>
      <c r="W40" s="15">
        <v>36.542857142857144</v>
      </c>
      <c r="Y40" s="15">
        <f t="shared" si="4"/>
        <v>678.34603174603171</v>
      </c>
      <c r="Z40">
        <f t="shared" si="5"/>
        <v>-119.86385796850671</v>
      </c>
      <c r="AA40" s="5"/>
    </row>
    <row r="41" spans="1:27" x14ac:dyDescent="0.25">
      <c r="A41" t="s">
        <v>53</v>
      </c>
      <c r="D41" s="5">
        <v>35.214285714285715</v>
      </c>
      <c r="E41" s="7">
        <v>35</v>
      </c>
      <c r="F41" s="7">
        <v>34.928571428571431</v>
      </c>
      <c r="G41" s="7">
        <v>35.071428571428569</v>
      </c>
      <c r="H41" s="15">
        <v>33.714285714285715</v>
      </c>
      <c r="I41" s="15">
        <v>33.285714285714285</v>
      </c>
      <c r="J41" s="15">
        <v>33.928571428571431</v>
      </c>
      <c r="K41" s="15">
        <v>33.5</v>
      </c>
      <c r="L41" s="15">
        <v>29.055555555555557</v>
      </c>
      <c r="M41" s="15">
        <v>30.714285714285715</v>
      </c>
      <c r="N41" s="15">
        <v>31.62857142857143</v>
      </c>
      <c r="O41" s="15">
        <v>32.357142857142854</v>
      </c>
      <c r="P41" s="15">
        <v>33.5</v>
      </c>
      <c r="Q41" s="15">
        <v>33.428571428571431</v>
      </c>
      <c r="R41" s="15">
        <v>33.414285714285718</v>
      </c>
      <c r="S41" s="15">
        <v>34.785714285714285</v>
      </c>
      <c r="T41" s="15">
        <v>31.857142857142858</v>
      </c>
      <c r="U41" s="15">
        <v>34.714285714285715</v>
      </c>
      <c r="V41" s="15">
        <v>35.285714285714285</v>
      </c>
      <c r="W41" s="15">
        <v>36.714285714285715</v>
      </c>
      <c r="Y41" s="15">
        <f t="shared" si="4"/>
        <v>672.09841269841274</v>
      </c>
      <c r="Z41">
        <f t="shared" si="5"/>
        <v>-118.9193062085713</v>
      </c>
      <c r="AA41" s="5"/>
    </row>
    <row r="42" spans="1:27" x14ac:dyDescent="0.25">
      <c r="A42" t="s">
        <v>54</v>
      </c>
      <c r="D42" s="5">
        <v>36.285714285714285</v>
      </c>
      <c r="E42" s="7">
        <v>36.214285714285715</v>
      </c>
      <c r="F42" s="7">
        <v>34.785714285714285</v>
      </c>
      <c r="G42" s="7">
        <v>34.714285714285715</v>
      </c>
      <c r="H42" s="15">
        <v>34.142857142857146</v>
      </c>
      <c r="I42" s="15">
        <v>33.642857142857146</v>
      </c>
      <c r="J42" s="15">
        <v>33.714285714285715</v>
      </c>
      <c r="K42" s="15">
        <v>33.214285714285715</v>
      </c>
      <c r="L42" s="15">
        <v>27.333333333333332</v>
      </c>
      <c r="M42" s="15">
        <v>31.314285714285713</v>
      </c>
      <c r="N42" s="15">
        <v>31.457142857142856</v>
      </c>
      <c r="O42" s="15">
        <v>32.81428571428571</v>
      </c>
      <c r="P42" s="15">
        <v>30.571428571428573</v>
      </c>
      <c r="Q42" s="15">
        <v>31.085714285714285</v>
      </c>
      <c r="R42" s="15">
        <v>31.928571428571427</v>
      </c>
      <c r="S42" s="15">
        <v>32.642857142857146</v>
      </c>
      <c r="T42" s="15">
        <v>34.928571428571431</v>
      </c>
      <c r="U42" s="15">
        <v>37.428571428571431</v>
      </c>
      <c r="V42" s="15">
        <v>37.842857142857142</v>
      </c>
      <c r="W42" s="15">
        <v>40.828571428571429</v>
      </c>
      <c r="Y42" s="15">
        <f t="shared" si="4"/>
        <v>676.89047619047619</v>
      </c>
      <c r="Z42">
        <f t="shared" si="5"/>
        <v>-119.84544158027099</v>
      </c>
      <c r="AA42" s="5"/>
    </row>
    <row r="43" spans="1:27" x14ac:dyDescent="0.25">
      <c r="A43" t="s">
        <v>55</v>
      </c>
      <c r="D43" s="5">
        <v>35.557142857142857</v>
      </c>
      <c r="E43" s="7">
        <v>33.200000000000003</v>
      </c>
      <c r="F43" s="7">
        <v>33.571428571428569</v>
      </c>
      <c r="G43" s="7">
        <v>33.657142857142858</v>
      </c>
      <c r="H43" s="15">
        <v>33.342857142857142</v>
      </c>
      <c r="I43" s="15">
        <v>31.400000000000002</v>
      </c>
      <c r="J43" s="15">
        <v>31.671428571428571</v>
      </c>
      <c r="K43" s="15">
        <v>31.657142857142862</v>
      </c>
      <c r="L43" s="15">
        <v>29.099999999999998</v>
      </c>
      <c r="M43" s="15">
        <v>28.857142857142858</v>
      </c>
      <c r="N43" s="15">
        <v>31.75714285714286</v>
      </c>
      <c r="O43" s="15">
        <v>31.714285714285715</v>
      </c>
      <c r="P43" s="15">
        <v>28.285714285714285</v>
      </c>
      <c r="Q43" s="15">
        <v>29.642857142857142</v>
      </c>
      <c r="R43" s="15">
        <v>33.142857142857146</v>
      </c>
      <c r="S43" s="15">
        <v>33.5</v>
      </c>
      <c r="T43" s="15">
        <v>29.142857142857142</v>
      </c>
      <c r="U43" s="15">
        <v>34.871428571428574</v>
      </c>
      <c r="V43" s="15">
        <v>35.157142857142858</v>
      </c>
      <c r="W43" s="15">
        <v>34.857142857142854</v>
      </c>
      <c r="Y43" s="15">
        <f t="shared" si="4"/>
        <v>644.0857142857144</v>
      </c>
      <c r="Z43">
        <f t="shared" si="5"/>
        <v>-113.01354483162578</v>
      </c>
      <c r="AA43" s="5"/>
    </row>
    <row r="44" spans="1:27" x14ac:dyDescent="0.25">
      <c r="A44" t="s">
        <v>56</v>
      </c>
      <c r="D44" s="5">
        <v>35.071428571428569</v>
      </c>
      <c r="E44" s="7">
        <v>32.9</v>
      </c>
      <c r="F44" s="7">
        <v>33.9</v>
      </c>
      <c r="G44" s="7">
        <v>32</v>
      </c>
      <c r="H44" s="15">
        <v>32.956190476190478</v>
      </c>
      <c r="I44" s="15">
        <v>32.558095238095241</v>
      </c>
      <c r="J44" s="15">
        <v>32.79904761904762</v>
      </c>
      <c r="K44" s="15">
        <v>32.63333333333334</v>
      </c>
      <c r="L44" s="15">
        <v>28.776507936507937</v>
      </c>
      <c r="M44" s="15">
        <v>26.642857142857142</v>
      </c>
      <c r="N44" s="15">
        <v>28.071428571428573</v>
      </c>
      <c r="O44" s="15">
        <v>31.5</v>
      </c>
      <c r="P44" s="15">
        <v>28.857142857142858</v>
      </c>
      <c r="Q44" s="15">
        <v>33</v>
      </c>
      <c r="R44" s="15">
        <v>34.142857142857146</v>
      </c>
      <c r="S44" s="15">
        <v>33.928571428571431</v>
      </c>
      <c r="T44" s="15">
        <v>36.428571428571431</v>
      </c>
      <c r="U44" s="15">
        <v>36.071428571428569</v>
      </c>
      <c r="V44" s="15">
        <v>32.5</v>
      </c>
      <c r="W44" s="15">
        <v>33.142857142857146</v>
      </c>
      <c r="Y44" s="15">
        <f t="shared" si="4"/>
        <v>647.88031746031743</v>
      </c>
      <c r="Z44">
        <f t="shared" si="5"/>
        <v>-114.30646223818424</v>
      </c>
      <c r="AA44" s="15"/>
    </row>
    <row r="45" spans="1:27" x14ac:dyDescent="0.25">
      <c r="A45" t="s">
        <v>57</v>
      </c>
      <c r="D45" s="5">
        <v>34.485714285714288</v>
      </c>
      <c r="E45" s="7">
        <v>33.842857142857142</v>
      </c>
      <c r="F45" s="7">
        <v>33.414285714285711</v>
      </c>
      <c r="G45" s="7">
        <v>32.771428571428565</v>
      </c>
      <c r="H45" s="15">
        <v>33.302666666666667</v>
      </c>
      <c r="I45" s="15">
        <v>32.65161904761905</v>
      </c>
      <c r="J45" s="15">
        <v>33.196952380952389</v>
      </c>
      <c r="K45" s="15">
        <v>33.029523809523809</v>
      </c>
      <c r="L45" s="15">
        <v>28.630857142857138</v>
      </c>
      <c r="M45" s="15">
        <v>30.878730158730157</v>
      </c>
      <c r="N45" s="15">
        <v>31.34</v>
      </c>
      <c r="O45" s="15">
        <v>30.886349206349209</v>
      </c>
      <c r="P45" s="15">
        <v>31.478730158730158</v>
      </c>
      <c r="Q45" s="15">
        <v>31.521904761904757</v>
      </c>
      <c r="R45" s="15">
        <v>32.019682539682542</v>
      </c>
      <c r="S45" s="15">
        <v>33.521587301587289</v>
      </c>
      <c r="T45" s="15">
        <v>33.8584126984127</v>
      </c>
      <c r="U45" s="15">
        <v>35.204761904761909</v>
      </c>
      <c r="V45" s="15">
        <v>35.844761904761903</v>
      </c>
      <c r="W45" s="15">
        <v>36.546984126984128</v>
      </c>
      <c r="Y45" s="15">
        <f t="shared" si="4"/>
        <v>658.42780952380951</v>
      </c>
      <c r="Z45">
        <f t="shared" si="5"/>
        <v>-117.82726461237193</v>
      </c>
      <c r="AA45" s="15"/>
    </row>
    <row r="46" spans="1:27" x14ac:dyDescent="0.25">
      <c r="A46" t="s">
        <v>58</v>
      </c>
      <c r="D46" s="5">
        <v>35.057142857142857</v>
      </c>
      <c r="E46" s="14">
        <v>35.557142857142857</v>
      </c>
      <c r="F46" s="14">
        <v>33.842857142857142</v>
      </c>
      <c r="G46" s="14">
        <v>32.1</v>
      </c>
      <c r="H46" s="15">
        <v>32.025820105820102</v>
      </c>
      <c r="I46" s="15">
        <v>31.983068783068784</v>
      </c>
      <c r="J46" s="15">
        <v>31.594708994708999</v>
      </c>
      <c r="K46" s="15">
        <v>31.855026455026454</v>
      </c>
      <c r="L46" s="15">
        <v>28.557319223985889</v>
      </c>
      <c r="M46" s="15">
        <v>28.071428571428573</v>
      </c>
      <c r="N46" s="15">
        <v>29.599999999999998</v>
      </c>
      <c r="O46" s="15">
        <v>31.428571428571427</v>
      </c>
      <c r="P46" s="15">
        <v>25.642857142857142</v>
      </c>
      <c r="Q46" s="15">
        <v>27.285714285714285</v>
      </c>
      <c r="R46" s="15">
        <v>23.071428571428573</v>
      </c>
      <c r="S46" s="15">
        <v>30</v>
      </c>
      <c r="T46" s="15">
        <v>33.714285714285715</v>
      </c>
      <c r="U46" s="15">
        <v>33.625</v>
      </c>
      <c r="V46" s="15">
        <v>36.428571428571431</v>
      </c>
      <c r="W46" s="15">
        <v>36.357142857142854</v>
      </c>
      <c r="Y46" s="15">
        <f t="shared" si="4"/>
        <v>627.79808641975308</v>
      </c>
      <c r="Z46">
        <f t="shared" si="5"/>
        <v>-106.99308900055226</v>
      </c>
      <c r="AA46" s="15"/>
    </row>
    <row r="47" spans="1:27" x14ac:dyDescent="0.25">
      <c r="A47" t="s">
        <v>59</v>
      </c>
      <c r="D47" s="5">
        <v>34.785714285714285</v>
      </c>
      <c r="E47" s="7">
        <v>35.214285714285715</v>
      </c>
      <c r="F47" s="7">
        <v>34.071428571428569</v>
      </c>
      <c r="G47" s="7">
        <v>32</v>
      </c>
      <c r="H47" s="15">
        <v>30.714285714285715</v>
      </c>
      <c r="I47" s="15">
        <v>34.714285714285715</v>
      </c>
      <c r="J47" s="15">
        <v>31.785714285714285</v>
      </c>
      <c r="K47" s="15">
        <v>31.74285714285714</v>
      </c>
      <c r="L47" s="15">
        <v>30.212499999999999</v>
      </c>
      <c r="M47" s="15">
        <v>29.314285714285713</v>
      </c>
      <c r="N47" s="15">
        <v>28</v>
      </c>
      <c r="O47" s="15">
        <v>33.071428571428569</v>
      </c>
      <c r="P47" s="15">
        <v>30.599999999999998</v>
      </c>
      <c r="Q47" s="15">
        <v>31.88571428571429</v>
      </c>
      <c r="R47" s="15">
        <v>30.971428571428568</v>
      </c>
      <c r="S47" s="15">
        <v>31.571428571428573</v>
      </c>
      <c r="T47" s="15">
        <v>35.700000000000003</v>
      </c>
      <c r="U47" s="15">
        <v>37.228571428571435</v>
      </c>
      <c r="V47" s="15">
        <v>35.471428571428575</v>
      </c>
      <c r="W47" s="15">
        <v>37.25714285714286</v>
      </c>
      <c r="Y47" s="15">
        <f t="shared" si="4"/>
        <v>656.31249999999989</v>
      </c>
      <c r="Z47">
        <f t="shared" si="5"/>
        <v>-114.83497468297982</v>
      </c>
      <c r="AA47" s="15"/>
    </row>
    <row r="48" spans="1:27" x14ac:dyDescent="0.25">
      <c r="A48" t="s">
        <v>60</v>
      </c>
      <c r="D48" s="5">
        <v>36.857142857142854</v>
      </c>
      <c r="E48" s="7">
        <v>35.157142857142858</v>
      </c>
      <c r="F48" s="7">
        <v>28.957142857142859</v>
      </c>
      <c r="G48" s="7">
        <v>32.4</v>
      </c>
      <c r="H48" s="15">
        <v>32.428571428571431</v>
      </c>
      <c r="I48" s="15">
        <v>31.928571428571427</v>
      </c>
      <c r="J48" s="15">
        <v>32.957142857142863</v>
      </c>
      <c r="K48" s="15">
        <v>30.728571428571428</v>
      </c>
      <c r="L48" s="15">
        <v>29.214285714285715</v>
      </c>
      <c r="M48" s="15">
        <v>28.714285714285715</v>
      </c>
      <c r="N48" s="15">
        <v>29.342857142857145</v>
      </c>
      <c r="O48" s="15">
        <v>29.985714285714284</v>
      </c>
      <c r="P48" s="15">
        <v>32.085714285714289</v>
      </c>
      <c r="Q48" s="15">
        <v>31.728571428571428</v>
      </c>
      <c r="R48" s="15">
        <v>32.299999999999997</v>
      </c>
      <c r="S48" s="15">
        <v>31.099999999999998</v>
      </c>
      <c r="T48" s="15">
        <v>33.799999999999997</v>
      </c>
      <c r="U48" s="15">
        <v>35.885714285714286</v>
      </c>
      <c r="V48" s="15">
        <v>35.214285714285715</v>
      </c>
      <c r="W48" s="15">
        <v>39.085714285714289</v>
      </c>
      <c r="Y48" s="15">
        <f t="shared" si="4"/>
        <v>649.87142857142851</v>
      </c>
      <c r="Z48">
        <f t="shared" si="5"/>
        <v>-114.599828773098</v>
      </c>
      <c r="AA48" s="5"/>
    </row>
    <row r="49" spans="1:27" x14ac:dyDescent="0.25">
      <c r="A49" t="s">
        <v>61</v>
      </c>
      <c r="D49" s="5">
        <v>35.071428571428569</v>
      </c>
      <c r="E49" s="7">
        <v>34.24285714285714</v>
      </c>
      <c r="F49" s="7">
        <v>34.485714285714288</v>
      </c>
      <c r="G49" s="7">
        <v>29.714285714285715</v>
      </c>
      <c r="H49" s="15">
        <v>30.528571428571428</v>
      </c>
      <c r="I49" s="15">
        <v>29.62857142857143</v>
      </c>
      <c r="J49" s="15">
        <v>27.685714285714287</v>
      </c>
      <c r="K49" s="15">
        <v>29.485714285714284</v>
      </c>
      <c r="L49" s="15">
        <v>29.087499999999999</v>
      </c>
      <c r="M49" s="15">
        <v>27.2</v>
      </c>
      <c r="N49" s="15">
        <v>29.071428571428573</v>
      </c>
      <c r="O49" s="15">
        <v>29.5</v>
      </c>
      <c r="P49" s="15">
        <v>30.728571428571428</v>
      </c>
      <c r="Q49" s="15">
        <v>31.085714285714289</v>
      </c>
      <c r="R49" s="15">
        <v>32.75714285714286</v>
      </c>
      <c r="S49" s="15">
        <v>31.457142857142856</v>
      </c>
      <c r="T49" s="15">
        <v>31.557142857142853</v>
      </c>
      <c r="U49" s="15">
        <v>34.285714285714285</v>
      </c>
      <c r="V49" s="15">
        <v>34.728571428571428</v>
      </c>
      <c r="W49" s="15">
        <v>37.871428571428574</v>
      </c>
      <c r="Y49" s="15">
        <f t="shared" si="4"/>
        <v>630.17321428571438</v>
      </c>
      <c r="Z49">
        <f t="shared" si="5"/>
        <v>-108.51837163025552</v>
      </c>
      <c r="AA49" s="5"/>
    </row>
    <row r="50" spans="1:27" x14ac:dyDescent="0.25">
      <c r="A50" t="s">
        <v>62</v>
      </c>
      <c r="D50" s="5">
        <v>35.785714285714285</v>
      </c>
      <c r="E50" s="6">
        <v>35.857142857142854</v>
      </c>
      <c r="F50" s="6">
        <v>35.571428571428569</v>
      </c>
      <c r="G50" s="6">
        <v>34.714285714285715</v>
      </c>
      <c r="H50" s="15">
        <v>34.214285714285715</v>
      </c>
      <c r="I50" s="15">
        <v>36.714285714285715</v>
      </c>
      <c r="J50" s="15">
        <v>35.785714285714285</v>
      </c>
      <c r="K50" s="15">
        <v>35.857142857142854</v>
      </c>
      <c r="L50" s="15">
        <v>35.571428571428569</v>
      </c>
      <c r="M50" s="15">
        <v>26.857142857142858</v>
      </c>
      <c r="N50" s="15">
        <v>26.285714285714285</v>
      </c>
      <c r="O50" s="15">
        <v>27.571428571428573</v>
      </c>
      <c r="P50" s="15">
        <v>29.185714285714283</v>
      </c>
      <c r="Q50" s="15">
        <v>28.87142857142857</v>
      </c>
      <c r="R50" s="15">
        <v>26.842857142857145</v>
      </c>
      <c r="S50" s="15">
        <v>29.957142857142856</v>
      </c>
      <c r="T50" s="15">
        <v>33.24285714285714</v>
      </c>
      <c r="U50" s="15">
        <v>29.785714285714285</v>
      </c>
      <c r="V50" s="15">
        <v>27.142857142857142</v>
      </c>
      <c r="W50" s="15">
        <v>27.857142857142858</v>
      </c>
      <c r="Y50" s="15">
        <f t="shared" si="4"/>
        <v>633.67142857142858</v>
      </c>
      <c r="Z50">
        <f t="shared" si="5"/>
        <v>-105.19222179840446</v>
      </c>
      <c r="AA50" s="5"/>
    </row>
    <row r="51" spans="1:27" x14ac:dyDescent="0.25">
      <c r="D51" s="5"/>
      <c r="E51" s="6"/>
      <c r="F51" s="6"/>
      <c r="G51" s="6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Y51" s="15"/>
      <c r="AA51" s="5"/>
    </row>
    <row r="52" spans="1:27" x14ac:dyDescent="0.25">
      <c r="A52" t="s">
        <v>63</v>
      </c>
      <c r="D52" s="5">
        <v>33.81428571428571</v>
      </c>
      <c r="E52" s="7">
        <v>33.5</v>
      </c>
      <c r="F52" s="7">
        <v>34.357142857142854</v>
      </c>
      <c r="G52" s="7">
        <v>32.057142857142857</v>
      </c>
      <c r="H52" s="15">
        <v>32.025820105820102</v>
      </c>
      <c r="I52" s="15">
        <v>31.983068783068784</v>
      </c>
      <c r="J52" s="15">
        <v>31.594708994708999</v>
      </c>
      <c r="K52" s="15">
        <v>31.855026455026454</v>
      </c>
      <c r="L52" s="15">
        <v>28.557319223985889</v>
      </c>
      <c r="M52" s="15">
        <v>28.071428571428573</v>
      </c>
      <c r="N52" s="15">
        <v>29.599999999999998</v>
      </c>
      <c r="O52" s="15">
        <v>31.428571428571427</v>
      </c>
      <c r="P52" s="15">
        <v>25.642857142857142</v>
      </c>
      <c r="Q52" s="15">
        <v>27.285714285714285</v>
      </c>
      <c r="R52" s="15">
        <v>31.642049062049065</v>
      </c>
      <c r="S52" s="15">
        <v>33.259105339105332</v>
      </c>
      <c r="T52" s="15">
        <v>34.129985569985564</v>
      </c>
      <c r="U52" s="15">
        <v>35.79751082251083</v>
      </c>
      <c r="V52" s="15">
        <v>35.652121212121216</v>
      </c>
      <c r="W52" s="15">
        <v>36.466608946608943</v>
      </c>
      <c r="Y52" s="15">
        <f t="shared" si="4"/>
        <v>638.72046737213407</v>
      </c>
      <c r="Z52">
        <f>SUMPRODUCT($D$56:$W$56,D52:W52)</f>
        <v>-112.52867076416888</v>
      </c>
      <c r="AA52" s="5"/>
    </row>
    <row r="53" spans="1:27" x14ac:dyDescent="0.25">
      <c r="A53" t="s">
        <v>307</v>
      </c>
      <c r="D53" s="5">
        <v>34.4</v>
      </c>
      <c r="E53" s="23">
        <v>35.1</v>
      </c>
      <c r="F53" s="23">
        <v>30.7</v>
      </c>
      <c r="G53" s="23">
        <v>32.6</v>
      </c>
      <c r="H53" s="15">
        <v>31.957142857142856</v>
      </c>
      <c r="I53" s="15">
        <v>31.014285714285712</v>
      </c>
      <c r="J53" s="15">
        <v>30.099999999999998</v>
      </c>
      <c r="K53" s="15">
        <v>28.642857142857146</v>
      </c>
      <c r="L53" s="15">
        <v>23.462499999999999</v>
      </c>
      <c r="M53" s="15">
        <v>26.38571428571429</v>
      </c>
      <c r="N53" s="15">
        <v>26.157142857142862</v>
      </c>
      <c r="O53" s="15">
        <v>26.271428571428572</v>
      </c>
      <c r="P53" s="15">
        <v>24.6</v>
      </c>
      <c r="Q53" s="15">
        <v>30.3</v>
      </c>
      <c r="R53" s="15">
        <v>29.6</v>
      </c>
      <c r="S53" s="15">
        <v>29.5</v>
      </c>
      <c r="T53" s="15">
        <v>35.1</v>
      </c>
      <c r="U53" s="15">
        <v>36.1</v>
      </c>
      <c r="V53" s="15">
        <v>34.1</v>
      </c>
      <c r="W53" s="15">
        <v>37.1</v>
      </c>
      <c r="Y53" s="15">
        <f t="shared" si="4"/>
        <v>613.19107142857149</v>
      </c>
      <c r="Z53">
        <f>SUMPRODUCT($D$56:$W$56,D53:W53)</f>
        <v>-105.72403353407103</v>
      </c>
      <c r="AA53" s="5"/>
    </row>
    <row r="54" spans="1:27" x14ac:dyDescent="0.25">
      <c r="A54" t="s">
        <v>308</v>
      </c>
      <c r="D54" s="5">
        <v>35.82597402597402</v>
      </c>
      <c r="E54" s="5">
        <v>34.299999999999997</v>
      </c>
      <c r="F54" s="5">
        <v>31.6</v>
      </c>
      <c r="G54" s="5">
        <v>32.6</v>
      </c>
      <c r="H54" s="14">
        <v>32.799999999999997</v>
      </c>
      <c r="I54" s="14">
        <v>33.6</v>
      </c>
      <c r="J54" s="14">
        <v>32.700000000000003</v>
      </c>
      <c r="K54" s="14">
        <v>29</v>
      </c>
      <c r="L54" s="14">
        <v>25.3</v>
      </c>
      <c r="M54" s="14">
        <v>25.4</v>
      </c>
      <c r="N54" s="14">
        <v>25.1</v>
      </c>
      <c r="O54" s="14">
        <v>25.3</v>
      </c>
      <c r="P54" s="14">
        <v>29.951825396825395</v>
      </c>
      <c r="Q54" s="14">
        <v>30.605476190476189</v>
      </c>
      <c r="R54" s="14">
        <v>29.590634920634923</v>
      </c>
      <c r="S54" s="14">
        <v>31.548253968253963</v>
      </c>
      <c r="T54" s="14">
        <v>34.2681746031746</v>
      </c>
      <c r="U54" s="14">
        <v>35.486011904761909</v>
      </c>
      <c r="V54" s="14">
        <v>35.739761904761906</v>
      </c>
      <c r="W54" s="14">
        <v>37.311746031746033</v>
      </c>
      <c r="Y54" s="15">
        <f t="shared" si="4"/>
        <v>628.02785894660883</v>
      </c>
      <c r="Z54">
        <f>SUMPRODUCT($D$56:$W$56,D54:W54)</f>
        <v>-108.95353620214436</v>
      </c>
      <c r="AA54" s="5"/>
    </row>
    <row r="55" spans="1:27" x14ac:dyDescent="0.25">
      <c r="A55" t="s">
        <v>670</v>
      </c>
      <c r="D55" s="15">
        <v>33.785714285714285</v>
      </c>
      <c r="E55" s="15">
        <v>35.771428571428572</v>
      </c>
      <c r="F55" s="15">
        <v>36.5</v>
      </c>
      <c r="G55" s="15">
        <v>34.700000000000003</v>
      </c>
      <c r="H55" s="15">
        <v>33.614285714285714</v>
      </c>
      <c r="I55" s="15">
        <v>33.642857142857146</v>
      </c>
      <c r="J55" s="15">
        <v>30.24285714285714</v>
      </c>
      <c r="K55" s="15">
        <v>28.271428571428572</v>
      </c>
      <c r="L55" s="15">
        <v>31</v>
      </c>
      <c r="M55" s="15">
        <v>30.214949494949494</v>
      </c>
      <c r="N55" s="15">
        <v>30.864675324675328</v>
      </c>
      <c r="O55" s="15">
        <v>32.258499278499286</v>
      </c>
      <c r="P55" s="15">
        <v>28.566111111111109</v>
      </c>
      <c r="Q55" s="15">
        <v>30.362619047619042</v>
      </c>
      <c r="R55" s="15">
        <v>30.941375661375663</v>
      </c>
      <c r="S55" s="15">
        <v>32.27026455026455</v>
      </c>
      <c r="T55" s="15">
        <v>34.047269841269838</v>
      </c>
      <c r="U55" s="15">
        <v>35.717261904761912</v>
      </c>
      <c r="V55" s="15">
        <v>35.677333333333337</v>
      </c>
      <c r="W55" s="15">
        <v>36.463269841269842</v>
      </c>
      <c r="X55" s="15"/>
      <c r="Y55" s="15">
        <f t="shared" ref="Y55" si="6">SUM(D55:W55)</f>
        <v>654.91220081770086</v>
      </c>
      <c r="Z55">
        <f>SUMPRODUCT($D$56:$W$56,D55:W55)</f>
        <v>-112.11993486452111</v>
      </c>
    </row>
    <row r="56" spans="1:27" x14ac:dyDescent="0.25">
      <c r="A56" s="2" t="s">
        <v>64</v>
      </c>
      <c r="D56" s="3">
        <f>CORREL($B$2:$B$21,D31:D50)</f>
        <v>0.19756110103127961</v>
      </c>
      <c r="E56" s="3">
        <f t="shared" ref="E56:W56" si="7">CORREL($B$2:$B$21,E31:E50)</f>
        <v>0.39446842291720807</v>
      </c>
      <c r="F56" s="3">
        <f t="shared" si="7"/>
        <v>0.12910812914868319</v>
      </c>
      <c r="G56" s="3">
        <f t="shared" si="7"/>
        <v>1.134395755948654E-2</v>
      </c>
      <c r="H56" s="3">
        <f t="shared" si="7"/>
        <v>-0.29725591432151077</v>
      </c>
      <c r="I56" s="3">
        <f t="shared" si="7"/>
        <v>-0.17805327856487418</v>
      </c>
      <c r="J56" s="3">
        <f t="shared" si="7"/>
        <v>-0.33320782587144515</v>
      </c>
      <c r="K56" s="3">
        <f t="shared" si="7"/>
        <v>-0.43322331220344867</v>
      </c>
      <c r="L56" s="3">
        <f t="shared" si="7"/>
        <v>5.3128809179408029E-2</v>
      </c>
      <c r="M56" s="3">
        <f t="shared" si="7"/>
        <v>-0.46285049978224724</v>
      </c>
      <c r="N56" s="3">
        <f t="shared" si="7"/>
        <v>-0.24011893184595132</v>
      </c>
      <c r="O56" s="3">
        <f t="shared" si="7"/>
        <v>-0.24001853646781354</v>
      </c>
      <c r="P56" s="3">
        <f t="shared" si="7"/>
        <v>-0.38522618007090936</v>
      </c>
      <c r="Q56" s="3">
        <f t="shared" si="7"/>
        <v>-3.720303346914574E-2</v>
      </c>
      <c r="R56" s="3">
        <f t="shared" si="7"/>
        <v>-0.29390891894068866</v>
      </c>
      <c r="S56" s="3">
        <f t="shared" si="7"/>
        <v>-0.32775457882057984</v>
      </c>
      <c r="T56" s="3">
        <f t="shared" si="7"/>
        <v>-0.24441665645399285</v>
      </c>
      <c r="U56" s="3">
        <f t="shared" si="7"/>
        <v>-0.44607722065306954</v>
      </c>
      <c r="V56" s="3">
        <f t="shared" si="7"/>
        <v>-0.18323420187705661</v>
      </c>
      <c r="W56" s="3">
        <f t="shared" si="7"/>
        <v>-0.26371740301595481</v>
      </c>
    </row>
    <row r="59" spans="1:27" x14ac:dyDescent="0.25">
      <c r="D59" t="s">
        <v>75</v>
      </c>
      <c r="E59" t="s">
        <v>76</v>
      </c>
      <c r="F59" t="s">
        <v>77</v>
      </c>
      <c r="G59" t="s">
        <v>78</v>
      </c>
      <c r="H59" t="s">
        <v>79</v>
      </c>
      <c r="I59" t="s">
        <v>80</v>
      </c>
      <c r="J59" t="s">
        <v>81</v>
      </c>
      <c r="K59" t="s">
        <v>82</v>
      </c>
      <c r="L59" t="s">
        <v>335</v>
      </c>
      <c r="M59" t="s">
        <v>367</v>
      </c>
      <c r="N59" t="s">
        <v>368</v>
      </c>
      <c r="O59" t="s">
        <v>369</v>
      </c>
      <c r="P59" t="s">
        <v>454</v>
      </c>
      <c r="Q59" t="s">
        <v>455</v>
      </c>
      <c r="R59" t="s">
        <v>456</v>
      </c>
      <c r="S59" t="s">
        <v>457</v>
      </c>
      <c r="T59" t="s">
        <v>566</v>
      </c>
      <c r="U59" t="s">
        <v>567</v>
      </c>
      <c r="V59" t="s">
        <v>568</v>
      </c>
      <c r="W59" t="s">
        <v>569</v>
      </c>
      <c r="Y59" t="s">
        <v>83</v>
      </c>
      <c r="Z59" t="s">
        <v>84</v>
      </c>
    </row>
    <row r="60" spans="1:27" x14ac:dyDescent="0.25">
      <c r="A60" t="s">
        <v>43</v>
      </c>
      <c r="D60" s="5">
        <v>15.8</v>
      </c>
      <c r="E60" s="7">
        <v>14.842857142857142</v>
      </c>
      <c r="F60" s="7">
        <v>15.971428571428572</v>
      </c>
      <c r="G60" s="7">
        <v>16.100000000000001</v>
      </c>
      <c r="H60" s="15">
        <v>12.411111111111111</v>
      </c>
      <c r="I60" s="15">
        <v>10.928571428571429</v>
      </c>
      <c r="J60" s="15">
        <v>10.938095238095238</v>
      </c>
      <c r="K60" s="15">
        <v>13.344444444444443</v>
      </c>
      <c r="L60" s="15">
        <v>11.423456790123458</v>
      </c>
      <c r="M60" s="15">
        <v>11.521428571428574</v>
      </c>
      <c r="N60" s="15">
        <v>11.878571428571428</v>
      </c>
      <c r="O60" s="15">
        <v>10.642857142857142</v>
      </c>
      <c r="P60" s="15">
        <v>12.214285714285714</v>
      </c>
      <c r="Q60" s="15">
        <v>12.714285714285714</v>
      </c>
      <c r="R60" s="15">
        <v>13.071428571428571</v>
      </c>
      <c r="S60" s="15">
        <v>16.571428571428573</v>
      </c>
      <c r="T60" s="15">
        <v>11.142857142857142</v>
      </c>
      <c r="U60" s="15">
        <v>14.571428571428571</v>
      </c>
      <c r="V60" s="15">
        <v>19.142857142857142</v>
      </c>
      <c r="W60" s="15">
        <v>19.357142857142858</v>
      </c>
      <c r="Y60" s="15">
        <f t="shared" ref="Y60:Y83" si="8">SUM(D60:W60)</f>
        <v>274.58853615520286</v>
      </c>
      <c r="Z60">
        <f t="shared" ref="Z60:Z79" si="9">SUMPRODUCT($D$85:$S$85,D60:S60)</f>
        <v>74.234902709459632</v>
      </c>
    </row>
    <row r="61" spans="1:27" x14ac:dyDescent="0.25">
      <c r="A61" t="s">
        <v>44</v>
      </c>
      <c r="D61" s="5">
        <v>19.842857142857145</v>
      </c>
      <c r="E61" s="7">
        <v>17.371428571428574</v>
      </c>
      <c r="F61" s="7">
        <v>11.057142857142855</v>
      </c>
      <c r="G61" s="7">
        <v>14.242857142857142</v>
      </c>
      <c r="H61" s="15">
        <v>13.438095238095237</v>
      </c>
      <c r="I61" s="15">
        <v>13.066666666666665</v>
      </c>
      <c r="J61" s="15">
        <v>11.261904761904761</v>
      </c>
      <c r="K61" s="15">
        <v>13.9</v>
      </c>
      <c r="L61" s="15">
        <v>11.777777777777779</v>
      </c>
      <c r="M61" s="15">
        <v>10.935714285714287</v>
      </c>
      <c r="N61" s="15">
        <v>11.567857142857141</v>
      </c>
      <c r="O61" s="15">
        <v>11.192857142857143</v>
      </c>
      <c r="P61" s="15">
        <v>10.817857142857143</v>
      </c>
      <c r="Q61" s="15">
        <v>11.975000000000001</v>
      </c>
      <c r="R61" s="15">
        <v>11.214285714285715</v>
      </c>
      <c r="S61" s="15">
        <v>13.432142857142857</v>
      </c>
      <c r="T61" s="15">
        <v>14.767857142857142</v>
      </c>
      <c r="U61" s="15">
        <v>15.375</v>
      </c>
      <c r="V61" s="15">
        <v>16.482142857142858</v>
      </c>
      <c r="W61" s="15">
        <v>17.703571428571429</v>
      </c>
      <c r="Y61" s="15">
        <f t="shared" si="8"/>
        <v>271.42301587301591</v>
      </c>
      <c r="Z61">
        <f t="shared" si="9"/>
        <v>76.056364863992897</v>
      </c>
    </row>
    <row r="62" spans="1:27" x14ac:dyDescent="0.25">
      <c r="A62" t="s">
        <v>45</v>
      </c>
      <c r="D62" s="5">
        <v>18.62857142857143</v>
      </c>
      <c r="E62" s="7">
        <v>18.557142857142857</v>
      </c>
      <c r="F62" s="7">
        <v>17.25714285714286</v>
      </c>
      <c r="G62" s="7">
        <v>14.685714285714283</v>
      </c>
      <c r="H62" s="15">
        <v>14.390476190476191</v>
      </c>
      <c r="I62" s="15">
        <v>13</v>
      </c>
      <c r="J62" s="15">
        <v>11.585714285714287</v>
      </c>
      <c r="K62" s="15">
        <v>13.19047619047619</v>
      </c>
      <c r="L62" s="15">
        <v>10.792592592592593</v>
      </c>
      <c r="M62" s="15">
        <v>10.082142857142857</v>
      </c>
      <c r="N62" s="15">
        <v>10.717857142857142</v>
      </c>
      <c r="O62" s="15">
        <v>11.596428571428572</v>
      </c>
      <c r="P62" s="15">
        <v>10.539285714285715</v>
      </c>
      <c r="Q62" s="15">
        <v>10.839285714285715</v>
      </c>
      <c r="R62" s="15">
        <v>10.617857142857144</v>
      </c>
      <c r="S62" s="15">
        <v>13.028571428571428</v>
      </c>
      <c r="T62" s="15">
        <v>15.132142857142856</v>
      </c>
      <c r="U62" s="15">
        <v>15.771428571428572</v>
      </c>
      <c r="V62" s="15">
        <v>15.821428571428573</v>
      </c>
      <c r="W62" s="15">
        <v>17.857142857142858</v>
      </c>
      <c r="Y62" s="15">
        <f t="shared" si="8"/>
        <v>274.09140211640209</v>
      </c>
      <c r="Z62">
        <f t="shared" si="9"/>
        <v>79.627542840351026</v>
      </c>
    </row>
    <row r="63" spans="1:27" x14ac:dyDescent="0.25">
      <c r="A63" t="s">
        <v>46</v>
      </c>
      <c r="D63" s="5">
        <v>16.357142857142858</v>
      </c>
      <c r="E63" s="7">
        <v>14.457142857142857</v>
      </c>
      <c r="F63" s="7">
        <v>11.214285714285714</v>
      </c>
      <c r="G63" s="7">
        <v>11.171428571428574</v>
      </c>
      <c r="H63" s="15">
        <v>8.5714285714285712</v>
      </c>
      <c r="I63" s="15">
        <v>10.328571428571427</v>
      </c>
      <c r="J63" s="15">
        <v>10.042857142857143</v>
      </c>
      <c r="K63" s="15">
        <v>12.257142857142856</v>
      </c>
      <c r="L63" s="15">
        <v>9.9555555555555557</v>
      </c>
      <c r="M63" s="15">
        <v>10.857142857142858</v>
      </c>
      <c r="N63" s="15">
        <v>9.9714285714285715</v>
      </c>
      <c r="O63" s="15">
        <v>8.4857142857142858</v>
      </c>
      <c r="P63" s="15">
        <v>8.4857142857142858</v>
      </c>
      <c r="Q63" s="15">
        <v>10.342857142857143</v>
      </c>
      <c r="R63" s="15">
        <v>12.257142857142856</v>
      </c>
      <c r="S63" s="15">
        <v>11.37142857142857</v>
      </c>
      <c r="T63" s="15">
        <v>11.114285714285714</v>
      </c>
      <c r="U63" s="15">
        <v>16.071428571428573</v>
      </c>
      <c r="V63" s="15">
        <v>13.385714285714286</v>
      </c>
      <c r="W63" s="15">
        <v>18.057142857142857</v>
      </c>
      <c r="Y63" s="15">
        <f t="shared" si="8"/>
        <v>234.75555555555556</v>
      </c>
      <c r="Z63">
        <f t="shared" si="9"/>
        <v>62.744189540660969</v>
      </c>
    </row>
    <row r="64" spans="1:27" x14ac:dyDescent="0.25">
      <c r="A64" t="s">
        <v>47</v>
      </c>
      <c r="D64" s="5">
        <v>20.071428571428573</v>
      </c>
      <c r="E64" s="7">
        <v>17.071428571428573</v>
      </c>
      <c r="F64" s="7">
        <v>15.514285714285714</v>
      </c>
      <c r="G64" s="7">
        <v>13.928571428571429</v>
      </c>
      <c r="H64" s="15">
        <v>14.271428571428572</v>
      </c>
      <c r="I64" s="15">
        <v>13.1</v>
      </c>
      <c r="J64" s="15">
        <v>11.185714285714287</v>
      </c>
      <c r="K64" s="15">
        <v>14.585714285714285</v>
      </c>
      <c r="L64" s="15">
        <v>13.522222222222222</v>
      </c>
      <c r="M64" s="15">
        <v>13.12857142857143</v>
      </c>
      <c r="N64" s="15">
        <v>12.542857142857143</v>
      </c>
      <c r="O64" s="15">
        <v>11.057142857142855</v>
      </c>
      <c r="P64" s="15">
        <v>11.142857142857142</v>
      </c>
      <c r="Q64" s="15">
        <v>11.299999999999999</v>
      </c>
      <c r="R64" s="15">
        <v>11.114285714285714</v>
      </c>
      <c r="S64" s="15">
        <v>12.285714285714286</v>
      </c>
      <c r="T64" s="15">
        <v>13.685714285714287</v>
      </c>
      <c r="U64" s="15">
        <v>15.242857142857144</v>
      </c>
      <c r="V64" s="15">
        <v>16.614285714285717</v>
      </c>
      <c r="W64" s="15">
        <v>18.428571428571427</v>
      </c>
      <c r="Y64" s="15">
        <f t="shared" si="8"/>
        <v>279.79365079365078</v>
      </c>
      <c r="Z64">
        <f t="shared" si="9"/>
        <v>80.925319293873315</v>
      </c>
    </row>
    <row r="65" spans="1:27" x14ac:dyDescent="0.25">
      <c r="A65" t="s">
        <v>48</v>
      </c>
      <c r="D65" s="5">
        <v>23.714285714285715</v>
      </c>
      <c r="E65" s="7">
        <v>20.457142857142856</v>
      </c>
      <c r="F65" s="7">
        <v>18.3</v>
      </c>
      <c r="G65" s="7">
        <v>18.857142857142858</v>
      </c>
      <c r="H65" s="15">
        <v>17.471428571428568</v>
      </c>
      <c r="I65" s="15">
        <v>15.77142857142857</v>
      </c>
      <c r="J65" s="15">
        <v>12.557142857142859</v>
      </c>
      <c r="K65" s="15">
        <v>14.857142857142858</v>
      </c>
      <c r="L65" s="15">
        <v>11.855555555555556</v>
      </c>
      <c r="M65" s="15">
        <v>14.614285714285716</v>
      </c>
      <c r="N65" s="15">
        <v>14.042857142857143</v>
      </c>
      <c r="O65" s="15">
        <v>9.3285714285714274</v>
      </c>
      <c r="P65" s="15">
        <v>10.228571428571428</v>
      </c>
      <c r="Q65" s="15">
        <v>14.285714285714286</v>
      </c>
      <c r="R65" s="15">
        <v>11.857142857142858</v>
      </c>
      <c r="S65" s="15">
        <v>14.671428571428573</v>
      </c>
      <c r="T65" s="15">
        <v>13.799999999999999</v>
      </c>
      <c r="U65" s="15">
        <v>12.942857142857141</v>
      </c>
      <c r="V65" s="15">
        <v>17.685714285714287</v>
      </c>
      <c r="W65" s="15">
        <v>18.314285714285713</v>
      </c>
      <c r="Y65" s="15">
        <f t="shared" si="8"/>
        <v>305.61269841269842</v>
      </c>
      <c r="Z65">
        <f t="shared" si="9"/>
        <v>96.176755059951631</v>
      </c>
    </row>
    <row r="66" spans="1:27" x14ac:dyDescent="0.25">
      <c r="A66" t="s">
        <v>49</v>
      </c>
      <c r="D66" s="5">
        <v>20.37142857142857</v>
      </c>
      <c r="E66" s="7">
        <v>19.685714285714287</v>
      </c>
      <c r="F66" s="7">
        <v>15.985714285714284</v>
      </c>
      <c r="G66" s="7">
        <v>14.557142857142855</v>
      </c>
      <c r="H66" s="15">
        <v>11.428571428571429</v>
      </c>
      <c r="I66" s="15">
        <v>10.128571428571428</v>
      </c>
      <c r="J66" s="15">
        <v>11.014285714285714</v>
      </c>
      <c r="K66" s="15">
        <v>10.12857142857143</v>
      </c>
      <c r="L66" s="15">
        <v>7</v>
      </c>
      <c r="M66" s="15">
        <v>8.8571428571428577</v>
      </c>
      <c r="N66" s="15">
        <v>10.328571428571427</v>
      </c>
      <c r="O66" s="15">
        <v>11.828571428571427</v>
      </c>
      <c r="P66" s="15">
        <v>11.157142857142857</v>
      </c>
      <c r="Q66" s="15">
        <v>10.8</v>
      </c>
      <c r="R66" s="15">
        <v>13.5</v>
      </c>
      <c r="S66" s="15">
        <v>16.771428571428569</v>
      </c>
      <c r="T66" s="15">
        <v>17.171428571428571</v>
      </c>
      <c r="U66" s="15">
        <v>19.214285714285715</v>
      </c>
      <c r="V66" s="15">
        <v>18.785714285714285</v>
      </c>
      <c r="W66" s="15">
        <v>16.885714285714286</v>
      </c>
      <c r="Y66" s="15">
        <f t="shared" si="8"/>
        <v>275.60000000000002</v>
      </c>
      <c r="Z66">
        <f t="shared" si="9"/>
        <v>74.449704898186013</v>
      </c>
    </row>
    <row r="67" spans="1:27" x14ac:dyDescent="0.25">
      <c r="A67" t="s">
        <v>50</v>
      </c>
      <c r="D67" s="5">
        <v>18.028571428571428</v>
      </c>
      <c r="E67" s="7">
        <v>16.328571428571429</v>
      </c>
      <c r="F67" s="7">
        <v>14.685714285714285</v>
      </c>
      <c r="G67" s="7">
        <v>14.957142857142857</v>
      </c>
      <c r="H67" s="15">
        <v>13.914285714285716</v>
      </c>
      <c r="I67" s="15">
        <v>12.057142857142859</v>
      </c>
      <c r="J67" s="15">
        <v>10.842857142857143</v>
      </c>
      <c r="K67" s="15">
        <v>9.7428571428571438</v>
      </c>
      <c r="L67" s="15">
        <v>9.0111111111111128</v>
      </c>
      <c r="M67" s="15">
        <v>9.4857142857142858</v>
      </c>
      <c r="N67" s="15">
        <v>10.6</v>
      </c>
      <c r="O67" s="15">
        <v>10.357142857142858</v>
      </c>
      <c r="P67" s="15">
        <v>12.928571428571429</v>
      </c>
      <c r="Q67" s="15">
        <v>12.114285714285714</v>
      </c>
      <c r="R67" s="15">
        <v>10.914285714285715</v>
      </c>
      <c r="S67" s="15">
        <v>11.728571428571428</v>
      </c>
      <c r="T67" s="15">
        <v>15.428571428571429</v>
      </c>
      <c r="U67" s="15">
        <v>14.457142857142857</v>
      </c>
      <c r="V67" s="15">
        <v>14.642857142857142</v>
      </c>
      <c r="W67" s="15">
        <v>16.842857142857145</v>
      </c>
      <c r="Y67" s="15">
        <f t="shared" si="8"/>
        <v>259.06825396825394</v>
      </c>
      <c r="Z67">
        <f t="shared" si="9"/>
        <v>75.3607374009339</v>
      </c>
    </row>
    <row r="68" spans="1:27" x14ac:dyDescent="0.25">
      <c r="A68" t="s">
        <v>51</v>
      </c>
      <c r="D68" s="5">
        <v>17.542857142857141</v>
      </c>
      <c r="E68" s="7">
        <v>17.342857142857145</v>
      </c>
      <c r="F68" s="7">
        <v>17.5</v>
      </c>
      <c r="G68" s="7">
        <v>17.357142857142858</v>
      </c>
      <c r="H68" s="15">
        <v>15.428571428571429</v>
      </c>
      <c r="I68" s="15">
        <v>9.7428571428571438</v>
      </c>
      <c r="J68" s="15">
        <v>10.814285714285715</v>
      </c>
      <c r="K68" s="15">
        <v>11.685714285714285</v>
      </c>
      <c r="L68" s="15">
        <v>10.466666666666667</v>
      </c>
      <c r="M68" s="15">
        <v>10.785714285714286</v>
      </c>
      <c r="N68" s="15">
        <v>11.299999999999999</v>
      </c>
      <c r="O68" s="15">
        <v>13.257142857142858</v>
      </c>
      <c r="P68" s="15">
        <v>8.9571428571428573</v>
      </c>
      <c r="Q68" s="15">
        <v>10.7</v>
      </c>
      <c r="R68" s="15">
        <v>8.5857142857142854</v>
      </c>
      <c r="S68" s="15">
        <v>10.557142857142859</v>
      </c>
      <c r="T68" s="15">
        <v>12.671428571428573</v>
      </c>
      <c r="U68" s="15">
        <v>14.885714285714284</v>
      </c>
      <c r="V68" s="15">
        <v>14.814285714285715</v>
      </c>
      <c r="W68" s="15">
        <v>18.771428571428572</v>
      </c>
      <c r="Y68" s="15">
        <f t="shared" si="8"/>
        <v>263.16666666666669</v>
      </c>
      <c r="Z68">
        <f t="shared" si="9"/>
        <v>78.825655336435744</v>
      </c>
    </row>
    <row r="69" spans="1:27" x14ac:dyDescent="0.25">
      <c r="A69" t="s">
        <v>52</v>
      </c>
      <c r="D69" s="5">
        <v>19.12857142857143</v>
      </c>
      <c r="E69" s="7">
        <v>17.842857142857145</v>
      </c>
      <c r="F69" s="7">
        <v>15.928571428571429</v>
      </c>
      <c r="G69" s="7">
        <v>14.857142857142858</v>
      </c>
      <c r="H69" s="15">
        <v>11.314285714285715</v>
      </c>
      <c r="I69" s="15">
        <v>10.571428571428571</v>
      </c>
      <c r="J69" s="15">
        <v>14.014285714285716</v>
      </c>
      <c r="K69" s="15">
        <v>10.971428571428573</v>
      </c>
      <c r="L69" s="15">
        <v>10.577777777777778</v>
      </c>
      <c r="M69" s="15">
        <v>11.200000000000001</v>
      </c>
      <c r="N69" s="15">
        <v>10.642857142857142</v>
      </c>
      <c r="O69" s="15">
        <v>10.942857142857141</v>
      </c>
      <c r="P69" s="15">
        <v>9.1142857142857157</v>
      </c>
      <c r="Q69" s="15">
        <v>9.7428571428571438</v>
      </c>
      <c r="R69" s="15">
        <v>9.4714285714285715</v>
      </c>
      <c r="S69" s="15">
        <v>13.057142857142859</v>
      </c>
      <c r="T69" s="15">
        <v>15.257142857142856</v>
      </c>
      <c r="U69" s="15">
        <v>14.528571428571428</v>
      </c>
      <c r="V69" s="15">
        <v>15.042857142857143</v>
      </c>
      <c r="W69" s="15">
        <v>18.928571428571427</v>
      </c>
      <c r="Y69" s="15">
        <f t="shared" si="8"/>
        <v>263.13492063492066</v>
      </c>
      <c r="Z69">
        <f t="shared" si="9"/>
        <v>75.240435811230157</v>
      </c>
    </row>
    <row r="70" spans="1:27" x14ac:dyDescent="0.25">
      <c r="A70" t="s">
        <v>53</v>
      </c>
      <c r="D70" s="5">
        <v>17.214285714285715</v>
      </c>
      <c r="E70" s="7">
        <v>17.171428571428571</v>
      </c>
      <c r="F70" s="7">
        <v>14.714285714285714</v>
      </c>
      <c r="G70" s="7">
        <v>14.571428571428571</v>
      </c>
      <c r="H70" s="15">
        <v>13.8</v>
      </c>
      <c r="I70" s="15">
        <v>12.142857142857142</v>
      </c>
      <c r="J70" s="15">
        <v>12.285714285714286</v>
      </c>
      <c r="K70" s="15">
        <v>11.357142857142858</v>
      </c>
      <c r="L70" s="15">
        <v>9.4444444444444446</v>
      </c>
      <c r="M70" s="15">
        <v>12.928571428571429</v>
      </c>
      <c r="N70" s="15">
        <v>14.928571428571429</v>
      </c>
      <c r="O70" s="15">
        <v>11.785714285714286</v>
      </c>
      <c r="P70" s="15">
        <v>12.828571428571427</v>
      </c>
      <c r="Q70" s="15">
        <v>14.614285714285716</v>
      </c>
      <c r="R70" s="15">
        <v>15.571428571428571</v>
      </c>
      <c r="S70" s="15">
        <v>14.200000000000001</v>
      </c>
      <c r="T70" s="15">
        <v>16.528571428571428</v>
      </c>
      <c r="U70" s="15">
        <v>17.071428571428573</v>
      </c>
      <c r="V70" s="15">
        <v>13.27142857142857</v>
      </c>
      <c r="W70" s="15">
        <v>14.857142857142858</v>
      </c>
      <c r="Y70" s="15">
        <f t="shared" si="8"/>
        <v>281.28730158730156</v>
      </c>
      <c r="Z70">
        <f t="shared" si="9"/>
        <v>78.398572122372414</v>
      </c>
    </row>
    <row r="71" spans="1:27" x14ac:dyDescent="0.25">
      <c r="A71" t="s">
        <v>54</v>
      </c>
      <c r="D71" s="5">
        <v>18</v>
      </c>
      <c r="E71" s="7">
        <v>18.785714285714285</v>
      </c>
      <c r="F71" s="7">
        <v>16.5</v>
      </c>
      <c r="G71" s="7">
        <v>17</v>
      </c>
      <c r="H71" s="15">
        <v>16.62857142857143</v>
      </c>
      <c r="I71" s="15">
        <v>16.785714285714285</v>
      </c>
      <c r="J71" s="15">
        <v>13.62857142857143</v>
      </c>
      <c r="K71" s="15">
        <v>13.142857142857142</v>
      </c>
      <c r="L71" s="15">
        <v>10.744444444444445</v>
      </c>
      <c r="M71" s="15">
        <v>12.557142857142859</v>
      </c>
      <c r="N71" s="15">
        <v>10.7</v>
      </c>
      <c r="O71" s="15">
        <v>11.371428571428572</v>
      </c>
      <c r="P71" s="15">
        <v>10.657142857142857</v>
      </c>
      <c r="Q71" s="15">
        <v>11.9</v>
      </c>
      <c r="R71" s="15">
        <v>10.557142857142859</v>
      </c>
      <c r="S71" s="15">
        <v>13.285714285714286</v>
      </c>
      <c r="T71" s="15">
        <v>13.071428571428571</v>
      </c>
      <c r="U71" s="15">
        <v>15.514285714285714</v>
      </c>
      <c r="V71" s="15">
        <v>15.085714285714285</v>
      </c>
      <c r="W71" s="15">
        <v>17</v>
      </c>
      <c r="Y71" s="15">
        <f t="shared" si="8"/>
        <v>282.91587301587293</v>
      </c>
      <c r="Z71">
        <f t="shared" si="9"/>
        <v>86.242122303673256</v>
      </c>
    </row>
    <row r="72" spans="1:27" x14ac:dyDescent="0.25">
      <c r="A72" t="s">
        <v>55</v>
      </c>
      <c r="D72" s="5">
        <v>18.428571428571427</v>
      </c>
      <c r="E72" s="7">
        <v>16.785714285714285</v>
      </c>
      <c r="F72" s="7">
        <v>21.25714285714286</v>
      </c>
      <c r="G72" s="7">
        <v>17</v>
      </c>
      <c r="H72" s="15">
        <v>15.571428571428571</v>
      </c>
      <c r="I72" s="15">
        <v>14.87142857142857</v>
      </c>
      <c r="J72" s="15">
        <v>13.028571428571428</v>
      </c>
      <c r="K72" s="15">
        <v>12.328571428571427</v>
      </c>
      <c r="L72" s="15">
        <v>14.177777777777777</v>
      </c>
      <c r="M72" s="15">
        <v>10.057142857142859</v>
      </c>
      <c r="N72" s="15">
        <v>10.242857142857142</v>
      </c>
      <c r="O72" s="15">
        <v>9.0571428571428569</v>
      </c>
      <c r="P72" s="15">
        <v>10</v>
      </c>
      <c r="Q72" s="15">
        <v>10.785714285714286</v>
      </c>
      <c r="R72" s="15">
        <v>14.328571428571427</v>
      </c>
      <c r="S72" s="15">
        <v>14.042857142857143</v>
      </c>
      <c r="T72" s="15">
        <v>9.3428571428571434</v>
      </c>
      <c r="U72" s="15">
        <v>15.728571428571428</v>
      </c>
      <c r="V72" s="15">
        <v>18.285714285714285</v>
      </c>
      <c r="W72" s="15">
        <v>17.62857142857143</v>
      </c>
      <c r="Y72" s="15">
        <f t="shared" si="8"/>
        <v>282.94920634920629</v>
      </c>
      <c r="Z72">
        <f t="shared" si="9"/>
        <v>85.217539549996133</v>
      </c>
    </row>
    <row r="73" spans="1:27" x14ac:dyDescent="0.25">
      <c r="A73" t="s">
        <v>56</v>
      </c>
      <c r="D73" s="5">
        <v>16.714285714285715</v>
      </c>
      <c r="E73" s="7">
        <v>15.342857142857143</v>
      </c>
      <c r="F73" s="7">
        <v>14.314285714285715</v>
      </c>
      <c r="G73" s="7">
        <v>13.9</v>
      </c>
      <c r="H73" s="15">
        <v>16.020634920634922</v>
      </c>
      <c r="I73" s="15">
        <v>16.134920634920636</v>
      </c>
      <c r="J73" s="15">
        <v>15.819047619047621</v>
      </c>
      <c r="K73" s="15">
        <v>14.698412698412698</v>
      </c>
      <c r="L73" s="15">
        <v>13.315079365079365</v>
      </c>
      <c r="M73" s="15">
        <v>9.5714285714285712</v>
      </c>
      <c r="N73" s="15">
        <v>10.714285714285714</v>
      </c>
      <c r="O73" s="15">
        <v>11.357142857142858</v>
      </c>
      <c r="P73" s="15">
        <v>10.857142857142858</v>
      </c>
      <c r="Q73" s="15">
        <v>12.928571428571429</v>
      </c>
      <c r="R73" s="15">
        <v>16.928571428571427</v>
      </c>
      <c r="S73" s="15">
        <v>15.642857142857142</v>
      </c>
      <c r="T73" s="15">
        <v>17.357142857142858</v>
      </c>
      <c r="U73" s="15">
        <v>18.714285714285715</v>
      </c>
      <c r="V73" s="15">
        <v>16.714285714285715</v>
      </c>
      <c r="W73" s="15">
        <v>17.857142857142858</v>
      </c>
      <c r="Y73" s="15">
        <f t="shared" si="8"/>
        <v>294.90238095238095</v>
      </c>
      <c r="Z73">
        <f t="shared" si="9"/>
        <v>78.330089021650011</v>
      </c>
    </row>
    <row r="74" spans="1:27" x14ac:dyDescent="0.25">
      <c r="A74" t="s">
        <v>57</v>
      </c>
      <c r="D74" s="5">
        <v>17.928571428571427</v>
      </c>
      <c r="E74" s="7">
        <v>18.285714285714285</v>
      </c>
      <c r="F74" s="7">
        <v>16.8</v>
      </c>
      <c r="G74" s="7">
        <v>16.814285714285713</v>
      </c>
      <c r="H74" s="15">
        <v>16.923809523809524</v>
      </c>
      <c r="I74" s="15">
        <v>16.276190476190479</v>
      </c>
      <c r="J74" s="15">
        <v>14.72857142857143</v>
      </c>
      <c r="K74" s="15">
        <v>13.700000000000003</v>
      </c>
      <c r="L74" s="15">
        <v>13.344642857142858</v>
      </c>
      <c r="M74" s="15">
        <v>11.105158730158731</v>
      </c>
      <c r="N74" s="15">
        <v>11.301587301587299</v>
      </c>
      <c r="O74" s="15">
        <v>10.894047619047619</v>
      </c>
      <c r="P74" s="15">
        <v>10.374603174603173</v>
      </c>
      <c r="Q74" s="15">
        <v>11.344444444444445</v>
      </c>
      <c r="R74" s="15">
        <v>11.059126984126983</v>
      </c>
      <c r="S74" s="15">
        <v>12.989285714285716</v>
      </c>
      <c r="T74" s="15">
        <v>14.336507936507937</v>
      </c>
      <c r="U74" s="15">
        <v>15.387698412698411</v>
      </c>
      <c r="V74" s="15">
        <v>15.919444444444444</v>
      </c>
      <c r="W74" s="15">
        <v>17.976587301587298</v>
      </c>
      <c r="Y74" s="15">
        <f t="shared" si="8"/>
        <v>287.49027777777775</v>
      </c>
      <c r="Z74">
        <f t="shared" si="9"/>
        <v>85.968759747267512</v>
      </c>
      <c r="AA74" s="15"/>
    </row>
    <row r="75" spans="1:27" x14ac:dyDescent="0.25">
      <c r="A75" t="s">
        <v>58</v>
      </c>
      <c r="D75" s="5">
        <v>21.157142857142855</v>
      </c>
      <c r="E75" s="14">
        <v>19.557142857142857</v>
      </c>
      <c r="F75" s="14">
        <v>16.557142857142857</v>
      </c>
      <c r="G75" s="14">
        <v>12.585714285714285</v>
      </c>
      <c r="H75" s="15">
        <v>17.633333333333333</v>
      </c>
      <c r="I75" s="15">
        <v>16.204761904761906</v>
      </c>
      <c r="J75" s="15">
        <v>13.357142857142859</v>
      </c>
      <c r="K75" s="15">
        <v>11.738095238095239</v>
      </c>
      <c r="L75" s="15">
        <v>13.511309523809524</v>
      </c>
      <c r="M75" s="15">
        <v>13.071428571428571</v>
      </c>
      <c r="N75" s="15">
        <v>13.799999999999999</v>
      </c>
      <c r="O75" s="15">
        <v>12.857142857142858</v>
      </c>
      <c r="P75" s="15">
        <v>8.8285714285714274</v>
      </c>
      <c r="Q75" s="15">
        <v>9.5857142857142854</v>
      </c>
      <c r="R75" s="15">
        <v>7.4571428571428573</v>
      </c>
      <c r="S75" s="15">
        <v>12.571428571428571</v>
      </c>
      <c r="T75" s="15">
        <v>13.700000000000001</v>
      </c>
      <c r="U75" s="15">
        <v>13.324999999999999</v>
      </c>
      <c r="V75" s="15">
        <v>17.642857142857142</v>
      </c>
      <c r="W75" s="15">
        <v>21.042857142857144</v>
      </c>
      <c r="Y75" s="15">
        <f t="shared" si="8"/>
        <v>286.18392857142862</v>
      </c>
      <c r="Z75">
        <f t="shared" si="9"/>
        <v>87.104615012114195</v>
      </c>
      <c r="AA75" s="15"/>
    </row>
    <row r="76" spans="1:27" x14ac:dyDescent="0.25">
      <c r="A76" t="s">
        <v>59</v>
      </c>
      <c r="D76" s="5">
        <v>18.857142857142858</v>
      </c>
      <c r="E76" s="7">
        <v>16.357142857142858</v>
      </c>
      <c r="F76" s="7">
        <v>17.214285714285715</v>
      </c>
      <c r="G76" s="7">
        <v>17.142857142857142</v>
      </c>
      <c r="H76" s="15">
        <v>15.928571428571429</v>
      </c>
      <c r="I76" s="15">
        <v>17.857142857142858</v>
      </c>
      <c r="J76" s="15">
        <v>18</v>
      </c>
      <c r="K76" s="15">
        <v>19.071428571428573</v>
      </c>
      <c r="L76" s="15">
        <v>11.262499999999999</v>
      </c>
      <c r="M76" s="15">
        <v>13.657142857142857</v>
      </c>
      <c r="N76" s="15">
        <v>16.5</v>
      </c>
      <c r="O76" s="15">
        <v>17.942857142857143</v>
      </c>
      <c r="P76" s="15">
        <v>13.757142857142856</v>
      </c>
      <c r="Q76" s="15">
        <v>12.700000000000001</v>
      </c>
      <c r="R76" s="15">
        <v>13.785714285714286</v>
      </c>
      <c r="S76" s="15">
        <v>15.4</v>
      </c>
      <c r="T76" s="15">
        <v>19.3</v>
      </c>
      <c r="U76" s="15">
        <v>18.714285714285715</v>
      </c>
      <c r="V76" s="15">
        <v>17.8</v>
      </c>
      <c r="W76" s="15">
        <v>20.357142857142858</v>
      </c>
      <c r="Y76" s="15">
        <f t="shared" si="8"/>
        <v>331.60535714285714</v>
      </c>
      <c r="Z76">
        <f t="shared" si="9"/>
        <v>87.560764378831024</v>
      </c>
      <c r="AA76" s="15"/>
    </row>
    <row r="77" spans="1:27" x14ac:dyDescent="0.25">
      <c r="A77" t="s">
        <v>60</v>
      </c>
      <c r="D77" s="5">
        <v>16.528571428571428</v>
      </c>
      <c r="E77" s="7">
        <v>19.314285714285713</v>
      </c>
      <c r="F77" s="7">
        <v>19.585714285714285</v>
      </c>
      <c r="G77" s="7">
        <v>16.528571428571428</v>
      </c>
      <c r="H77" s="15">
        <v>14.5</v>
      </c>
      <c r="I77" s="15">
        <v>14.342857142857143</v>
      </c>
      <c r="J77" s="15">
        <v>16.100000000000001</v>
      </c>
      <c r="K77" s="15">
        <v>13.285714285714286</v>
      </c>
      <c r="L77" s="15">
        <v>15.171428571428573</v>
      </c>
      <c r="M77" s="15">
        <v>14.700000000000001</v>
      </c>
      <c r="N77" s="15">
        <v>13.542857142857143</v>
      </c>
      <c r="O77" s="15">
        <v>12.200000000000001</v>
      </c>
      <c r="P77" s="15">
        <v>13.085714285714285</v>
      </c>
      <c r="Q77" s="15">
        <v>14.414285714285715</v>
      </c>
      <c r="R77" s="15">
        <v>18.12857142857143</v>
      </c>
      <c r="S77" s="15">
        <v>11.542857142857143</v>
      </c>
      <c r="T77" s="15">
        <v>15.799999999999999</v>
      </c>
      <c r="U77" s="15">
        <v>17.414285714285715</v>
      </c>
      <c r="V77" s="15">
        <v>20.585714285714285</v>
      </c>
      <c r="W77" s="15">
        <v>19.557142857142853</v>
      </c>
      <c r="Y77" s="15">
        <f t="shared" si="8"/>
        <v>316.32857142857142</v>
      </c>
      <c r="Z77">
        <f t="shared" si="9"/>
        <v>88.69374793896003</v>
      </c>
      <c r="AA77" s="15"/>
    </row>
    <row r="78" spans="1:27" x14ac:dyDescent="0.25">
      <c r="A78" t="s">
        <v>61</v>
      </c>
      <c r="D78" s="5">
        <v>19.914285714285715</v>
      </c>
      <c r="E78" s="7">
        <v>21.785714285714285</v>
      </c>
      <c r="F78" s="7">
        <v>23.928571428571427</v>
      </c>
      <c r="G78" s="7">
        <v>20.642857142857142</v>
      </c>
      <c r="H78" s="15">
        <v>20.342857142857145</v>
      </c>
      <c r="I78" s="15">
        <v>16.62857142857143</v>
      </c>
      <c r="J78" s="15">
        <v>10.085714285714287</v>
      </c>
      <c r="K78" s="15">
        <v>8.7428571428571438</v>
      </c>
      <c r="L78" s="15">
        <v>13.6</v>
      </c>
      <c r="M78" s="15">
        <v>10.628571428571428</v>
      </c>
      <c r="N78" s="15">
        <v>8.6285714285714281</v>
      </c>
      <c r="O78" s="15">
        <v>10.028571428571428</v>
      </c>
      <c r="P78" s="15">
        <v>13</v>
      </c>
      <c r="Q78" s="15">
        <v>12.714285714285714</v>
      </c>
      <c r="R78" s="15">
        <v>13.957142857142856</v>
      </c>
      <c r="S78" s="15">
        <v>15.742857142857142</v>
      </c>
      <c r="T78" s="15">
        <v>15.27142857142857</v>
      </c>
      <c r="U78" s="15">
        <v>16.014285714285716</v>
      </c>
      <c r="V78" s="15">
        <v>16.685714285714287</v>
      </c>
      <c r="W78" s="15">
        <v>16.142857142857142</v>
      </c>
      <c r="Y78" s="15">
        <f t="shared" si="8"/>
        <v>304.48571428571432</v>
      </c>
      <c r="Z78">
        <f t="shared" si="9"/>
        <v>99.146532212527447</v>
      </c>
      <c r="AA78" s="15"/>
    </row>
    <row r="79" spans="1:27" x14ac:dyDescent="0.25">
      <c r="A79" t="s">
        <v>62</v>
      </c>
      <c r="D79" s="5">
        <v>20.24285714285714</v>
      </c>
      <c r="E79" s="6">
        <v>19.557142857142857</v>
      </c>
      <c r="F79" s="6">
        <v>18.471428571428568</v>
      </c>
      <c r="G79" s="6">
        <v>16.671428571428571</v>
      </c>
      <c r="H79" s="15">
        <v>18.057142857142857</v>
      </c>
      <c r="I79" s="15">
        <v>17.642857142857142</v>
      </c>
      <c r="J79" s="15">
        <v>13.885714285714286</v>
      </c>
      <c r="K79" s="15">
        <v>13.185714285714285</v>
      </c>
      <c r="L79" s="15">
        <v>11.762499999999999</v>
      </c>
      <c r="M79" s="15">
        <v>12.685714285714287</v>
      </c>
      <c r="N79" s="15">
        <v>9.3714285714285701</v>
      </c>
      <c r="O79" s="15">
        <v>9.3285714285714274</v>
      </c>
      <c r="P79" s="15">
        <v>11.5</v>
      </c>
      <c r="Q79" s="15">
        <v>12.071428571428571</v>
      </c>
      <c r="R79" s="15">
        <v>9.7857142857142865</v>
      </c>
      <c r="S79" s="15">
        <v>11.785714285714286</v>
      </c>
      <c r="T79" s="15">
        <v>13.214285714285714</v>
      </c>
      <c r="U79" s="15">
        <v>12.814285714285713</v>
      </c>
      <c r="V79" s="15">
        <v>11.5</v>
      </c>
      <c r="W79" s="15">
        <v>19.600000000000001</v>
      </c>
      <c r="Y79" s="15">
        <f t="shared" si="8"/>
        <v>283.13392857142856</v>
      </c>
      <c r="Z79">
        <f t="shared" si="9"/>
        <v>91.657719846516699</v>
      </c>
    </row>
    <row r="80" spans="1:27" x14ac:dyDescent="0.25">
      <c r="D80" s="5"/>
      <c r="E80" s="6"/>
      <c r="F80" s="6"/>
      <c r="G80" s="6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Y80" s="15"/>
    </row>
    <row r="81" spans="1:26" x14ac:dyDescent="0.25">
      <c r="A81" t="s">
        <v>63</v>
      </c>
      <c r="D81" s="5">
        <v>17.971428571428572</v>
      </c>
      <c r="E81" s="7">
        <v>14.885714285714286</v>
      </c>
      <c r="F81" s="7">
        <v>16.5</v>
      </c>
      <c r="G81" s="7">
        <v>13.714285714285714</v>
      </c>
      <c r="H81" s="15">
        <v>11.814285714285715</v>
      </c>
      <c r="I81" s="15">
        <v>11.925000000000001</v>
      </c>
      <c r="J81" s="15">
        <v>11.307142857142859</v>
      </c>
      <c r="K81" s="15">
        <v>11.603571428571428</v>
      </c>
      <c r="L81" s="15">
        <v>9.5833333333333339</v>
      </c>
      <c r="M81" s="15">
        <v>11.206962481962483</v>
      </c>
      <c r="N81" s="15">
        <v>11.914430014430014</v>
      </c>
      <c r="O81" s="15">
        <v>11.968290043290045</v>
      </c>
      <c r="P81" s="15">
        <v>10.86002886002886</v>
      </c>
      <c r="Q81" s="15">
        <v>11.565079365079368</v>
      </c>
      <c r="R81" s="15">
        <v>12.014466089466088</v>
      </c>
      <c r="S81" s="15">
        <v>13.658766233766237</v>
      </c>
      <c r="T81" s="15">
        <v>14.924098124098123</v>
      </c>
      <c r="U81" s="15">
        <v>16.140115440115441</v>
      </c>
      <c r="V81" s="15">
        <v>16.18228715728716</v>
      </c>
      <c r="W81" s="15">
        <v>18.013455988455988</v>
      </c>
      <c r="Y81" s="15">
        <f t="shared" si="8"/>
        <v>267.75274170274167</v>
      </c>
      <c r="Z81">
        <f>SUMPRODUCT($D$85:$S$85,D81:S81)</f>
        <v>73.322147082142223</v>
      </c>
    </row>
    <row r="82" spans="1:26" x14ac:dyDescent="0.25">
      <c r="A82" t="s">
        <v>307</v>
      </c>
      <c r="D82" s="5">
        <v>17.94285714285714</v>
      </c>
      <c r="E82" s="23">
        <v>24.1</v>
      </c>
      <c r="F82" s="23">
        <v>18.3</v>
      </c>
      <c r="G82" s="23">
        <v>15</v>
      </c>
      <c r="H82" s="15">
        <v>16.714285714285715</v>
      </c>
      <c r="I82" s="15">
        <v>13.742857142857144</v>
      </c>
      <c r="J82" s="15">
        <v>11.085714285714287</v>
      </c>
      <c r="K82" s="15">
        <v>10.057142857142859</v>
      </c>
      <c r="L82" s="15">
        <v>12.4125</v>
      </c>
      <c r="M82" s="15">
        <v>13.057142857142859</v>
      </c>
      <c r="N82" s="15">
        <v>11.057142857142859</v>
      </c>
      <c r="O82" s="15">
        <v>11.2</v>
      </c>
      <c r="P82" s="15">
        <v>15.5</v>
      </c>
      <c r="Q82" s="15">
        <v>13.2</v>
      </c>
      <c r="R82" s="15">
        <v>12.6</v>
      </c>
      <c r="S82" s="15">
        <v>12.8</v>
      </c>
      <c r="T82" s="15">
        <v>13.5</v>
      </c>
      <c r="U82" s="15">
        <v>15.2</v>
      </c>
      <c r="V82" s="15">
        <v>15.8</v>
      </c>
      <c r="W82" s="15">
        <v>17.8</v>
      </c>
      <c r="Y82" s="15">
        <f t="shared" si="8"/>
        <v>291.06964285714287</v>
      </c>
      <c r="Z82">
        <f>SUMPRODUCT($D$85:$S$85,D82:S82)</f>
        <v>90.252754831440072</v>
      </c>
    </row>
    <row r="83" spans="1:26" x14ac:dyDescent="0.25">
      <c r="A83" t="s">
        <v>308</v>
      </c>
      <c r="D83" s="5">
        <v>18.310389610389613</v>
      </c>
      <c r="E83" s="5">
        <v>15.2</v>
      </c>
      <c r="F83" s="5">
        <v>17.600000000000001</v>
      </c>
      <c r="G83" s="5">
        <v>14.3</v>
      </c>
      <c r="H83" s="14">
        <v>15.3</v>
      </c>
      <c r="I83" s="14">
        <v>12.8</v>
      </c>
      <c r="J83" s="14">
        <v>11.3</v>
      </c>
      <c r="K83" s="14">
        <v>11.1</v>
      </c>
      <c r="L83" s="14">
        <v>10.6</v>
      </c>
      <c r="M83" s="14">
        <v>12.2</v>
      </c>
      <c r="N83" s="14">
        <v>11.6</v>
      </c>
      <c r="O83" s="14">
        <v>12.3</v>
      </c>
      <c r="P83" s="14">
        <v>11.380634920634922</v>
      </c>
      <c r="Q83" s="14">
        <v>12.194603174603174</v>
      </c>
      <c r="R83" s="14">
        <v>13.471825396825398</v>
      </c>
      <c r="S83" s="14">
        <v>13.629285714285714</v>
      </c>
      <c r="T83" s="14">
        <v>16.098730158730159</v>
      </c>
      <c r="U83" s="14">
        <v>16.711111111111109</v>
      </c>
      <c r="V83" s="14">
        <v>17.732460317460315</v>
      </c>
      <c r="W83" s="14">
        <v>19.3581746031746</v>
      </c>
      <c r="Y83" s="15">
        <f t="shared" si="8"/>
        <v>283.18721500721495</v>
      </c>
      <c r="Z83">
        <f>SUMPRODUCT($D$85:$S$85,D83:S83)</f>
        <v>79.082160510466281</v>
      </c>
    </row>
    <row r="84" spans="1:26" x14ac:dyDescent="0.25">
      <c r="A84" t="s">
        <v>670</v>
      </c>
      <c r="D84" s="15">
        <v>20.271428571428572</v>
      </c>
      <c r="E84" s="15">
        <v>19.599999999999998</v>
      </c>
      <c r="F84" s="15">
        <v>18.785714285714285</v>
      </c>
      <c r="G84" s="15">
        <v>19.599999999999998</v>
      </c>
      <c r="H84" s="15">
        <v>18.8</v>
      </c>
      <c r="I84" s="15">
        <v>14.6</v>
      </c>
      <c r="J84" s="15">
        <v>12.557142857142859</v>
      </c>
      <c r="K84" s="15">
        <v>11.299999999999999</v>
      </c>
      <c r="L84" s="15">
        <v>11.424999999999999</v>
      </c>
      <c r="M84" s="15">
        <v>11.768501984126985</v>
      </c>
      <c r="N84" s="15">
        <v>12.353769841269841</v>
      </c>
      <c r="O84" s="15">
        <v>12.026041666666668</v>
      </c>
      <c r="P84" s="15">
        <v>10.143492063492063</v>
      </c>
      <c r="Q84" s="15">
        <v>11.308888888888891</v>
      </c>
      <c r="R84" s="15">
        <v>13.177834467120181</v>
      </c>
      <c r="S84" s="15">
        <v>13.639285714285716</v>
      </c>
      <c r="T84" s="15">
        <v>14.929563492063492</v>
      </c>
      <c r="U84" s="15">
        <v>16.483730158730161</v>
      </c>
      <c r="V84" s="15">
        <v>16.91314484126984</v>
      </c>
      <c r="W84" s="15">
        <v>18.284573412698414</v>
      </c>
      <c r="Y84" s="15">
        <f t="shared" ref="Y84" si="10">SUM(D84:W84)</f>
        <v>297.96811224489795</v>
      </c>
      <c r="Z84">
        <f>SUMPRODUCT($D$85:$S$85,D84:S84)</f>
        <v>91.160844224859218</v>
      </c>
    </row>
    <row r="85" spans="1:26" x14ac:dyDescent="0.25">
      <c r="A85" s="2" t="s">
        <v>64</v>
      </c>
      <c r="D85" s="3">
        <f>CORREL($B$2:$B$21,D60:D79)</f>
        <v>0.64130888376744666</v>
      </c>
      <c r="E85" s="3">
        <f t="shared" ref="E85:W85" si="11">CORREL($B$2:$B$21,E60:E79)</f>
        <v>0.74564841161327722</v>
      </c>
      <c r="F85" s="3">
        <f t="shared" si="11"/>
        <v>0.61831285085439158</v>
      </c>
      <c r="G85" s="3">
        <f t="shared" si="11"/>
        <v>0.61492166439901885</v>
      </c>
      <c r="H85" s="3">
        <f t="shared" si="11"/>
        <v>0.77557588048122084</v>
      </c>
      <c r="I85" s="3">
        <f t="shared" si="11"/>
        <v>0.56786133333102207</v>
      </c>
      <c r="J85" s="3">
        <f t="shared" si="11"/>
        <v>0.13573008723675575</v>
      </c>
      <c r="K85" s="3">
        <f t="shared" si="11"/>
        <v>-2.0132778185355214E-2</v>
      </c>
      <c r="L85" s="3">
        <f t="shared" si="11"/>
        <v>0.34865291235870977</v>
      </c>
      <c r="M85" s="3">
        <f t="shared" si="11"/>
        <v>0.51829838681147788</v>
      </c>
      <c r="N85" s="3">
        <f t="shared" si="11"/>
        <v>0.14174562187724871</v>
      </c>
      <c r="O85" s="3">
        <f t="shared" si="11"/>
        <v>-9.0256624387237153E-2</v>
      </c>
      <c r="P85" s="3">
        <f t="shared" si="11"/>
        <v>0.16328092380237333</v>
      </c>
      <c r="Q85" s="3">
        <f t="shared" si="11"/>
        <v>0.41194243671752978</v>
      </c>
      <c r="R85" s="3">
        <f t="shared" si="11"/>
        <v>-5.6400001501961373E-2</v>
      </c>
      <c r="S85" s="3">
        <f t="shared" si="11"/>
        <v>-5.7975680311897509E-2</v>
      </c>
      <c r="T85" s="3">
        <f t="shared" si="11"/>
        <v>7.7720231734762529E-2</v>
      </c>
      <c r="U85" s="3">
        <f t="shared" si="11"/>
        <v>-0.40237210085620384</v>
      </c>
      <c r="V85" s="3">
        <f t="shared" si="11"/>
        <v>3.5341635764569064E-2</v>
      </c>
      <c r="W85" s="3">
        <f t="shared" si="11"/>
        <v>7.5293119021175178E-2</v>
      </c>
    </row>
    <row r="88" spans="1:26" x14ac:dyDescent="0.25">
      <c r="D88" t="s">
        <v>16</v>
      </c>
      <c r="E88" t="s">
        <v>17</v>
      </c>
      <c r="F88" t="s">
        <v>18</v>
      </c>
      <c r="G88" t="s">
        <v>19</v>
      </c>
      <c r="H88" t="s">
        <v>20</v>
      </c>
      <c r="I88" t="s">
        <v>21</v>
      </c>
      <c r="J88" t="s">
        <v>22</v>
      </c>
      <c r="K88" t="s">
        <v>23</v>
      </c>
      <c r="L88" t="s">
        <v>336</v>
      </c>
      <c r="M88" t="s">
        <v>370</v>
      </c>
      <c r="N88" t="s">
        <v>371</v>
      </c>
      <c r="O88" t="s">
        <v>372</v>
      </c>
      <c r="P88" t="s">
        <v>458</v>
      </c>
      <c r="Q88" t="s">
        <v>459</v>
      </c>
      <c r="R88" t="s">
        <v>460</v>
      </c>
      <c r="S88" t="s">
        <v>461</v>
      </c>
      <c r="T88" t="s">
        <v>570</v>
      </c>
      <c r="U88" t="s">
        <v>571</v>
      </c>
      <c r="V88" t="s">
        <v>572</v>
      </c>
      <c r="W88" t="s">
        <v>573</v>
      </c>
      <c r="Y88" t="s">
        <v>85</v>
      </c>
      <c r="Z88" t="s">
        <v>86</v>
      </c>
    </row>
    <row r="89" spans="1:26" x14ac:dyDescent="0.25">
      <c r="A89" t="s">
        <v>43</v>
      </c>
      <c r="D89" s="21">
        <v>67.2</v>
      </c>
      <c r="E89" s="7">
        <v>64.285714285714292</v>
      </c>
      <c r="F89" s="7">
        <v>68</v>
      </c>
      <c r="G89" s="7">
        <v>82</v>
      </c>
      <c r="H89" s="15">
        <v>72.429899108087369</v>
      </c>
      <c r="I89" s="15">
        <v>77.380951593767378</v>
      </c>
      <c r="J89" s="15">
        <v>76.867771368508286</v>
      </c>
      <c r="K89" s="15">
        <v>79.924054466614933</v>
      </c>
      <c r="L89" s="15">
        <v>90.998062693587315</v>
      </c>
      <c r="M89" s="15">
        <v>84.739894471865568</v>
      </c>
      <c r="N89" s="15">
        <v>84.105702396701105</v>
      </c>
      <c r="O89" s="15">
        <v>81.26167200021402</v>
      </c>
      <c r="P89" s="15">
        <v>72.894361773575241</v>
      </c>
      <c r="Q89" s="15">
        <v>61.872426665837096</v>
      </c>
      <c r="R89" s="15">
        <v>63.258860626329785</v>
      </c>
      <c r="S89" s="15">
        <v>65.973110555259353</v>
      </c>
      <c r="T89" s="15">
        <v>70.769895447812118</v>
      </c>
      <c r="U89" s="15">
        <v>75.596068538676747</v>
      </c>
      <c r="V89" s="15">
        <v>71.773585184365103</v>
      </c>
      <c r="W89" s="15">
        <v>75.812273098741016</v>
      </c>
      <c r="Y89" s="15">
        <f t="shared" ref="Y89:Y112" si="12">SUM(D89:W89)</f>
        <v>1487.1443042756569</v>
      </c>
      <c r="Z89">
        <f t="shared" ref="Z89:Z108" si="13">SUMPRODUCT($D$114:$S$114,D89:S89)</f>
        <v>-125.13342442131895</v>
      </c>
    </row>
    <row r="90" spans="1:26" x14ac:dyDescent="0.25">
      <c r="A90" t="s">
        <v>44</v>
      </c>
      <c r="D90" s="5">
        <v>80.571428571428569</v>
      </c>
      <c r="E90" s="7">
        <v>82</v>
      </c>
      <c r="F90" s="7">
        <v>75.571428571428569</v>
      </c>
      <c r="G90" s="7">
        <v>83.428571428571431</v>
      </c>
      <c r="H90" s="15">
        <v>79.713187115996959</v>
      </c>
      <c r="I90" s="15">
        <v>76.423532078011377</v>
      </c>
      <c r="J90" s="15">
        <v>70.780240928826316</v>
      </c>
      <c r="K90" s="15">
        <v>70.735507241817956</v>
      </c>
      <c r="L90" s="15">
        <v>73.047743558735093</v>
      </c>
      <c r="M90" s="15">
        <v>78.801672188511489</v>
      </c>
      <c r="N90" s="15">
        <v>83.495695111711356</v>
      </c>
      <c r="O90" s="15">
        <v>70.979769083045568</v>
      </c>
      <c r="P90" s="15">
        <v>69.704423455197158</v>
      </c>
      <c r="Q90" s="15">
        <v>67.8466170629071</v>
      </c>
      <c r="R90" s="15">
        <v>75.828870350634432</v>
      </c>
      <c r="S90" s="15">
        <v>60.062484742796656</v>
      </c>
      <c r="T90" s="15">
        <v>65.852620945785418</v>
      </c>
      <c r="U90" s="15">
        <v>53.338016316147275</v>
      </c>
      <c r="V90" s="15">
        <v>66.370546163977153</v>
      </c>
      <c r="W90" s="15">
        <v>70.4068120467239</v>
      </c>
      <c r="Y90" s="15">
        <f t="shared" si="12"/>
        <v>1454.9591669622537</v>
      </c>
      <c r="Z90">
        <f t="shared" si="13"/>
        <v>-126.90492112837723</v>
      </c>
    </row>
    <row r="91" spans="1:26" x14ac:dyDescent="0.25">
      <c r="A91" t="s">
        <v>45</v>
      </c>
      <c r="D91" s="5">
        <v>95.442695963318783</v>
      </c>
      <c r="E91" s="7">
        <v>58.857142857142854</v>
      </c>
      <c r="F91" s="7">
        <v>77.857142857142861</v>
      </c>
      <c r="G91" s="7">
        <v>67.428571428571431</v>
      </c>
      <c r="H91" s="15">
        <v>84.328824320557473</v>
      </c>
      <c r="I91" s="15">
        <v>75.981528650646808</v>
      </c>
      <c r="J91" s="15">
        <v>67.390053981292539</v>
      </c>
      <c r="K91" s="15">
        <v>80.080471157167196</v>
      </c>
      <c r="L91" s="15">
        <v>73.046044077551045</v>
      </c>
      <c r="M91" s="15">
        <v>70.114030032090113</v>
      </c>
      <c r="N91" s="15">
        <v>73.101785566082043</v>
      </c>
      <c r="O91" s="15">
        <v>70.173451010521177</v>
      </c>
      <c r="P91" s="15">
        <v>69.341784178669258</v>
      </c>
      <c r="Q91" s="15">
        <v>68.465857331246525</v>
      </c>
      <c r="R91" s="15">
        <v>72.053935563440149</v>
      </c>
      <c r="S91" s="15">
        <v>66.992407448597959</v>
      </c>
      <c r="T91" s="15">
        <v>66.090700914908837</v>
      </c>
      <c r="U91" s="15">
        <v>96.177454739823887</v>
      </c>
      <c r="V91" s="15">
        <v>72.347977639697547</v>
      </c>
      <c r="W91" s="15">
        <v>72.963166644576191</v>
      </c>
      <c r="Y91" s="15">
        <f t="shared" si="12"/>
        <v>1478.2350263630447</v>
      </c>
      <c r="Z91">
        <f t="shared" si="13"/>
        <v>-119.31074776147909</v>
      </c>
    </row>
    <row r="92" spans="1:26" x14ac:dyDescent="0.25">
      <c r="A92" t="s">
        <v>46</v>
      </c>
      <c r="D92" s="5">
        <v>81.479496671810793</v>
      </c>
      <c r="E92" s="14">
        <v>64.493468909929462</v>
      </c>
      <c r="F92" s="14">
        <v>72.216258157336668</v>
      </c>
      <c r="G92" s="14">
        <v>76.254822361027109</v>
      </c>
      <c r="H92" s="15">
        <v>76.301690605489966</v>
      </c>
      <c r="I92" s="15">
        <v>84.480083213565393</v>
      </c>
      <c r="J92" s="15">
        <v>80.861013557434674</v>
      </c>
      <c r="K92" s="15">
        <v>85.015068575222742</v>
      </c>
      <c r="L92" s="15">
        <v>76.407021855656524</v>
      </c>
      <c r="M92" s="15">
        <v>89.65894825207522</v>
      </c>
      <c r="N92" s="15">
        <v>81.663724839704471</v>
      </c>
      <c r="O92" s="15">
        <v>110.19818036539606</v>
      </c>
      <c r="P92" s="15">
        <v>112.32094085788364</v>
      </c>
      <c r="Q92" s="15">
        <v>114.7503641983907</v>
      </c>
      <c r="R92" s="15">
        <v>67.60724051766266</v>
      </c>
      <c r="S92" s="15">
        <v>68.106122254760919</v>
      </c>
      <c r="T92" s="15">
        <v>83.023574266707939</v>
      </c>
      <c r="U92" s="15">
        <v>60.072439075077106</v>
      </c>
      <c r="V92" s="15">
        <v>71.977442437190405</v>
      </c>
      <c r="W92" s="15">
        <v>69.619902785102127</v>
      </c>
      <c r="Y92" s="15">
        <f t="shared" si="12"/>
        <v>1626.5078037574244</v>
      </c>
      <c r="Z92">
        <f t="shared" si="13"/>
        <v>-169.12278310678275</v>
      </c>
    </row>
    <row r="93" spans="1:26" x14ac:dyDescent="0.25">
      <c r="A93" t="s">
        <v>47</v>
      </c>
      <c r="D93" s="5">
        <v>88.661432675334098</v>
      </c>
      <c r="E93" s="14">
        <v>85.005636173076255</v>
      </c>
      <c r="F93" s="14">
        <v>73.608122040453125</v>
      </c>
      <c r="G93" s="14">
        <v>86.184218242203016</v>
      </c>
      <c r="H93" s="15">
        <v>84.793514212935435</v>
      </c>
      <c r="I93" s="15">
        <v>86.093636112645527</v>
      </c>
      <c r="J93" s="15">
        <v>73.077077860926224</v>
      </c>
      <c r="K93" s="15">
        <v>83.737626702802345</v>
      </c>
      <c r="L93" s="15">
        <v>88.830485898038262</v>
      </c>
      <c r="M93" s="15">
        <v>71.581094989779984</v>
      </c>
      <c r="N93" s="15">
        <v>82.563101188219591</v>
      </c>
      <c r="O93" s="15">
        <v>86.517410663596365</v>
      </c>
      <c r="P93" s="15">
        <v>83.849339549585196</v>
      </c>
      <c r="Q93" s="15">
        <v>82.839744418128205</v>
      </c>
      <c r="R93" s="15">
        <v>69.323149179734884</v>
      </c>
      <c r="S93" s="15">
        <v>83.336998367121367</v>
      </c>
      <c r="T93" s="15">
        <v>54.974841441395377</v>
      </c>
      <c r="U93" s="15">
        <v>67.826961192441615</v>
      </c>
      <c r="V93" s="15">
        <v>63.192010866508667</v>
      </c>
      <c r="W93" s="15">
        <v>65.850410866869524</v>
      </c>
      <c r="Y93" s="15">
        <f t="shared" si="12"/>
        <v>1561.8468126417952</v>
      </c>
      <c r="Z93">
        <f t="shared" si="13"/>
        <v>-131.93035209098159</v>
      </c>
    </row>
    <row r="94" spans="1:26" x14ac:dyDescent="0.25">
      <c r="A94" t="s">
        <v>48</v>
      </c>
      <c r="D94" s="5">
        <v>73.873085189342675</v>
      </c>
      <c r="E94" s="14">
        <v>70.26885259150427</v>
      </c>
      <c r="F94" s="14">
        <v>76.598447068569243</v>
      </c>
      <c r="G94" s="14">
        <v>76.033371582856361</v>
      </c>
      <c r="H94" s="15">
        <v>82.840792897903981</v>
      </c>
      <c r="I94" s="15">
        <v>85.259965604659882</v>
      </c>
      <c r="J94" s="15">
        <v>81.830567702582243</v>
      </c>
      <c r="K94" s="15">
        <v>84.046671549893134</v>
      </c>
      <c r="L94" s="15">
        <v>82.359516745475631</v>
      </c>
      <c r="M94" s="15">
        <v>72.921086215834791</v>
      </c>
      <c r="N94" s="15">
        <v>79.508038190040182</v>
      </c>
      <c r="O94" s="15">
        <v>59.293963437958567</v>
      </c>
      <c r="P94" s="15">
        <v>75.431931575766853</v>
      </c>
      <c r="Q94" s="15">
        <v>74.361900459111894</v>
      </c>
      <c r="R94" s="15">
        <v>57.12696729632205</v>
      </c>
      <c r="S94" s="15">
        <v>77.486337275783328</v>
      </c>
      <c r="T94" s="15">
        <v>56.765797470442358</v>
      </c>
      <c r="U94" s="15">
        <v>57.174144748756554</v>
      </c>
      <c r="V94" s="15">
        <v>58.084671597179138</v>
      </c>
      <c r="W94" s="15">
        <v>69.77528163301335</v>
      </c>
      <c r="Y94" s="15">
        <f t="shared" si="12"/>
        <v>1451.0413908329965</v>
      </c>
      <c r="Z94">
        <f t="shared" si="13"/>
        <v>-103.71297052679682</v>
      </c>
    </row>
    <row r="95" spans="1:26" x14ac:dyDescent="0.25">
      <c r="A95" t="s">
        <v>49</v>
      </c>
      <c r="D95" s="5">
        <v>83.838369405731996</v>
      </c>
      <c r="E95" s="14">
        <v>75.077020949802701</v>
      </c>
      <c r="F95" s="14">
        <v>79.205110026453099</v>
      </c>
      <c r="G95" s="14">
        <v>83.366328305054239</v>
      </c>
      <c r="H95" s="15">
        <v>85.986114812154796</v>
      </c>
      <c r="I95" s="15">
        <v>78.36409410709841</v>
      </c>
      <c r="J95" s="15">
        <v>72.954693418975125</v>
      </c>
      <c r="K95" s="15">
        <v>92.405066688157817</v>
      </c>
      <c r="L95" s="15">
        <v>73.729787128934987</v>
      </c>
      <c r="M95" s="15">
        <v>85.662610862038051</v>
      </c>
      <c r="N95" s="15">
        <v>78.191067789075959</v>
      </c>
      <c r="O95" s="15">
        <v>86.8783865471718</v>
      </c>
      <c r="P95" s="15">
        <v>73.434879174427309</v>
      </c>
      <c r="Q95" s="15">
        <v>68.003058370076289</v>
      </c>
      <c r="R95" s="15">
        <v>80.188092954478037</v>
      </c>
      <c r="S95" s="15">
        <v>74.906250567406815</v>
      </c>
      <c r="T95" s="15">
        <v>69.569140468642743</v>
      </c>
      <c r="U95" s="15">
        <v>71.214073658668113</v>
      </c>
      <c r="V95" s="15">
        <v>72.955095450097218</v>
      </c>
      <c r="W95" s="15">
        <v>68.664957757914891</v>
      </c>
      <c r="Y95" s="15">
        <f t="shared" si="12"/>
        <v>1554.5941984423603</v>
      </c>
      <c r="Z95">
        <f t="shared" si="13"/>
        <v>-131.77466060217594</v>
      </c>
    </row>
    <row r="96" spans="1:26" x14ac:dyDescent="0.25">
      <c r="A96" t="s">
        <v>50</v>
      </c>
      <c r="D96" s="5">
        <v>82.433007158973425</v>
      </c>
      <c r="E96" s="7">
        <v>83.714285714285708</v>
      </c>
      <c r="F96" s="7">
        <v>80.571428571428569</v>
      </c>
      <c r="G96" s="7">
        <v>77.428571428571431</v>
      </c>
      <c r="H96" s="15">
        <v>99.170617927729836</v>
      </c>
      <c r="I96" s="15">
        <v>82.067381853197858</v>
      </c>
      <c r="J96" s="15">
        <v>71.870692151143714</v>
      </c>
      <c r="K96" s="15">
        <v>61.127030898152228</v>
      </c>
      <c r="L96" s="15">
        <v>76.688539495078857</v>
      </c>
      <c r="M96" s="15">
        <v>49.362134438432186</v>
      </c>
      <c r="N96" s="15">
        <v>74.96665294705754</v>
      </c>
      <c r="O96" s="15">
        <v>62.856038187661333</v>
      </c>
      <c r="P96" s="15">
        <v>62.303713816000766</v>
      </c>
      <c r="Q96" s="15">
        <v>76.733340406793488</v>
      </c>
      <c r="R96" s="15">
        <v>81.113324522527975</v>
      </c>
      <c r="S96" s="15">
        <v>60.552804397014384</v>
      </c>
      <c r="T96" s="15">
        <v>49.45284912643541</v>
      </c>
      <c r="U96" s="15">
        <v>45.52411338369194</v>
      </c>
      <c r="V96" s="15">
        <v>81.031678534347279</v>
      </c>
      <c r="W96" s="15">
        <v>84.363906161743543</v>
      </c>
      <c r="Y96" s="15">
        <f t="shared" si="12"/>
        <v>1443.3321111202677</v>
      </c>
      <c r="Z96">
        <f t="shared" si="13"/>
        <v>-105.75392988109549</v>
      </c>
    </row>
    <row r="97" spans="1:27" x14ac:dyDescent="0.25">
      <c r="A97" t="s">
        <v>51</v>
      </c>
      <c r="D97" s="5">
        <v>69.396698239900488</v>
      </c>
      <c r="E97" s="14">
        <v>67.878631376923778</v>
      </c>
      <c r="F97" s="14">
        <v>84.073038829583979</v>
      </c>
      <c r="G97" s="14">
        <v>72.594742785770535</v>
      </c>
      <c r="H97" s="15">
        <v>69.344115821243392</v>
      </c>
      <c r="I97" s="15">
        <v>48.641082562903044</v>
      </c>
      <c r="J97" s="15">
        <v>86.319769220139577</v>
      </c>
      <c r="K97" s="15">
        <v>71.769759011741414</v>
      </c>
      <c r="L97" s="15">
        <v>69.733853016680428</v>
      </c>
      <c r="M97" s="15">
        <v>74.172068717275053</v>
      </c>
      <c r="N97" s="15">
        <v>61.589497306489541</v>
      </c>
      <c r="O97" s="15">
        <v>65.577338210709925</v>
      </c>
      <c r="P97" s="15">
        <v>56.382467107904162</v>
      </c>
      <c r="Q97" s="15">
        <v>55.351392039483059</v>
      </c>
      <c r="R97" s="15">
        <v>71.54578185053191</v>
      </c>
      <c r="S97" s="15">
        <v>64.064862878874706</v>
      </c>
      <c r="T97" s="15">
        <v>82.504765649568228</v>
      </c>
      <c r="U97" s="15">
        <v>41.524132284258691</v>
      </c>
      <c r="V97" s="15">
        <v>56.58927437175344</v>
      </c>
      <c r="W97" s="15">
        <v>63.379503814078227</v>
      </c>
      <c r="Y97" s="15">
        <f t="shared" si="12"/>
        <v>1332.4327750958134</v>
      </c>
      <c r="Z97">
        <f t="shared" si="13"/>
        <v>-96.876650517928923</v>
      </c>
    </row>
    <row r="98" spans="1:27" x14ac:dyDescent="0.25">
      <c r="A98" t="s">
        <v>52</v>
      </c>
      <c r="D98" s="5">
        <v>79.136795816010562</v>
      </c>
      <c r="E98" s="14">
        <v>56.154502027640113</v>
      </c>
      <c r="F98" s="14">
        <v>71.641788310727662</v>
      </c>
      <c r="G98" s="14">
        <v>74.085366196587316</v>
      </c>
      <c r="H98" s="15">
        <v>77.587007213630457</v>
      </c>
      <c r="I98" s="15">
        <v>99.917945421265472</v>
      </c>
      <c r="J98" s="15">
        <v>57.644545926009627</v>
      </c>
      <c r="K98" s="15">
        <v>75.41315236745416</v>
      </c>
      <c r="L98" s="15">
        <v>68.61102198696355</v>
      </c>
      <c r="M98" s="15">
        <v>68.452249926870451</v>
      </c>
      <c r="N98" s="15">
        <v>71.253671597747001</v>
      </c>
      <c r="O98" s="15">
        <v>76.261528669104266</v>
      </c>
      <c r="P98" s="15">
        <v>79.155929219247255</v>
      </c>
      <c r="Q98" s="15">
        <v>67.879595380767867</v>
      </c>
      <c r="R98" s="15">
        <v>70.295511193340801</v>
      </c>
      <c r="S98" s="15">
        <v>57.95178212391064</v>
      </c>
      <c r="T98" s="15">
        <v>72.160951859455466</v>
      </c>
      <c r="U98" s="15">
        <v>67.030392746757187</v>
      </c>
      <c r="V98" s="15">
        <v>60.294307808260768</v>
      </c>
      <c r="W98" s="15">
        <v>54.919236135717902</v>
      </c>
      <c r="Y98" s="15">
        <f t="shared" si="12"/>
        <v>1405.8472819274684</v>
      </c>
      <c r="Z98">
        <f t="shared" si="13"/>
        <v>-128.95470225835396</v>
      </c>
    </row>
    <row r="99" spans="1:27" x14ac:dyDescent="0.25">
      <c r="A99" t="s">
        <v>53</v>
      </c>
      <c r="D99" s="5">
        <v>68.682164605145843</v>
      </c>
      <c r="E99" s="14">
        <v>76.749282199641655</v>
      </c>
      <c r="F99" s="14">
        <v>78.441161114207802</v>
      </c>
      <c r="G99" s="14">
        <v>77.351283277972158</v>
      </c>
      <c r="H99" s="15">
        <v>75.005823579782685</v>
      </c>
      <c r="I99" s="15">
        <v>67.096259405807245</v>
      </c>
      <c r="J99" s="15">
        <v>58.871566274771922</v>
      </c>
      <c r="K99" s="15">
        <v>77.77991703971702</v>
      </c>
      <c r="L99" s="15">
        <v>76.742512502258606</v>
      </c>
      <c r="M99" s="15">
        <v>82.991972219858127</v>
      </c>
      <c r="N99" s="15">
        <v>82.822535317128398</v>
      </c>
      <c r="O99" s="15">
        <v>64.648517446312368</v>
      </c>
      <c r="P99" s="15">
        <v>87.034492974352503</v>
      </c>
      <c r="Q99" s="15">
        <v>75.431214004517898</v>
      </c>
      <c r="R99" s="15">
        <v>84.769635450524206</v>
      </c>
      <c r="S99" s="15">
        <v>69.768659823815284</v>
      </c>
      <c r="T99" s="15">
        <v>73.080363570704179</v>
      </c>
      <c r="U99" s="15">
        <v>56.976835191589835</v>
      </c>
      <c r="V99" s="15">
        <v>80.993392963825173</v>
      </c>
      <c r="W99" s="15">
        <v>82.797614102074263</v>
      </c>
      <c r="Y99" s="15">
        <f t="shared" si="12"/>
        <v>1498.0352030640072</v>
      </c>
      <c r="Z99">
        <f t="shared" si="13"/>
        <v>-128.04679104781039</v>
      </c>
    </row>
    <row r="100" spans="1:27" x14ac:dyDescent="0.25">
      <c r="A100" t="s">
        <v>54</v>
      </c>
      <c r="D100" s="5">
        <v>79.170701349316928</v>
      </c>
      <c r="E100" s="14">
        <v>81.223670961903039</v>
      </c>
      <c r="F100" s="14">
        <v>81.354481311430959</v>
      </c>
      <c r="G100" s="14">
        <v>73.366056180457917</v>
      </c>
      <c r="H100" s="15">
        <v>77.458371037598411</v>
      </c>
      <c r="I100" s="15">
        <v>84.394991146883214</v>
      </c>
      <c r="J100" s="15">
        <v>79.194631072066727</v>
      </c>
      <c r="K100" s="15">
        <v>67.58767689202503</v>
      </c>
      <c r="L100" s="15">
        <v>73.462790792694022</v>
      </c>
      <c r="M100" s="15">
        <v>79.941120231797541</v>
      </c>
      <c r="N100" s="15">
        <v>80.638294009194297</v>
      </c>
      <c r="O100" s="15">
        <v>79.343919509715619</v>
      </c>
      <c r="P100" s="15">
        <v>76.445186120552123</v>
      </c>
      <c r="Q100" s="15">
        <v>79.5690471001557</v>
      </c>
      <c r="R100" s="15">
        <v>63.085389468576849</v>
      </c>
      <c r="S100" s="15">
        <v>76.81442889373686</v>
      </c>
      <c r="T100" s="15">
        <v>79.604919045389366</v>
      </c>
      <c r="U100" s="15">
        <v>63.440275481254154</v>
      </c>
      <c r="V100" s="15">
        <v>39.609086820928738</v>
      </c>
      <c r="W100" s="15">
        <v>55.439549351180723</v>
      </c>
      <c r="Y100" s="15">
        <f t="shared" si="12"/>
        <v>1471.144586776858</v>
      </c>
      <c r="Z100">
        <f t="shared" si="13"/>
        <v>-123.01208448641901</v>
      </c>
    </row>
    <row r="101" spans="1:27" x14ac:dyDescent="0.25">
      <c r="A101" t="s">
        <v>55</v>
      </c>
      <c r="D101" s="5">
        <v>69.43605305072424</v>
      </c>
      <c r="E101" s="14">
        <v>67.234404012032513</v>
      </c>
      <c r="F101" s="14">
        <v>79.708877821832019</v>
      </c>
      <c r="G101" s="14">
        <v>82.890822529726634</v>
      </c>
      <c r="H101" s="15">
        <v>78.602625258959321</v>
      </c>
      <c r="I101" s="15">
        <v>73.180623158391086</v>
      </c>
      <c r="J101" s="15">
        <v>88.090304193036559</v>
      </c>
      <c r="K101" s="15">
        <v>76.811156885380825</v>
      </c>
      <c r="L101" s="15">
        <v>69.798414312484837</v>
      </c>
      <c r="M101" s="15">
        <v>73.867556332517921</v>
      </c>
      <c r="N101" s="15">
        <v>90.863868955802602</v>
      </c>
      <c r="O101" s="15">
        <v>69.15341929228768</v>
      </c>
      <c r="P101" s="15">
        <v>81.037285497635011</v>
      </c>
      <c r="Q101" s="15">
        <v>86.999994754932587</v>
      </c>
      <c r="R101" s="15">
        <v>77.37941199858885</v>
      </c>
      <c r="S101" s="15">
        <v>76.719542578290657</v>
      </c>
      <c r="T101" s="15">
        <v>58.307063329121874</v>
      </c>
      <c r="U101" s="15">
        <v>63.522582366535666</v>
      </c>
      <c r="V101" s="15">
        <v>78.750580218262854</v>
      </c>
      <c r="W101" s="15">
        <v>60.646113508577422</v>
      </c>
      <c r="Y101" s="15">
        <f t="shared" si="12"/>
        <v>1503.0007000551213</v>
      </c>
      <c r="Z101">
        <f t="shared" si="13"/>
        <v>-122.07714010263015</v>
      </c>
    </row>
    <row r="102" spans="1:27" x14ac:dyDescent="0.25">
      <c r="A102" t="s">
        <v>56</v>
      </c>
      <c r="D102" s="5">
        <v>86.703643143981097</v>
      </c>
      <c r="E102" s="7">
        <v>82.714285714285708</v>
      </c>
      <c r="F102" s="7">
        <v>85.857142857142861</v>
      </c>
      <c r="G102" s="7">
        <v>83.714285714285708</v>
      </c>
      <c r="H102" s="15">
        <v>76.006606923046263</v>
      </c>
      <c r="I102" s="15">
        <v>78.499315796324339</v>
      </c>
      <c r="J102" s="15">
        <v>79.766210805245223</v>
      </c>
      <c r="K102" s="15">
        <v>78.641621734898024</v>
      </c>
      <c r="L102" s="15">
        <v>97.70083109664678</v>
      </c>
      <c r="M102" s="15">
        <v>83.600225740734956</v>
      </c>
      <c r="N102" s="15">
        <v>77.318791117063711</v>
      </c>
      <c r="O102" s="15">
        <v>76.940216017167771</v>
      </c>
      <c r="P102" s="15">
        <v>80.883659504390934</v>
      </c>
      <c r="Q102" s="15">
        <v>66.881943255407364</v>
      </c>
      <c r="R102" s="15">
        <v>70.797581193696047</v>
      </c>
      <c r="S102" s="15">
        <v>78.091383817008506</v>
      </c>
      <c r="T102" s="15">
        <v>81.94238962302893</v>
      </c>
      <c r="U102" s="15">
        <v>71.059939389648221</v>
      </c>
      <c r="V102" s="15">
        <v>63.259147246530794</v>
      </c>
      <c r="W102" s="15">
        <v>72.308653094087546</v>
      </c>
      <c r="Y102" s="15">
        <f t="shared" si="12"/>
        <v>1572.6878737846207</v>
      </c>
      <c r="Z102">
        <f t="shared" si="13"/>
        <v>-124.3969887900046</v>
      </c>
    </row>
    <row r="103" spans="1:27" x14ac:dyDescent="0.25">
      <c r="A103" t="s">
        <v>57</v>
      </c>
      <c r="D103" s="5">
        <v>72.142857142857139</v>
      </c>
      <c r="E103" s="7">
        <v>81</v>
      </c>
      <c r="F103" s="7">
        <v>85.857142857142861</v>
      </c>
      <c r="G103" s="7">
        <v>90.428571428571431</v>
      </c>
      <c r="H103" s="15">
        <v>77.699946748269213</v>
      </c>
      <c r="I103" s="15">
        <v>77.541187331460634</v>
      </c>
      <c r="J103" s="15">
        <v>77.985636748264938</v>
      </c>
      <c r="K103" s="15">
        <v>81.604407414393762</v>
      </c>
      <c r="L103" s="15">
        <v>98.700831096646795</v>
      </c>
      <c r="M103" s="15">
        <v>73.413988402545257</v>
      </c>
      <c r="N103" s="15">
        <v>76.259248281791969</v>
      </c>
      <c r="O103" s="15">
        <v>76.526229575018334</v>
      </c>
      <c r="P103" s="15">
        <v>75.769489881631273</v>
      </c>
      <c r="Q103" s="15">
        <v>75.136874407433908</v>
      </c>
      <c r="R103" s="15">
        <v>71.675874825408101</v>
      </c>
      <c r="S103" s="15">
        <v>68.162227784029653</v>
      </c>
      <c r="T103" s="15">
        <v>66.710582460371313</v>
      </c>
      <c r="U103" s="15">
        <v>62.20908090506915</v>
      </c>
      <c r="V103" s="15">
        <v>66.982556096556834</v>
      </c>
      <c r="W103" s="15">
        <v>68.882575316193297</v>
      </c>
      <c r="Y103" s="15">
        <f t="shared" si="12"/>
        <v>1524.6893087036558</v>
      </c>
      <c r="Z103">
        <f t="shared" si="13"/>
        <v>-119.61928774290466</v>
      </c>
      <c r="AA103" s="15"/>
    </row>
    <row r="104" spans="1:27" x14ac:dyDescent="0.25">
      <c r="A104" t="s">
        <v>58</v>
      </c>
      <c r="D104" s="5">
        <v>73.428571428571431</v>
      </c>
      <c r="E104" s="14">
        <v>87.428571428571431</v>
      </c>
      <c r="F104" s="14">
        <v>78.571428571428569</v>
      </c>
      <c r="G104" s="14">
        <v>75.857142857142861</v>
      </c>
      <c r="H104" s="15">
        <v>81.70650015460312</v>
      </c>
      <c r="I104" s="15">
        <v>78.655775214643299</v>
      </c>
      <c r="J104" s="15">
        <v>72.313331121475073</v>
      </c>
      <c r="K104" s="15">
        <v>79.041640443367555</v>
      </c>
      <c r="L104" s="15">
        <v>76.238753634070875</v>
      </c>
      <c r="M104" s="15">
        <v>67.337943583526354</v>
      </c>
      <c r="N104" s="15">
        <v>68.063132502338817</v>
      </c>
      <c r="O104" s="15">
        <v>75.437529468505957</v>
      </c>
      <c r="P104" s="15">
        <v>71.067540657834655</v>
      </c>
      <c r="Q104" s="15">
        <v>76.63195385007721</v>
      </c>
      <c r="R104" s="15">
        <v>73.979248501264806</v>
      </c>
      <c r="S104" s="15">
        <v>65.803173027575937</v>
      </c>
      <c r="T104" s="15">
        <v>70.33351705947868</v>
      </c>
      <c r="U104" s="15">
        <v>63.810028420997796</v>
      </c>
      <c r="V104" s="15">
        <v>63.959884136209148</v>
      </c>
      <c r="W104" s="15">
        <v>60.725461125101994</v>
      </c>
      <c r="Y104" s="15">
        <f t="shared" si="12"/>
        <v>1460.3911271867855</v>
      </c>
      <c r="Z104">
        <f t="shared" si="13"/>
        <v>-113.65187127152345</v>
      </c>
      <c r="AA104" s="15"/>
    </row>
    <row r="105" spans="1:27" x14ac:dyDescent="0.25">
      <c r="A105" t="s">
        <v>59</v>
      </c>
      <c r="D105" s="5">
        <v>73.774615287212129</v>
      </c>
      <c r="E105" s="14">
        <v>70.194903135748561</v>
      </c>
      <c r="F105" s="14">
        <v>72.701202858085892</v>
      </c>
      <c r="G105" s="14">
        <v>79.700918045722887</v>
      </c>
      <c r="H105" s="15">
        <v>73.415895439575209</v>
      </c>
      <c r="I105" s="15">
        <v>84.521683698788493</v>
      </c>
      <c r="J105" s="15">
        <v>82.059204776094177</v>
      </c>
      <c r="K105" s="15">
        <v>67.222339538220382</v>
      </c>
      <c r="L105" s="15">
        <v>86.099840616887604</v>
      </c>
      <c r="M105" s="15">
        <v>74.773534219492575</v>
      </c>
      <c r="N105" s="15">
        <v>81.511858340336531</v>
      </c>
      <c r="O105" s="15">
        <v>74.167567682593713</v>
      </c>
      <c r="P105" s="15">
        <v>75.029313609710087</v>
      </c>
      <c r="Q105" s="15">
        <v>70.343085197287081</v>
      </c>
      <c r="R105" s="15">
        <v>71.044457719064468</v>
      </c>
      <c r="S105" s="15">
        <v>61.145250125898947</v>
      </c>
      <c r="T105" s="15">
        <v>57.362965676493943</v>
      </c>
      <c r="U105" s="15">
        <v>64.921625599319086</v>
      </c>
      <c r="V105" s="15">
        <v>57.763686216389935</v>
      </c>
      <c r="W105" s="15">
        <v>49.400992941671412</v>
      </c>
      <c r="Y105" s="15">
        <f t="shared" si="12"/>
        <v>1427.154940724593</v>
      </c>
      <c r="Z105">
        <f t="shared" si="13"/>
        <v>-124.01466315865912</v>
      </c>
      <c r="AA105" s="15"/>
    </row>
    <row r="106" spans="1:27" x14ac:dyDescent="0.25">
      <c r="A106" t="s">
        <v>60</v>
      </c>
      <c r="D106" s="5">
        <v>58.051037988221658</v>
      </c>
      <c r="E106" s="14">
        <v>71.67482849918963</v>
      </c>
      <c r="F106" s="14">
        <v>95.066435579513879</v>
      </c>
      <c r="G106" s="14">
        <v>73.857562816012631</v>
      </c>
      <c r="H106" s="15">
        <v>74.922544036846148</v>
      </c>
      <c r="I106" s="15">
        <v>75.311418516103984</v>
      </c>
      <c r="J106" s="15">
        <v>84.064369772793228</v>
      </c>
      <c r="K106" s="15">
        <v>82.909881184118461</v>
      </c>
      <c r="L106" s="15">
        <v>81.062038733468412</v>
      </c>
      <c r="M106" s="15">
        <v>76.590886436936799</v>
      </c>
      <c r="N106" s="15">
        <v>69.945863904748194</v>
      </c>
      <c r="O106" s="15">
        <v>80.602564640673933</v>
      </c>
      <c r="P106" s="15">
        <v>80.002508855368134</v>
      </c>
      <c r="Q106" s="15">
        <v>68.715251077200449</v>
      </c>
      <c r="R106" s="15">
        <v>69.570859620362427</v>
      </c>
      <c r="S106" s="15">
        <v>62.185522136222133</v>
      </c>
      <c r="T106" s="15">
        <v>57.359579870214056</v>
      </c>
      <c r="U106" s="15">
        <v>59.089834259747349</v>
      </c>
      <c r="V106" s="15">
        <v>59.111115242945516</v>
      </c>
      <c r="W106" s="15">
        <v>67.146555090063785</v>
      </c>
      <c r="Y106" s="15">
        <f t="shared" si="12"/>
        <v>1447.2406582607505</v>
      </c>
      <c r="Z106">
        <f t="shared" si="13"/>
        <v>-113.0081303228539</v>
      </c>
      <c r="AA106" s="15"/>
    </row>
    <row r="107" spans="1:27" x14ac:dyDescent="0.25">
      <c r="A107" t="s">
        <v>61</v>
      </c>
      <c r="D107" s="5">
        <v>69.548629485110965</v>
      </c>
      <c r="E107" s="14">
        <v>68.271034204937891</v>
      </c>
      <c r="F107" s="14">
        <v>81.215566152114747</v>
      </c>
      <c r="G107" s="14">
        <v>82.995518981021704</v>
      </c>
      <c r="H107" s="15">
        <v>84.251137498351554</v>
      </c>
      <c r="I107" s="15">
        <v>74.822300840887053</v>
      </c>
      <c r="J107" s="15">
        <v>85.510434287029923</v>
      </c>
      <c r="K107" s="15">
        <v>83.735535473763818</v>
      </c>
      <c r="L107" s="15">
        <v>83.339854620809149</v>
      </c>
      <c r="M107" s="15">
        <v>54.631988687604135</v>
      </c>
      <c r="N107" s="15">
        <v>81.549599883120237</v>
      </c>
      <c r="O107" s="15">
        <v>79.886679240589061</v>
      </c>
      <c r="P107" s="15">
        <v>70.844031883300872</v>
      </c>
      <c r="Q107" s="15">
        <v>77.186909737662177</v>
      </c>
      <c r="R107" s="15">
        <v>86.129096470373625</v>
      </c>
      <c r="S107" s="15">
        <v>82.285473724634926</v>
      </c>
      <c r="T107" s="15">
        <v>63.468087321837181</v>
      </c>
      <c r="U107" s="15">
        <v>70.18140423351619</v>
      </c>
      <c r="V107" s="15">
        <v>75.16804161830521</v>
      </c>
      <c r="W107" s="15">
        <v>57.736737957694857</v>
      </c>
      <c r="Y107" s="15">
        <f t="shared" si="12"/>
        <v>1512.7580623026652</v>
      </c>
      <c r="Z107">
        <f t="shared" si="13"/>
        <v>-110.20788464397019</v>
      </c>
      <c r="AA107" s="15"/>
    </row>
    <row r="108" spans="1:27" x14ac:dyDescent="0.25">
      <c r="A108" t="s">
        <v>62</v>
      </c>
      <c r="D108" s="5">
        <v>64.640350648213413</v>
      </c>
      <c r="E108" s="14">
        <v>64.232513965558994</v>
      </c>
      <c r="F108" s="14">
        <v>61.120607051033637</v>
      </c>
      <c r="G108" s="14">
        <v>66.418285831933218</v>
      </c>
      <c r="H108" s="15">
        <v>71.43685071741217</v>
      </c>
      <c r="I108" s="15">
        <v>79.341860129517869</v>
      </c>
      <c r="J108" s="15">
        <v>67.430834385063562</v>
      </c>
      <c r="K108" s="15">
        <v>80.698730743489392</v>
      </c>
      <c r="L108" s="15">
        <v>78.523117298230858</v>
      </c>
      <c r="M108" s="15">
        <v>84.845197745247688</v>
      </c>
      <c r="N108" s="15">
        <v>65.954366221483397</v>
      </c>
      <c r="O108" s="15">
        <v>65.290633856917879</v>
      </c>
      <c r="P108" s="15">
        <v>64.912398776123439</v>
      </c>
      <c r="Q108" s="15">
        <v>60.34238048210922</v>
      </c>
      <c r="R108" s="15">
        <v>54.231102687481602</v>
      </c>
      <c r="S108" s="15">
        <v>64.667160168010895</v>
      </c>
      <c r="T108" s="15">
        <v>70.750357064814224</v>
      </c>
      <c r="U108" s="15">
        <v>76.297827523328507</v>
      </c>
      <c r="V108" s="15">
        <v>78.946432992508107</v>
      </c>
      <c r="W108" s="15">
        <v>67.805255498611004</v>
      </c>
      <c r="Y108" s="15">
        <f t="shared" si="12"/>
        <v>1387.8862637870891</v>
      </c>
      <c r="Z108">
        <f t="shared" si="13"/>
        <v>-105.88189287073544</v>
      </c>
    </row>
    <row r="109" spans="1:27" x14ac:dyDescent="0.25">
      <c r="D109" s="5"/>
      <c r="E109" s="14"/>
      <c r="F109" s="14"/>
      <c r="G109" s="14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Y109" s="15"/>
    </row>
    <row r="110" spans="1:27" x14ac:dyDescent="0.25">
      <c r="A110" t="s">
        <v>63</v>
      </c>
      <c r="D110" s="5">
        <v>65.4973794188667</v>
      </c>
      <c r="E110" s="14">
        <v>65.315686385145327</v>
      </c>
      <c r="F110" s="14">
        <v>52.634146954868399</v>
      </c>
      <c r="G110" s="14">
        <v>65.840667316891782</v>
      </c>
      <c r="H110" s="15">
        <v>80.189254740466978</v>
      </c>
      <c r="I110" s="15">
        <v>80.689169839333644</v>
      </c>
      <c r="J110" s="15">
        <v>74.936908548173022</v>
      </c>
      <c r="K110" s="15">
        <v>79.073482256203405</v>
      </c>
      <c r="L110" s="15">
        <v>76.622889446689754</v>
      </c>
      <c r="M110" s="15">
        <v>73.961400425008023</v>
      </c>
      <c r="N110" s="15">
        <v>76.679874378547851</v>
      </c>
      <c r="O110" s="15">
        <v>73.435517327840799</v>
      </c>
      <c r="P110" s="15">
        <v>74.41308705124419</v>
      </c>
      <c r="Q110" s="15">
        <v>72.632863524266583</v>
      </c>
      <c r="R110" s="15">
        <v>74.170391788909271</v>
      </c>
      <c r="S110" s="15">
        <v>68.543669637960221</v>
      </c>
      <c r="T110" s="15">
        <v>69.18450071533546</v>
      </c>
      <c r="U110" s="15">
        <v>61.021189038889993</v>
      </c>
      <c r="V110" s="15">
        <v>65.653517260287458</v>
      </c>
      <c r="W110" s="15">
        <v>65.593505755303752</v>
      </c>
      <c r="Y110" s="15">
        <f t="shared" si="12"/>
        <v>1416.0891018102329</v>
      </c>
      <c r="Z110">
        <f>SUMPRODUCT($D$114:$S$114,D110:S110)</f>
        <v>-117.00955358765063</v>
      </c>
    </row>
    <row r="111" spans="1:27" x14ac:dyDescent="0.25">
      <c r="A111" t="s">
        <v>307</v>
      </c>
      <c r="D111" s="5">
        <v>93.857142857142861</v>
      </c>
      <c r="E111" s="23">
        <v>96.5</v>
      </c>
      <c r="F111" s="23">
        <v>64.599999999999994</v>
      </c>
      <c r="G111" s="23">
        <v>65.400000000000006</v>
      </c>
      <c r="H111" s="15">
        <v>78.714285714285708</v>
      </c>
      <c r="I111" s="15">
        <v>92.142857142857139</v>
      </c>
      <c r="J111" s="15">
        <v>94.571428571428569</v>
      </c>
      <c r="K111" s="15">
        <v>95.142857142857139</v>
      </c>
      <c r="L111" s="15">
        <v>75.625</v>
      </c>
      <c r="M111" s="15">
        <v>94.571428571428569</v>
      </c>
      <c r="N111" s="15">
        <v>91.428571428571431</v>
      </c>
      <c r="O111" s="15">
        <v>93.142857142857139</v>
      </c>
      <c r="P111" s="15">
        <v>97</v>
      </c>
      <c r="Q111" s="15">
        <v>93</v>
      </c>
      <c r="R111" s="15">
        <v>87</v>
      </c>
      <c r="S111" s="15">
        <v>86</v>
      </c>
      <c r="T111" s="15">
        <v>71</v>
      </c>
      <c r="U111" s="15">
        <v>62</v>
      </c>
      <c r="V111" s="15">
        <v>66.099999999999994</v>
      </c>
      <c r="W111" s="15">
        <v>66.099999999999994</v>
      </c>
      <c r="Y111" s="15">
        <f t="shared" si="12"/>
        <v>1663.8964285714285</v>
      </c>
      <c r="Z111">
        <f>SUMPRODUCT($D$114:$S$114,D111:S111)</f>
        <v>-149.52089338915297</v>
      </c>
    </row>
    <row r="112" spans="1:27" x14ac:dyDescent="0.25">
      <c r="A112" t="s">
        <v>308</v>
      </c>
      <c r="D112" s="5">
        <v>72.679251594277488</v>
      </c>
      <c r="E112" s="5">
        <v>85.6</v>
      </c>
      <c r="F112" s="5">
        <v>62.8</v>
      </c>
      <c r="G112" s="5">
        <v>65.3</v>
      </c>
      <c r="H112" s="14">
        <v>77.599999999999994</v>
      </c>
      <c r="I112" s="14">
        <v>84.6</v>
      </c>
      <c r="J112" s="14">
        <v>74.3</v>
      </c>
      <c r="K112" s="14">
        <v>80.2</v>
      </c>
      <c r="L112" s="14">
        <v>77.599999999999994</v>
      </c>
      <c r="M112" s="14">
        <v>82.9</v>
      </c>
      <c r="N112" s="14">
        <v>82.4</v>
      </c>
      <c r="O112" s="14">
        <v>78.3</v>
      </c>
      <c r="P112" s="14">
        <v>75.467213251136045</v>
      </c>
      <c r="Q112" s="14">
        <v>72.706791132999669</v>
      </c>
      <c r="R112" s="14">
        <v>71.567610166524958</v>
      </c>
      <c r="S112" s="14">
        <v>64.324043268431666</v>
      </c>
      <c r="T112" s="14">
        <v>62.941661266639493</v>
      </c>
      <c r="U112" s="14">
        <v>62.50764229628335</v>
      </c>
      <c r="V112" s="14">
        <v>61.954310423025362</v>
      </c>
      <c r="W112" s="14">
        <v>61.538896118257625</v>
      </c>
      <c r="Y112" s="15">
        <f t="shared" si="12"/>
        <v>1457.2874195175757</v>
      </c>
      <c r="Z112">
        <f>SUMPRODUCT($D$114:$S$114,D112:S112)</f>
        <v>-125.3175414477577</v>
      </c>
    </row>
    <row r="113" spans="1:26" x14ac:dyDescent="0.25">
      <c r="A113" t="s">
        <v>670</v>
      </c>
      <c r="D113" s="15">
        <v>60.988787987144867</v>
      </c>
      <c r="E113" s="15">
        <v>61.073237236319564</v>
      </c>
      <c r="F113" s="15">
        <v>61.957466980040394</v>
      </c>
      <c r="G113" s="15">
        <v>66.515390320569878</v>
      </c>
      <c r="H113" s="15">
        <v>63.372490266075843</v>
      </c>
      <c r="I113" s="15">
        <v>60.985454602744298</v>
      </c>
      <c r="J113" s="15">
        <v>57.106909339599689</v>
      </c>
      <c r="K113" s="15">
        <v>56.785738848559184</v>
      </c>
      <c r="L113" s="15">
        <v>54.077922004566737</v>
      </c>
      <c r="M113" s="15">
        <v>73.136698204544288</v>
      </c>
      <c r="N113" s="15">
        <v>75.930310389063507</v>
      </c>
      <c r="O113" s="15">
        <v>72.864988063613723</v>
      </c>
      <c r="P113" s="15">
        <v>80.234022795712377</v>
      </c>
      <c r="Q113" s="15">
        <v>76.803814704489497</v>
      </c>
      <c r="R113" s="15">
        <v>73.247371308160467</v>
      </c>
      <c r="S113" s="15">
        <v>70.929238007193689</v>
      </c>
      <c r="T113" s="15">
        <v>69.348653224151192</v>
      </c>
      <c r="U113" s="15">
        <v>62.160557352608492</v>
      </c>
      <c r="V113" s="15">
        <v>63.861915703633493</v>
      </c>
      <c r="W113" s="15">
        <v>63.034817494221961</v>
      </c>
      <c r="Y113" s="15">
        <f t="shared" ref="Y113" si="14">SUM(D113:W113)</f>
        <v>1324.4157848330128</v>
      </c>
      <c r="Z113">
        <f>SUMPRODUCT($D$114:$S$114,D113:S113)</f>
        <v>-124.63804193197919</v>
      </c>
    </row>
    <row r="114" spans="1:26" x14ac:dyDescent="0.25">
      <c r="A114" s="2" t="s">
        <v>64</v>
      </c>
      <c r="D114" s="3">
        <f>CORREL($B$2:$B$21,D89:D108)</f>
        <v>-0.35358957629517895</v>
      </c>
      <c r="E114" s="3">
        <f t="shared" ref="E114:W114" si="15">CORREL($B$2:$B$21,E89:E108)</f>
        <v>9.3135225603391117E-2</v>
      </c>
      <c r="F114" s="3">
        <f t="shared" si="15"/>
        <v>0.13307416812369019</v>
      </c>
      <c r="G114" s="3">
        <f t="shared" si="15"/>
        <v>-0.25739031181886052</v>
      </c>
      <c r="H114" s="3">
        <f t="shared" si="15"/>
        <v>0.13314512279505228</v>
      </c>
      <c r="I114" s="3">
        <f t="shared" si="15"/>
        <v>-4.6554745881146192E-2</v>
      </c>
      <c r="J114" s="3">
        <f t="shared" si="15"/>
        <v>0.2105088758101584</v>
      </c>
      <c r="K114" s="3">
        <f t="shared" si="15"/>
        <v>0.10300788024903453</v>
      </c>
      <c r="L114" s="3">
        <f t="shared" si="15"/>
        <v>5.8472871470826644E-2</v>
      </c>
      <c r="M114" s="3">
        <f t="shared" si="15"/>
        <v>-0.38449577388657308</v>
      </c>
      <c r="N114" s="3">
        <f t="shared" si="15"/>
        <v>-0.28147789050775707</v>
      </c>
      <c r="O114" s="3">
        <f t="shared" si="15"/>
        <v>-0.5127559837022152</v>
      </c>
      <c r="P114" s="3">
        <f t="shared" si="15"/>
        <v>-0.36219629218896426</v>
      </c>
      <c r="Q114" s="3">
        <f t="shared" si="15"/>
        <v>-0.20897848027847812</v>
      </c>
      <c r="R114" s="3">
        <f t="shared" si="15"/>
        <v>-0.22757948858310875</v>
      </c>
      <c r="S114" s="3">
        <f t="shared" si="15"/>
        <v>0.31184083424345038</v>
      </c>
      <c r="T114" s="3">
        <f t="shared" si="15"/>
        <v>-0.3458149371683597</v>
      </c>
      <c r="U114" s="3">
        <f t="shared" si="15"/>
        <v>-9.8511144040188195E-2</v>
      </c>
      <c r="V114" s="3">
        <f t="shared" si="15"/>
        <v>-0.14564066241133178</v>
      </c>
      <c r="W114" s="3">
        <f t="shared" si="15"/>
        <v>-0.14280705359146867</v>
      </c>
    </row>
    <row r="117" spans="1:26" x14ac:dyDescent="0.25">
      <c r="D117" t="s">
        <v>24</v>
      </c>
      <c r="E117" t="s">
        <v>25</v>
      </c>
      <c r="F117" t="s">
        <v>26</v>
      </c>
      <c r="G117" t="s">
        <v>27</v>
      </c>
      <c r="H117" t="s">
        <v>28</v>
      </c>
      <c r="I117" t="s">
        <v>29</v>
      </c>
      <c r="J117" t="s">
        <v>30</v>
      </c>
      <c r="K117" t="s">
        <v>31</v>
      </c>
      <c r="L117" t="s">
        <v>337</v>
      </c>
      <c r="M117" t="s">
        <v>373</v>
      </c>
      <c r="N117" t="s">
        <v>374</v>
      </c>
      <c r="O117" t="s">
        <v>375</v>
      </c>
      <c r="P117" t="s">
        <v>462</v>
      </c>
      <c r="Q117" t="s">
        <v>463</v>
      </c>
      <c r="R117" t="s">
        <v>464</v>
      </c>
      <c r="S117" t="s">
        <v>465</v>
      </c>
      <c r="T117" t="s">
        <v>574</v>
      </c>
      <c r="U117" t="s">
        <v>575</v>
      </c>
      <c r="V117" t="s">
        <v>576</v>
      </c>
      <c r="W117" t="s">
        <v>577</v>
      </c>
      <c r="Y117" t="s">
        <v>87</v>
      </c>
      <c r="Z117" t="s">
        <v>88</v>
      </c>
    </row>
    <row r="118" spans="1:26" x14ac:dyDescent="0.25">
      <c r="A118" t="s">
        <v>43</v>
      </c>
      <c r="D118" s="22">
        <v>55</v>
      </c>
      <c r="E118" s="7">
        <v>21.142857142857142</v>
      </c>
      <c r="F118" s="7">
        <v>31.571428571428573</v>
      </c>
      <c r="G118" s="7">
        <v>38.428571428571431</v>
      </c>
      <c r="H118" s="15">
        <v>48.908183445258928</v>
      </c>
      <c r="I118" s="15">
        <v>52.902672534852854</v>
      </c>
      <c r="J118" s="15">
        <v>45.664739827110104</v>
      </c>
      <c r="K118" s="15">
        <v>48.982815074162808</v>
      </c>
      <c r="L118" s="15">
        <v>45.568005579855644</v>
      </c>
      <c r="M118" s="15">
        <v>44.915885568944383</v>
      </c>
      <c r="N118" s="15">
        <v>47.832137753925892</v>
      </c>
      <c r="O118" s="15">
        <v>46.403956763396806</v>
      </c>
      <c r="P118" s="15">
        <v>39.751419872027114</v>
      </c>
      <c r="Q118" s="15">
        <v>36.498980201637515</v>
      </c>
      <c r="R118" s="15">
        <v>28.364531880855903</v>
      </c>
      <c r="S118" s="15">
        <v>18.112029341348428</v>
      </c>
      <c r="T118" s="15">
        <v>31.978121126963021</v>
      </c>
      <c r="U118" s="15">
        <v>35.803655173746861</v>
      </c>
      <c r="V118" s="15">
        <v>23.282184728781456</v>
      </c>
      <c r="W118" s="15">
        <v>37.694440297244867</v>
      </c>
      <c r="Y118" s="15">
        <f t="shared" ref="Y118:Y141" si="16">SUM(D118:W118)</f>
        <v>778.80661631296971</v>
      </c>
      <c r="Z118">
        <f t="shared" ref="Z118:Z137" si="17">SUMPRODUCT($D$143:$S$143,D118:S118)</f>
        <v>-86.421882084515531</v>
      </c>
    </row>
    <row r="119" spans="1:26" x14ac:dyDescent="0.25">
      <c r="A119" t="s">
        <v>44</v>
      </c>
      <c r="D119" s="5">
        <v>31.428571428571427</v>
      </c>
      <c r="E119" s="7">
        <v>30.285714285714285</v>
      </c>
      <c r="F119" s="7">
        <v>41.714285714285715</v>
      </c>
      <c r="G119" s="7">
        <v>54.142857142857146</v>
      </c>
      <c r="H119" s="15">
        <v>46.818419325369163</v>
      </c>
      <c r="I119" s="15">
        <v>45.70017746350856</v>
      </c>
      <c r="J119" s="15">
        <v>41.951078374959081</v>
      </c>
      <c r="K119" s="15">
        <v>39.518354001459628</v>
      </c>
      <c r="L119" s="15">
        <v>37.312701251857661</v>
      </c>
      <c r="M119" s="15">
        <v>23.239204436486904</v>
      </c>
      <c r="N119" s="15">
        <v>29.126206794210169</v>
      </c>
      <c r="O119" s="15">
        <v>32.806722533160624</v>
      </c>
      <c r="P119" s="15">
        <v>29.220968467667568</v>
      </c>
      <c r="Q119" s="15">
        <v>46.896197102948996</v>
      </c>
      <c r="R119" s="15">
        <v>32.818047610584266</v>
      </c>
      <c r="S119" s="15">
        <v>18.960499255737172</v>
      </c>
      <c r="T119" s="15">
        <v>22.267959313168149</v>
      </c>
      <c r="U119" s="15">
        <v>24.347897747542284</v>
      </c>
      <c r="V119" s="15">
        <v>25.759304989152959</v>
      </c>
      <c r="W119" s="15">
        <v>15.657250338349021</v>
      </c>
      <c r="Y119" s="15">
        <f t="shared" si="16"/>
        <v>669.97241757759082</v>
      </c>
      <c r="Z119">
        <f t="shared" si="17"/>
        <v>-51.090902577876449</v>
      </c>
    </row>
    <row r="120" spans="1:26" x14ac:dyDescent="0.25">
      <c r="A120" t="s">
        <v>45</v>
      </c>
      <c r="D120" s="5">
        <v>44.76421560106553</v>
      </c>
      <c r="E120" s="7">
        <v>26.428571428571427</v>
      </c>
      <c r="F120" s="7">
        <v>33.428571428571431</v>
      </c>
      <c r="G120" s="7">
        <v>27.571428571428573</v>
      </c>
      <c r="H120" s="15">
        <v>52.976229264654144</v>
      </c>
      <c r="I120" s="15">
        <v>47.503317594226701</v>
      </c>
      <c r="J120" s="15">
        <v>50.7582542595418</v>
      </c>
      <c r="K120" s="15">
        <v>43.132023540423702</v>
      </c>
      <c r="L120" s="15">
        <v>47.4328860188999</v>
      </c>
      <c r="M120" s="15">
        <v>38.835313145221534</v>
      </c>
      <c r="N120" s="15">
        <v>38.033231183416859</v>
      </c>
      <c r="O120" s="15">
        <v>41.231334446276001</v>
      </c>
      <c r="P120" s="15">
        <v>31.260618854037649</v>
      </c>
      <c r="Q120" s="15">
        <v>31.303699924102219</v>
      </c>
      <c r="R120" s="15">
        <v>31.877911590207432</v>
      </c>
      <c r="S120" s="15">
        <v>29.053763180804822</v>
      </c>
      <c r="T120" s="15">
        <v>15.860366021026246</v>
      </c>
      <c r="U120" s="15">
        <v>90.663088734152552</v>
      </c>
      <c r="V120" s="15">
        <v>33.518373923530831</v>
      </c>
      <c r="W120" s="15">
        <v>34.327196123294485</v>
      </c>
      <c r="Y120" s="15">
        <f t="shared" si="16"/>
        <v>789.96039483345385</v>
      </c>
      <c r="Z120">
        <f t="shared" si="17"/>
        <v>-73.067205707107888</v>
      </c>
    </row>
    <row r="121" spans="1:26" x14ac:dyDescent="0.25">
      <c r="A121" t="s">
        <v>46</v>
      </c>
      <c r="D121" s="5">
        <v>51.672602467504525</v>
      </c>
      <c r="E121" s="14">
        <v>41.710408829914414</v>
      </c>
      <c r="F121" s="14">
        <v>29.711946756720632</v>
      </c>
      <c r="G121" s="14">
        <v>20.712368231877385</v>
      </c>
      <c r="H121" s="15">
        <v>37.849840302089113</v>
      </c>
      <c r="I121" s="15">
        <v>23.803041759764085</v>
      </c>
      <c r="J121" s="15">
        <v>52.381634971144933</v>
      </c>
      <c r="K121" s="15">
        <v>41.631384840697784</v>
      </c>
      <c r="L121" s="15">
        <v>68.947636793744536</v>
      </c>
      <c r="M121" s="15">
        <v>69.139538735940064</v>
      </c>
      <c r="N121" s="15">
        <v>48.219955118879078</v>
      </c>
      <c r="O121" s="15">
        <v>52.523255560645609</v>
      </c>
      <c r="P121" s="15">
        <v>30.891638792141862</v>
      </c>
      <c r="Q121" s="15">
        <v>16.423218484361183</v>
      </c>
      <c r="R121" s="15">
        <v>23.143269248244334</v>
      </c>
      <c r="S121" s="15">
        <v>14.049481501679441</v>
      </c>
      <c r="T121" s="15">
        <v>25.169384692493857</v>
      </c>
      <c r="U121" s="15">
        <v>23.498757745175677</v>
      </c>
      <c r="V121" s="15">
        <v>28.883961649641599</v>
      </c>
      <c r="W121" s="15">
        <v>34.408222325380628</v>
      </c>
      <c r="Y121" s="15">
        <f t="shared" si="16"/>
        <v>734.77154880804073</v>
      </c>
      <c r="Z121">
        <f t="shared" si="17"/>
        <v>-99.256403121951593</v>
      </c>
    </row>
    <row r="122" spans="1:26" x14ac:dyDescent="0.25">
      <c r="A122" t="s">
        <v>47</v>
      </c>
      <c r="D122" s="5">
        <v>37.947678111575378</v>
      </c>
      <c r="E122" s="14">
        <v>30.999457672213119</v>
      </c>
      <c r="F122" s="14">
        <v>30.134638655315634</v>
      </c>
      <c r="G122" s="14">
        <v>26.373442057282034</v>
      </c>
      <c r="H122" s="15">
        <v>23.862991545727091</v>
      </c>
      <c r="I122" s="15">
        <v>27.992688406764874</v>
      </c>
      <c r="J122" s="15">
        <v>22.169373918042158</v>
      </c>
      <c r="K122" s="15">
        <v>17.867068825987374</v>
      </c>
      <c r="L122" s="15">
        <v>29.130826316814598</v>
      </c>
      <c r="M122" s="15">
        <v>34.242059747006223</v>
      </c>
      <c r="N122" s="15">
        <v>37.908415137327218</v>
      </c>
      <c r="O122" s="15">
        <v>32.710074851720151</v>
      </c>
      <c r="P122" s="15">
        <v>30.349029905752641</v>
      </c>
      <c r="Q122" s="15">
        <v>33.448305913605253</v>
      </c>
      <c r="R122" s="15">
        <v>21.162247577621649</v>
      </c>
      <c r="S122" s="15">
        <v>29.924881686730505</v>
      </c>
      <c r="T122" s="15">
        <v>33.984369084135203</v>
      </c>
      <c r="U122" s="15">
        <v>24.27189710488619</v>
      </c>
      <c r="V122" s="15">
        <v>25.636450935270268</v>
      </c>
      <c r="W122" s="15">
        <v>29.79361687517051</v>
      </c>
      <c r="Y122" s="15">
        <f t="shared" si="16"/>
        <v>579.90951432894815</v>
      </c>
      <c r="Z122">
        <f t="shared" si="17"/>
        <v>-50.574608059241086</v>
      </c>
    </row>
    <row r="123" spans="1:26" x14ac:dyDescent="0.25">
      <c r="A123" t="s">
        <v>48</v>
      </c>
      <c r="D123" s="5">
        <v>37.595936943081156</v>
      </c>
      <c r="E123" s="14">
        <v>30.933797602498604</v>
      </c>
      <c r="F123" s="14">
        <v>27.847284046030463</v>
      </c>
      <c r="G123" s="14">
        <v>33.540729302427437</v>
      </c>
      <c r="H123" s="15">
        <v>46.486510482056865</v>
      </c>
      <c r="I123" s="15">
        <v>39.855223729219006</v>
      </c>
      <c r="J123" s="15">
        <v>24.944125991520927</v>
      </c>
      <c r="K123" s="15">
        <v>39.160619674196496</v>
      </c>
      <c r="L123" s="15">
        <v>34.327200463522303</v>
      </c>
      <c r="M123" s="15">
        <v>23.690203133215089</v>
      </c>
      <c r="N123" s="15">
        <v>25.160042222918833</v>
      </c>
      <c r="O123" s="15">
        <v>24.900389182986089</v>
      </c>
      <c r="P123" s="15">
        <v>29.291807983979798</v>
      </c>
      <c r="Q123" s="15">
        <v>21.769544352872312</v>
      </c>
      <c r="R123" s="15">
        <v>16.941736835420691</v>
      </c>
      <c r="S123" s="15">
        <v>21.105538302748027</v>
      </c>
      <c r="T123" s="15">
        <v>22.340837818781417</v>
      </c>
      <c r="U123" s="15">
        <v>24.093868359847768</v>
      </c>
      <c r="V123" s="15">
        <v>18.988541120323241</v>
      </c>
      <c r="W123" s="15">
        <v>25.347939030629192</v>
      </c>
      <c r="Y123" s="15">
        <f t="shared" si="16"/>
        <v>568.32187657827581</v>
      </c>
      <c r="Z123">
        <f t="shared" si="17"/>
        <v>-41.134608350990334</v>
      </c>
    </row>
    <row r="124" spans="1:26" x14ac:dyDescent="0.25">
      <c r="A124" t="s">
        <v>49</v>
      </c>
      <c r="D124" s="5">
        <v>48.079334644943302</v>
      </c>
      <c r="E124" s="14">
        <v>31.264911502234423</v>
      </c>
      <c r="F124" s="14">
        <v>38.439859163690237</v>
      </c>
      <c r="G124" s="14">
        <v>43.416415821012883</v>
      </c>
      <c r="H124" s="15">
        <v>33.055521851350278</v>
      </c>
      <c r="I124" s="15">
        <v>38.32981638460906</v>
      </c>
      <c r="J124" s="15">
        <v>37.384730379552856</v>
      </c>
      <c r="K124" s="15">
        <v>48.755255500936194</v>
      </c>
      <c r="L124" s="15">
        <v>37.819513164598597</v>
      </c>
      <c r="M124" s="15">
        <v>39.026020275474586</v>
      </c>
      <c r="N124" s="15">
        <v>30.451172083192841</v>
      </c>
      <c r="O124" s="15">
        <v>35.324224290553055</v>
      </c>
      <c r="P124" s="15">
        <v>43.856457691033548</v>
      </c>
      <c r="Q124" s="15">
        <v>43.951025167349925</v>
      </c>
      <c r="R124" s="15">
        <v>34.786115686646554</v>
      </c>
      <c r="S124" s="15">
        <v>38.919209054816001</v>
      </c>
      <c r="T124" s="15">
        <v>39.190974755960191</v>
      </c>
      <c r="U124" s="15">
        <v>32.670309545209498</v>
      </c>
      <c r="V124" s="15">
        <v>39.049189057776339</v>
      </c>
      <c r="W124" s="15">
        <v>32.397956033982254</v>
      </c>
      <c r="Y124" s="15">
        <f t="shared" si="16"/>
        <v>766.16801205492254</v>
      </c>
      <c r="Z124">
        <f t="shared" si="17"/>
        <v>-62.254667220546295</v>
      </c>
    </row>
    <row r="125" spans="1:26" x14ac:dyDescent="0.25">
      <c r="A125" t="s">
        <v>50</v>
      </c>
      <c r="D125" s="5">
        <v>38.67593161045064</v>
      </c>
      <c r="E125" s="7">
        <v>26.285714285714285</v>
      </c>
      <c r="F125" s="7">
        <v>23.285714285714285</v>
      </c>
      <c r="G125" s="7">
        <v>30.142857142857142</v>
      </c>
      <c r="H125" s="15">
        <v>87.59295147356481</v>
      </c>
      <c r="I125" s="15">
        <v>14.192596671336377</v>
      </c>
      <c r="J125" s="15">
        <v>38.658952967961397</v>
      </c>
      <c r="K125" s="15">
        <v>35.667098299524902</v>
      </c>
      <c r="L125" s="15">
        <v>18.604379520555099</v>
      </c>
      <c r="M125" s="15">
        <v>18.53765692999508</v>
      </c>
      <c r="N125" s="15">
        <v>19.108058555865636</v>
      </c>
      <c r="O125" s="15">
        <v>18.549552490952635</v>
      </c>
      <c r="P125" s="15">
        <v>19.622397249383795</v>
      </c>
      <c r="Q125" s="15">
        <v>20.937412953331808</v>
      </c>
      <c r="R125" s="15">
        <v>18.717722452995989</v>
      </c>
      <c r="S125" s="15">
        <v>23.010011842628785</v>
      </c>
      <c r="T125" s="15">
        <v>32.251015834454002</v>
      </c>
      <c r="U125" s="15">
        <v>26.065021692894302</v>
      </c>
      <c r="V125" s="15">
        <v>14.09197100485928</v>
      </c>
      <c r="W125" s="15">
        <v>29.216754395875167</v>
      </c>
      <c r="Y125" s="15">
        <f t="shared" si="16"/>
        <v>553.21377166091531</v>
      </c>
      <c r="Z125">
        <f t="shared" si="17"/>
        <v>-32.794612570602332</v>
      </c>
    </row>
    <row r="126" spans="1:26" x14ac:dyDescent="0.25">
      <c r="A126" t="s">
        <v>51</v>
      </c>
      <c r="D126" s="5">
        <v>17.753206200729078</v>
      </c>
      <c r="E126" s="14">
        <v>22.131038689052836</v>
      </c>
      <c r="F126" s="14">
        <v>27.866863452877734</v>
      </c>
      <c r="G126" s="14">
        <v>17.913089362251871</v>
      </c>
      <c r="H126" s="15">
        <v>42.083132776619685</v>
      </c>
      <c r="I126" s="15">
        <v>39.580379551823412</v>
      </c>
      <c r="J126" s="15">
        <v>42.585016270159613</v>
      </c>
      <c r="K126" s="15">
        <v>38.226329256546265</v>
      </c>
      <c r="L126" s="15">
        <v>45.678411192234464</v>
      </c>
      <c r="M126" s="15">
        <v>39.032010402363447</v>
      </c>
      <c r="N126" s="15">
        <v>41.533825933611162</v>
      </c>
      <c r="O126" s="15">
        <v>43.40102583733804</v>
      </c>
      <c r="P126" s="15">
        <v>33.759828051049098</v>
      </c>
      <c r="Q126" s="15">
        <v>31.303699924102219</v>
      </c>
      <c r="R126" s="15">
        <v>33.83276392297428</v>
      </c>
      <c r="S126" s="15">
        <v>32.578331422790335</v>
      </c>
      <c r="T126" s="15">
        <v>28.032689705232073</v>
      </c>
      <c r="U126" s="15">
        <v>28.104005522901517</v>
      </c>
      <c r="V126" s="15">
        <v>28.779429285687097</v>
      </c>
      <c r="W126" s="15">
        <v>20.410909724903821</v>
      </c>
      <c r="Y126" s="15">
        <f t="shared" si="16"/>
        <v>654.5859864852481</v>
      </c>
      <c r="Z126">
        <f t="shared" si="17"/>
        <v>-65.813656236136694</v>
      </c>
    </row>
    <row r="127" spans="1:26" x14ac:dyDescent="0.25">
      <c r="A127" t="s">
        <v>52</v>
      </c>
      <c r="D127" s="5">
        <v>26.336227292173024</v>
      </c>
      <c r="E127" s="14">
        <v>18.407945809331146</v>
      </c>
      <c r="F127" s="14">
        <v>20.586592699154263</v>
      </c>
      <c r="G127" s="14">
        <v>13.993963664676787</v>
      </c>
      <c r="H127" s="15">
        <v>41.598798183979277</v>
      </c>
      <c r="I127" s="15">
        <v>36.970889790696646</v>
      </c>
      <c r="J127" s="15">
        <v>38.440893503041778</v>
      </c>
      <c r="K127" s="15">
        <v>36.261890176552996</v>
      </c>
      <c r="L127" s="15">
        <v>43.430250168967795</v>
      </c>
      <c r="M127" s="15">
        <v>39.778054086309169</v>
      </c>
      <c r="N127" s="15">
        <v>39.322439287056021</v>
      </c>
      <c r="O127" s="15">
        <v>41.290427103518347</v>
      </c>
      <c r="P127" s="15">
        <v>33.514281475969987</v>
      </c>
      <c r="Q127" s="15">
        <v>32.711839475967295</v>
      </c>
      <c r="R127" s="15">
        <v>32.257288095267363</v>
      </c>
      <c r="S127" s="15">
        <v>32.057117048766862</v>
      </c>
      <c r="T127" s="15">
        <v>26.953045027400247</v>
      </c>
      <c r="U127" s="15">
        <v>29.150644683583618</v>
      </c>
      <c r="V127" s="15">
        <v>27.464321090721697</v>
      </c>
      <c r="W127" s="15">
        <v>14.960613944617018</v>
      </c>
      <c r="Y127" s="15">
        <f t="shared" si="16"/>
        <v>625.48752260775132</v>
      </c>
      <c r="Z127">
        <f t="shared" si="17"/>
        <v>-67.725924877017945</v>
      </c>
    </row>
    <row r="128" spans="1:26" x14ac:dyDescent="0.25">
      <c r="A128" t="s">
        <v>53</v>
      </c>
      <c r="D128" s="5">
        <v>28.915303758986663</v>
      </c>
      <c r="E128" s="14">
        <v>30.099340878064623</v>
      </c>
      <c r="F128" s="14">
        <v>21.223533382107576</v>
      </c>
      <c r="G128" s="14">
        <v>11.494497346391148</v>
      </c>
      <c r="H128" s="15">
        <v>38.846218689175501</v>
      </c>
      <c r="I128" s="15">
        <v>35.496817574916747</v>
      </c>
      <c r="J128" s="15">
        <v>37.527623903960531</v>
      </c>
      <c r="K128" s="15">
        <v>38.109270476448309</v>
      </c>
      <c r="L128" s="15">
        <v>43.531612551515984</v>
      </c>
      <c r="M128" s="15">
        <v>37.109878832091084</v>
      </c>
      <c r="N128" s="15">
        <v>43.789377637545329</v>
      </c>
      <c r="O128" s="15">
        <v>38.500205830380608</v>
      </c>
      <c r="P128" s="15">
        <v>31.648219233984399</v>
      </c>
      <c r="Q128" s="15">
        <v>27.728312845383119</v>
      </c>
      <c r="R128" s="15">
        <v>28.379799399163442</v>
      </c>
      <c r="S128" s="15">
        <v>26.657160221529843</v>
      </c>
      <c r="T128" s="15">
        <v>24.742020139848584</v>
      </c>
      <c r="U128" s="15">
        <v>26.931615939793698</v>
      </c>
      <c r="V128" s="15">
        <v>29.681374278809624</v>
      </c>
      <c r="W128" s="15">
        <v>7.0856380945326682</v>
      </c>
      <c r="Y128" s="15">
        <f t="shared" si="16"/>
        <v>607.49782101462938</v>
      </c>
      <c r="Z128">
        <f t="shared" si="17"/>
        <v>-66.241979682137114</v>
      </c>
    </row>
    <row r="129" spans="1:27" x14ac:dyDescent="0.25">
      <c r="A129" t="s">
        <v>54</v>
      </c>
      <c r="D129" s="5">
        <v>23.907982786997483</v>
      </c>
      <c r="E129" s="14">
        <v>32.460081049208306</v>
      </c>
      <c r="F129" s="14">
        <v>26.545406409821176</v>
      </c>
      <c r="G129" s="14">
        <v>27.354261659539738</v>
      </c>
      <c r="H129" s="15">
        <v>22.723092205675464</v>
      </c>
      <c r="I129" s="15">
        <v>25.39311334019936</v>
      </c>
      <c r="J129" s="15">
        <v>13.841994666646473</v>
      </c>
      <c r="K129" s="15">
        <v>10.846465904211499</v>
      </c>
      <c r="L129" s="15">
        <v>24.079342369816487</v>
      </c>
      <c r="M129" s="15">
        <v>12.906714549221361</v>
      </c>
      <c r="N129" s="15">
        <v>43.708822389124677</v>
      </c>
      <c r="O129" s="15">
        <v>40.066982799954673</v>
      </c>
      <c r="P129" s="15">
        <v>31.287130681307779</v>
      </c>
      <c r="Q129" s="15">
        <v>32.450851000229981</v>
      </c>
      <c r="R129" s="15">
        <v>27.445522217695757</v>
      </c>
      <c r="S129" s="15">
        <v>17.367010209681528</v>
      </c>
      <c r="T129" s="15">
        <v>8.1909493464284662</v>
      </c>
      <c r="U129" s="15">
        <v>10.708243587182404</v>
      </c>
      <c r="V129" s="15">
        <v>28.779429285687097</v>
      </c>
      <c r="W129" s="15">
        <v>6.6123355318164263</v>
      </c>
      <c r="Y129" s="15">
        <f t="shared" si="16"/>
        <v>466.6757319904462</v>
      </c>
      <c r="Z129">
        <f t="shared" si="17"/>
        <v>-41.799783460644434</v>
      </c>
    </row>
    <row r="130" spans="1:27" x14ac:dyDescent="0.25">
      <c r="A130" t="s">
        <v>55</v>
      </c>
      <c r="D130" s="5">
        <v>20.531878173924316</v>
      </c>
      <c r="E130" s="14">
        <v>23.335152110070929</v>
      </c>
      <c r="F130" s="14">
        <v>26.666266845233455</v>
      </c>
      <c r="G130" s="14">
        <v>17.100503947585093</v>
      </c>
      <c r="H130" s="15">
        <v>13.435587356638136</v>
      </c>
      <c r="I130" s="15">
        <v>19.096263076440511</v>
      </c>
      <c r="J130" s="15">
        <v>11.17067482587613</v>
      </c>
      <c r="K130" s="15">
        <v>6.2014238571615694</v>
      </c>
      <c r="L130" s="15">
        <v>17.688874657265682</v>
      </c>
      <c r="M130" s="15">
        <v>34.10225732780308</v>
      </c>
      <c r="N130" s="15">
        <v>36.944897878615606</v>
      </c>
      <c r="O130" s="15">
        <v>37.796972783080619</v>
      </c>
      <c r="P130" s="15">
        <v>33.286641490735157</v>
      </c>
      <c r="Q130" s="15">
        <v>29.287773205275546</v>
      </c>
      <c r="R130" s="15">
        <v>20.08836952096712</v>
      </c>
      <c r="S130" s="15">
        <v>24.182753003356758</v>
      </c>
      <c r="T130" s="15">
        <v>3.5554495704276907</v>
      </c>
      <c r="U130" s="15">
        <v>19.08228754690446</v>
      </c>
      <c r="V130" s="15">
        <v>25.500962873207875</v>
      </c>
      <c r="W130" s="15">
        <v>28.812496027217605</v>
      </c>
      <c r="Y130" s="15">
        <f t="shared" si="16"/>
        <v>447.86748607778736</v>
      </c>
      <c r="Z130">
        <f t="shared" si="17"/>
        <v>-43.587312827392282</v>
      </c>
    </row>
    <row r="131" spans="1:27" x14ac:dyDescent="0.25">
      <c r="A131" t="s">
        <v>56</v>
      </c>
      <c r="D131" s="5">
        <v>38.203774344750578</v>
      </c>
      <c r="E131" s="7">
        <v>37</v>
      </c>
      <c r="F131" s="7">
        <v>41.428571428571431</v>
      </c>
      <c r="G131" s="7">
        <v>31</v>
      </c>
      <c r="H131" s="15">
        <v>46.568838665802943</v>
      </c>
      <c r="I131" s="15">
        <v>30.32675938579451</v>
      </c>
      <c r="J131" s="15">
        <v>34.210896262353955</v>
      </c>
      <c r="K131" s="15">
        <v>31.822210822656796</v>
      </c>
      <c r="L131" s="15">
        <v>92.281295157615801</v>
      </c>
      <c r="M131" s="15">
        <v>22.924913442498738</v>
      </c>
      <c r="N131" s="15">
        <v>25.328098311469027</v>
      </c>
      <c r="O131" s="15">
        <v>36.774508342518672</v>
      </c>
      <c r="P131" s="15">
        <v>28.953636892408081</v>
      </c>
      <c r="Q131" s="15">
        <v>25.816248891132744</v>
      </c>
      <c r="R131" s="15">
        <v>28.845719447188909</v>
      </c>
      <c r="S131" s="15">
        <v>29.330465405775019</v>
      </c>
      <c r="T131" s="15">
        <v>28.858898987424617</v>
      </c>
      <c r="U131" s="15">
        <v>26.61562516661926</v>
      </c>
      <c r="V131" s="15">
        <v>43.213418912486283</v>
      </c>
      <c r="W131" s="15">
        <v>54.632522680400044</v>
      </c>
      <c r="Y131" s="15">
        <f t="shared" si="16"/>
        <v>734.13640254746747</v>
      </c>
      <c r="Z131">
        <f t="shared" si="17"/>
        <v>-60.401877278579867</v>
      </c>
      <c r="AA131" s="15"/>
    </row>
    <row r="132" spans="1:27" x14ac:dyDescent="0.25">
      <c r="A132" t="s">
        <v>57</v>
      </c>
      <c r="D132" s="5">
        <v>35</v>
      </c>
      <c r="E132" s="7">
        <v>38.428571428571431</v>
      </c>
      <c r="F132" s="7">
        <v>56.714285714285715</v>
      </c>
      <c r="G132" s="7">
        <v>33.142857142857146</v>
      </c>
      <c r="H132" s="15">
        <v>31.737365842417613</v>
      </c>
      <c r="I132" s="15">
        <v>31.307492666815335</v>
      </c>
      <c r="J132" s="15">
        <v>28.713240633936902</v>
      </c>
      <c r="K132" s="15">
        <v>25.929075934184123</v>
      </c>
      <c r="L132" s="15">
        <v>34.881698187960083</v>
      </c>
      <c r="M132" s="15">
        <v>36.168895654668013</v>
      </c>
      <c r="N132" s="15">
        <v>34.318149590719749</v>
      </c>
      <c r="O132" s="15">
        <v>34.006507622327732</v>
      </c>
      <c r="P132" s="15">
        <v>31.732300392861475</v>
      </c>
      <c r="Q132" s="15">
        <v>30.971660366515689</v>
      </c>
      <c r="R132" s="15">
        <v>26.28297909515442</v>
      </c>
      <c r="S132" s="15">
        <v>29.534041534350003</v>
      </c>
      <c r="T132" s="15">
        <v>27.338960250294591</v>
      </c>
      <c r="U132" s="15">
        <v>33.65172123735482</v>
      </c>
      <c r="V132" s="15">
        <v>26.907949228551484</v>
      </c>
      <c r="W132" s="15">
        <v>26.280050976911348</v>
      </c>
      <c r="Y132" s="15">
        <f t="shared" si="16"/>
        <v>653.04780350073759</v>
      </c>
      <c r="Z132">
        <f t="shared" si="17"/>
        <v>-48.505344152154677</v>
      </c>
      <c r="AA132" s="15"/>
    </row>
    <row r="133" spans="1:27" x14ac:dyDescent="0.25">
      <c r="A133" t="s">
        <v>58</v>
      </c>
      <c r="D133" s="5">
        <v>35.285714285714285</v>
      </c>
      <c r="E133" s="14">
        <v>31.285714285714285</v>
      </c>
      <c r="F133" s="14">
        <v>24.714285714285715</v>
      </c>
      <c r="G133" s="14">
        <v>20.571428571428573</v>
      </c>
      <c r="H133" s="15">
        <v>38.846218689175501</v>
      </c>
      <c r="I133" s="15">
        <v>34.788567872493665</v>
      </c>
      <c r="J133" s="15">
        <v>37.563347285062456</v>
      </c>
      <c r="K133" s="15">
        <v>35.447774220326338</v>
      </c>
      <c r="L133" s="15">
        <v>39.377073713022504</v>
      </c>
      <c r="M133" s="15">
        <v>43.549017850659702</v>
      </c>
      <c r="N133" s="15">
        <v>44.479271701612674</v>
      </c>
      <c r="O133" s="15">
        <v>42.229703468655281</v>
      </c>
      <c r="P133" s="15">
        <v>28.246942640253032</v>
      </c>
      <c r="Q133" s="15">
        <v>33.993783936508741</v>
      </c>
      <c r="R133" s="15">
        <v>29.757015782455934</v>
      </c>
      <c r="S133" s="15">
        <v>33.167792779737511</v>
      </c>
      <c r="T133" s="15">
        <v>38.695406539113378</v>
      </c>
      <c r="U133" s="15">
        <v>43.381518251283808</v>
      </c>
      <c r="V133" s="15">
        <v>43.787342217459511</v>
      </c>
      <c r="W133" s="15">
        <v>43.004951356805613</v>
      </c>
      <c r="Y133" s="15">
        <f t="shared" si="16"/>
        <v>722.17287116176851</v>
      </c>
      <c r="Z133">
        <f t="shared" si="17"/>
        <v>-67.12914801882232</v>
      </c>
      <c r="AA133" s="15"/>
    </row>
    <row r="134" spans="1:27" x14ac:dyDescent="0.25">
      <c r="A134" t="s">
        <v>59</v>
      </c>
      <c r="D134" s="5">
        <v>26.067304135628753</v>
      </c>
      <c r="E134" s="14">
        <v>25.422691674889915</v>
      </c>
      <c r="F134" s="14">
        <v>35.928651383270662</v>
      </c>
      <c r="G134" s="14">
        <v>52.461222779808452</v>
      </c>
      <c r="H134" s="15">
        <v>58.935519433314731</v>
      </c>
      <c r="I134" s="15">
        <v>73.305447709524131</v>
      </c>
      <c r="J134" s="15">
        <v>61.535420175779841</v>
      </c>
      <c r="K134" s="15">
        <v>38.885741885759266</v>
      </c>
      <c r="L134" s="15">
        <v>33.259888296057191</v>
      </c>
      <c r="M134" s="15">
        <v>37.676390649696394</v>
      </c>
      <c r="N134" s="15">
        <v>53.896280593098275</v>
      </c>
      <c r="O134" s="15">
        <v>37.054138764362627</v>
      </c>
      <c r="P134" s="15">
        <v>36.109595490627996</v>
      </c>
      <c r="Q134" s="15">
        <v>25.949201515427738</v>
      </c>
      <c r="R134" s="15">
        <v>30.837821279755101</v>
      </c>
      <c r="S134" s="15">
        <v>27.480722111077426</v>
      </c>
      <c r="T134" s="15">
        <v>23.429415520702388</v>
      </c>
      <c r="U134" s="15">
        <v>18.658161902524494</v>
      </c>
      <c r="V134" s="15">
        <v>20.813161526457929</v>
      </c>
      <c r="W134" s="15">
        <v>18.300701326021024</v>
      </c>
      <c r="Y134" s="15">
        <f t="shared" si="16"/>
        <v>736.00747815378418</v>
      </c>
      <c r="Z134">
        <f t="shared" si="17"/>
        <v>-66.566191688051504</v>
      </c>
      <c r="AA134" s="15"/>
    </row>
    <row r="135" spans="1:27" x14ac:dyDescent="0.25">
      <c r="A135" t="s">
        <v>60</v>
      </c>
      <c r="D135" s="5">
        <v>18.677723213541761</v>
      </c>
      <c r="E135" s="14">
        <v>40.194439369198484</v>
      </c>
      <c r="F135" s="14">
        <v>64.827578918453128</v>
      </c>
      <c r="G135" s="14">
        <v>35.704221914921547</v>
      </c>
      <c r="H135" s="15">
        <v>36.953350759887186</v>
      </c>
      <c r="I135" s="15">
        <v>34.555351526578946</v>
      </c>
      <c r="J135" s="15">
        <v>43.207581654845399</v>
      </c>
      <c r="K135" s="15">
        <v>53.246111359909072</v>
      </c>
      <c r="L135" s="15">
        <v>34.617435284410149</v>
      </c>
      <c r="M135" s="15">
        <v>41.900812070748977</v>
      </c>
      <c r="N135" s="15">
        <v>34.040189394706118</v>
      </c>
      <c r="O135" s="15">
        <v>35.817741354389703</v>
      </c>
      <c r="P135" s="15">
        <v>30.838446577763381</v>
      </c>
      <c r="Q135" s="15">
        <v>34.840552596515202</v>
      </c>
      <c r="R135" s="15">
        <v>40.633830203464278</v>
      </c>
      <c r="S135" s="15">
        <v>33.349126140813944</v>
      </c>
      <c r="T135" s="15">
        <v>25.873754586620041</v>
      </c>
      <c r="U135" s="15">
        <v>23.688827770472024</v>
      </c>
      <c r="V135" s="15">
        <v>27.388114036533832</v>
      </c>
      <c r="W135" s="15">
        <v>17.592516746607942</v>
      </c>
      <c r="Y135" s="15">
        <f t="shared" si="16"/>
        <v>707.94770548038105</v>
      </c>
      <c r="Z135">
        <f t="shared" si="17"/>
        <v>-51.832822391191435</v>
      </c>
      <c r="AA135" s="15"/>
    </row>
    <row r="136" spans="1:27" x14ac:dyDescent="0.25">
      <c r="A136" t="s">
        <v>61</v>
      </c>
      <c r="D136" s="5">
        <v>34.175253409596408</v>
      </c>
      <c r="E136" s="14">
        <v>44.324618518933015</v>
      </c>
      <c r="F136" s="14">
        <v>50.648565807438935</v>
      </c>
      <c r="G136" s="14">
        <v>66.33842676943145</v>
      </c>
      <c r="H136" s="15">
        <v>60.964715682201408</v>
      </c>
      <c r="I136" s="15">
        <v>45.462507986673316</v>
      </c>
      <c r="J136" s="15">
        <v>33.606441974053155</v>
      </c>
      <c r="K136" s="15">
        <v>30.069939439078464</v>
      </c>
      <c r="L136" s="15">
        <v>39.299686308821521</v>
      </c>
      <c r="M136" s="15">
        <v>33.001821038348702</v>
      </c>
      <c r="N136" s="15">
        <v>33.71956204502758</v>
      </c>
      <c r="O136" s="15">
        <v>58.502519761944534</v>
      </c>
      <c r="P136" s="15">
        <v>39.84432749555198</v>
      </c>
      <c r="Q136" s="15">
        <v>30.431261647957193</v>
      </c>
      <c r="R136" s="15">
        <v>34.102388426221793</v>
      </c>
      <c r="S136" s="15">
        <v>36.315684659532444</v>
      </c>
      <c r="T136" s="15">
        <v>24.132182174492481</v>
      </c>
      <c r="U136" s="15">
        <v>26.687514167325723</v>
      </c>
      <c r="V136" s="15">
        <v>23.129099362297108</v>
      </c>
      <c r="W136" s="15">
        <v>21.534794610981443</v>
      </c>
      <c r="Y136" s="15">
        <f t="shared" si="16"/>
        <v>766.29131128590848</v>
      </c>
      <c r="Z136">
        <f t="shared" si="17"/>
        <v>-47.235366003906549</v>
      </c>
      <c r="AA136" s="15"/>
    </row>
    <row r="137" spans="1:27" x14ac:dyDescent="0.25">
      <c r="A137" t="s">
        <v>62</v>
      </c>
      <c r="D137" s="5">
        <v>27.880966500047226</v>
      </c>
      <c r="E137" s="14">
        <v>32.377599808026936</v>
      </c>
      <c r="F137" s="14">
        <v>30.472847775122549</v>
      </c>
      <c r="G137" s="14">
        <v>29.525583841253155</v>
      </c>
      <c r="H137" s="15">
        <v>38.392292062267003</v>
      </c>
      <c r="I137" s="15">
        <v>40.389012222272775</v>
      </c>
      <c r="J137" s="15">
        <v>33.842600785054557</v>
      </c>
      <c r="K137" s="15">
        <v>39.94220310222498</v>
      </c>
      <c r="L137" s="15">
        <v>40.009422656976938</v>
      </c>
      <c r="M137" s="15">
        <v>42.762228822092069</v>
      </c>
      <c r="N137" s="15">
        <v>30.476892700835464</v>
      </c>
      <c r="O137" s="15">
        <v>32.848032168239577</v>
      </c>
      <c r="P137" s="15">
        <v>32.532095175653545</v>
      </c>
      <c r="Q137" s="15">
        <v>38.344397683427594</v>
      </c>
      <c r="R137" s="15">
        <v>25.955384784439712</v>
      </c>
      <c r="S137" s="15">
        <v>29.972259552672956</v>
      </c>
      <c r="T137" s="15">
        <v>22.634466316072956</v>
      </c>
      <c r="U137" s="15">
        <v>33.337201326312012</v>
      </c>
      <c r="V137" s="15">
        <v>38.526909437597929</v>
      </c>
      <c r="W137" s="15">
        <v>34.048419039708946</v>
      </c>
      <c r="Y137" s="15">
        <f t="shared" si="16"/>
        <v>674.27081576029889</v>
      </c>
      <c r="Z137">
        <f t="shared" si="17"/>
        <v>-55.378965037437823</v>
      </c>
    </row>
    <row r="138" spans="1:27" x14ac:dyDescent="0.25">
      <c r="D138" s="5"/>
      <c r="E138" s="14"/>
      <c r="F138" s="14"/>
      <c r="G138" s="14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Y138" s="15"/>
    </row>
    <row r="139" spans="1:27" x14ac:dyDescent="0.25">
      <c r="A139" t="s">
        <v>63</v>
      </c>
      <c r="D139" s="5">
        <v>27.440940084589396</v>
      </c>
      <c r="E139" s="14">
        <v>25.459909580040694</v>
      </c>
      <c r="F139" s="14">
        <v>32.060041902315575</v>
      </c>
      <c r="G139" s="14">
        <v>25.374471307914568</v>
      </c>
      <c r="H139" s="15">
        <v>50.39852259810457</v>
      </c>
      <c r="I139" s="15">
        <v>46.970674153240388</v>
      </c>
      <c r="J139" s="15">
        <v>31.946114090986686</v>
      </c>
      <c r="K139" s="15">
        <v>37.716178747960676</v>
      </c>
      <c r="L139" s="15">
        <v>37.702241780294408</v>
      </c>
      <c r="M139" s="15">
        <v>32.801073636434602</v>
      </c>
      <c r="N139" s="15">
        <v>37.534581269264635</v>
      </c>
      <c r="O139" s="15">
        <v>37.757044500530178</v>
      </c>
      <c r="P139" s="15">
        <v>32.001584662692217</v>
      </c>
      <c r="Q139" s="15">
        <v>30.463800843747709</v>
      </c>
      <c r="R139" s="15">
        <v>28.293737900024073</v>
      </c>
      <c r="S139" s="15">
        <v>28.571328603137275</v>
      </c>
      <c r="T139" s="15">
        <v>25.567165970662384</v>
      </c>
      <c r="U139" s="15">
        <v>26.81992318875017</v>
      </c>
      <c r="V139" s="15">
        <v>29.824413523791293</v>
      </c>
      <c r="W139" s="15">
        <v>25.610448190280273</v>
      </c>
      <c r="Y139" s="15">
        <f t="shared" si="16"/>
        <v>650.31419653476178</v>
      </c>
      <c r="Z139">
        <f>SUMPRODUCT($D$143:$S$143,D139:S139)</f>
        <v>-54.704993518390609</v>
      </c>
    </row>
    <row r="140" spans="1:27" x14ac:dyDescent="0.25">
      <c r="A140" t="s">
        <v>307</v>
      </c>
      <c r="D140" s="5">
        <v>45.285714285714285</v>
      </c>
      <c r="E140" s="23">
        <v>64.599999999999994</v>
      </c>
      <c r="F140" s="23">
        <v>36.5</v>
      </c>
      <c r="G140" s="23">
        <v>38.700000000000003</v>
      </c>
      <c r="H140" s="15">
        <v>41.857142857142854</v>
      </c>
      <c r="I140" s="15">
        <v>39.571428571428569</v>
      </c>
      <c r="J140" s="15">
        <v>37.714285714285715</v>
      </c>
      <c r="K140" s="15">
        <v>39.571428571428569</v>
      </c>
      <c r="L140" s="15">
        <v>50.875</v>
      </c>
      <c r="M140" s="15">
        <v>52.428571428571431</v>
      </c>
      <c r="N140" s="15">
        <v>49.142857142857146</v>
      </c>
      <c r="O140" s="15">
        <v>42</v>
      </c>
      <c r="P140" s="15">
        <v>67</v>
      </c>
      <c r="Q140" s="15">
        <v>42</v>
      </c>
      <c r="R140" s="15">
        <v>42.4</v>
      </c>
      <c r="S140" s="15">
        <v>42.6</v>
      </c>
      <c r="T140" s="15">
        <v>26.1</v>
      </c>
      <c r="U140" s="15">
        <v>27.1</v>
      </c>
      <c r="V140" s="15">
        <v>30.1</v>
      </c>
      <c r="W140" s="15">
        <v>24.8</v>
      </c>
      <c r="Y140" s="15">
        <f t="shared" si="16"/>
        <v>840.34642857142865</v>
      </c>
      <c r="Z140">
        <f>SUMPRODUCT($D$143:$S$143,D140:S140)</f>
        <v>-72.533491690700117</v>
      </c>
    </row>
    <row r="141" spans="1:27" x14ac:dyDescent="0.25">
      <c r="A141" t="s">
        <v>308</v>
      </c>
      <c r="D141" s="5">
        <v>27.714033418367482</v>
      </c>
      <c r="E141" s="5">
        <v>55.6</v>
      </c>
      <c r="F141" s="5">
        <v>42.8</v>
      </c>
      <c r="G141" s="5">
        <v>36.4</v>
      </c>
      <c r="H141" s="14">
        <v>42.8</v>
      </c>
      <c r="I141" s="14">
        <v>34.299999999999997</v>
      </c>
      <c r="J141" s="14">
        <v>32.6</v>
      </c>
      <c r="K141" s="14">
        <v>38.700000000000003</v>
      </c>
      <c r="L141" s="14">
        <v>41.8</v>
      </c>
      <c r="M141" s="14">
        <v>48.3</v>
      </c>
      <c r="N141" s="14">
        <v>42.8</v>
      </c>
      <c r="O141" s="14">
        <v>40.6</v>
      </c>
      <c r="P141" s="14">
        <v>31.176184398782794</v>
      </c>
      <c r="Q141" s="14">
        <v>30.314289461220028</v>
      </c>
      <c r="R141" s="14">
        <v>31.27147316160373</v>
      </c>
      <c r="S141" s="14">
        <v>30.57242959435078</v>
      </c>
      <c r="T141" s="14">
        <v>28.839287176831004</v>
      </c>
      <c r="U141" s="14">
        <v>29.199170865650881</v>
      </c>
      <c r="V141" s="14">
        <v>32.421997184297808</v>
      </c>
      <c r="W141" s="14">
        <v>31.962148617349193</v>
      </c>
      <c r="Y141" s="15">
        <f t="shared" si="16"/>
        <v>730.17101387845366</v>
      </c>
      <c r="Z141">
        <f>SUMPRODUCT($D$143:$S$143,D141:S141)</f>
        <v>-54.764800355400666</v>
      </c>
    </row>
    <row r="142" spans="1:27" x14ac:dyDescent="0.25">
      <c r="A142" t="s">
        <v>670</v>
      </c>
      <c r="D142" s="15">
        <v>34.749294190064447</v>
      </c>
      <c r="E142" s="15">
        <v>38.366997791078184</v>
      </c>
      <c r="F142" s="15">
        <v>33.059620145716949</v>
      </c>
      <c r="G142" s="15">
        <v>33.382517536696795</v>
      </c>
      <c r="H142" s="15">
        <v>32.435838445743101</v>
      </c>
      <c r="I142" s="15">
        <v>31.65641166402553</v>
      </c>
      <c r="J142" s="15">
        <v>31.181393079940644</v>
      </c>
      <c r="K142" s="15">
        <v>30.05143817266482</v>
      </c>
      <c r="L142" s="15">
        <v>26.742213181268625</v>
      </c>
      <c r="M142" s="15">
        <v>33.196467768201821</v>
      </c>
      <c r="N142" s="15">
        <v>38.678110341219288</v>
      </c>
      <c r="O142" s="15">
        <v>39.258291723471743</v>
      </c>
      <c r="P142" s="15">
        <v>30.554880354064437</v>
      </c>
      <c r="Q142" s="15">
        <v>30.017366599858178</v>
      </c>
      <c r="R142" s="15">
        <v>29.407622554830962</v>
      </c>
      <c r="S142" s="15">
        <v>29.507483495851776</v>
      </c>
      <c r="T142" s="15">
        <v>25.567165970662384</v>
      </c>
      <c r="U142" s="15">
        <v>26.81992318875017</v>
      </c>
      <c r="V142" s="15">
        <v>29.824413523791293</v>
      </c>
      <c r="W142" s="15">
        <v>25.610448190280273</v>
      </c>
      <c r="Y142" s="15">
        <f t="shared" ref="Y142" si="18">SUM(D142:W142)</f>
        <v>630.06789791818142</v>
      </c>
      <c r="Z142">
        <f>SUMPRODUCT($D$143:$S$143,D142:S142)</f>
        <v>-51.354706052818834</v>
      </c>
    </row>
    <row r="143" spans="1:27" x14ac:dyDescent="0.25">
      <c r="A143" s="2" t="s">
        <v>64</v>
      </c>
      <c r="D143" s="3">
        <f>CORREL($B$2:$B$21,D118:D137)</f>
        <v>-0.34319501716927664</v>
      </c>
      <c r="E143" s="3">
        <f t="shared" ref="E143:W143" si="19">CORREL($B$2:$B$21,E118:E137)</f>
        <v>0.25391015387151239</v>
      </c>
      <c r="F143" s="3">
        <f t="shared" si="19"/>
        <v>8.6382675834441078E-2</v>
      </c>
      <c r="G143" s="3">
        <f t="shared" si="19"/>
        <v>0.15024287001572986</v>
      </c>
      <c r="H143" s="3">
        <f t="shared" si="19"/>
        <v>0.10033118844595008</v>
      </c>
      <c r="I143" s="3">
        <f t="shared" si="19"/>
        <v>1.5933491142469104E-2</v>
      </c>
      <c r="J143" s="3">
        <f t="shared" si="19"/>
        <v>-0.35999352060637319</v>
      </c>
      <c r="K143" s="3">
        <f t="shared" si="19"/>
        <v>-7.7102292225038283E-2</v>
      </c>
      <c r="L143" s="3">
        <f t="shared" si="19"/>
        <v>-0.27547387180552657</v>
      </c>
      <c r="M143" s="3">
        <f t="shared" si="19"/>
        <v>-0.34863331102969741</v>
      </c>
      <c r="N143" s="3">
        <f t="shared" si="19"/>
        <v>-0.37757489285066725</v>
      </c>
      <c r="O143" s="3">
        <f t="shared" si="19"/>
        <v>-0.23308399266916627</v>
      </c>
      <c r="P143" s="3">
        <f t="shared" si="19"/>
        <v>-0.15343516589502654</v>
      </c>
      <c r="Q143" s="3">
        <f t="shared" si="19"/>
        <v>-0.12439944797636751</v>
      </c>
      <c r="R143" s="3">
        <f t="shared" si="19"/>
        <v>-0.1541618455781914</v>
      </c>
      <c r="S143" s="3">
        <f t="shared" si="19"/>
        <v>0.28439782024421528</v>
      </c>
      <c r="T143" s="3">
        <f t="shared" si="19"/>
        <v>-6.6875675544816465E-2</v>
      </c>
      <c r="U143" s="3">
        <f t="shared" si="19"/>
        <v>-9.4020280986640115E-2</v>
      </c>
      <c r="V143" s="3">
        <f t="shared" si="19"/>
        <v>-8.4280655747744071E-2</v>
      </c>
      <c r="W143" s="3">
        <f t="shared" si="19"/>
        <v>-8.6296022186121965E-2</v>
      </c>
    </row>
    <row r="146" spans="1:27" x14ac:dyDescent="0.25">
      <c r="D146" t="s">
        <v>0</v>
      </c>
      <c r="E146" t="s">
        <v>1</v>
      </c>
      <c r="F146" t="s">
        <v>2</v>
      </c>
      <c r="G146" t="s">
        <v>3</v>
      </c>
      <c r="H146" t="s">
        <v>4</v>
      </c>
      <c r="I146" t="s">
        <v>5</v>
      </c>
      <c r="J146" t="s">
        <v>6</v>
      </c>
      <c r="K146" t="s">
        <v>7</v>
      </c>
      <c r="L146" t="s">
        <v>338</v>
      </c>
      <c r="M146" t="s">
        <v>376</v>
      </c>
      <c r="N146" t="s">
        <v>377</v>
      </c>
      <c r="O146" t="s">
        <v>378</v>
      </c>
      <c r="P146" t="s">
        <v>466</v>
      </c>
      <c r="Q146" t="s">
        <v>467</v>
      </c>
      <c r="R146" t="s">
        <v>468</v>
      </c>
      <c r="S146" t="s">
        <v>469</v>
      </c>
      <c r="T146" t="s">
        <v>578</v>
      </c>
      <c r="U146" t="s">
        <v>579</v>
      </c>
      <c r="V146" t="s">
        <v>580</v>
      </c>
      <c r="W146" t="s">
        <v>581</v>
      </c>
      <c r="Y146" t="s">
        <v>89</v>
      </c>
      <c r="Z146" t="s">
        <v>90</v>
      </c>
    </row>
    <row r="147" spans="1:27" x14ac:dyDescent="0.25">
      <c r="A147" t="s">
        <v>43</v>
      </c>
      <c r="D147" s="5">
        <v>15.26775019605814</v>
      </c>
      <c r="E147" s="7">
        <v>10.014285714285714</v>
      </c>
      <c r="F147" s="7">
        <v>11.114285714285714</v>
      </c>
      <c r="G147" s="7">
        <v>12.842857142857143</v>
      </c>
      <c r="H147" s="15">
        <v>10.886649625999343</v>
      </c>
      <c r="I147" s="15">
        <v>12.993302094426832</v>
      </c>
      <c r="J147" s="15">
        <v>9.7056793509389525</v>
      </c>
      <c r="K147" s="15">
        <v>10.450196801692243</v>
      </c>
      <c r="L147" s="15">
        <v>10.231739797061136</v>
      </c>
      <c r="M147" s="15">
        <v>11.922828334281897</v>
      </c>
      <c r="N147" s="15">
        <v>11.435461460347256</v>
      </c>
      <c r="O147" s="15">
        <v>9.7737021230752124</v>
      </c>
      <c r="P147" s="15">
        <v>9.5054438477931988</v>
      </c>
      <c r="Q147" s="15">
        <v>8.6978898982143171</v>
      </c>
      <c r="R147" s="15">
        <v>8.7407634654198105</v>
      </c>
      <c r="S147" s="15">
        <v>11.023780120732511</v>
      </c>
      <c r="T147" s="15">
        <v>8.9182733434280461</v>
      </c>
      <c r="U147" s="15">
        <v>12.7162463710566</v>
      </c>
      <c r="V147" s="15">
        <v>14.506243348226405</v>
      </c>
      <c r="W147" s="15">
        <v>16.188960749750919</v>
      </c>
      <c r="Y147" s="15">
        <f t="shared" ref="Y147:Y170" si="20">SUM(D147:W147)</f>
        <v>226.93633949993139</v>
      </c>
      <c r="Z147">
        <f t="shared" ref="Z147:Z166" si="21">SUMPRODUCT($D$172:$S$172,D147:S147)</f>
        <v>-1.5820060221497518</v>
      </c>
    </row>
    <row r="148" spans="1:27" x14ac:dyDescent="0.25">
      <c r="A148" t="s">
        <v>44</v>
      </c>
      <c r="D148" s="5">
        <v>14.428571428571429</v>
      </c>
      <c r="E148" s="7">
        <v>13.857142857142858</v>
      </c>
      <c r="F148" s="7">
        <v>14.614285714285714</v>
      </c>
      <c r="G148" s="7">
        <v>14.471428571428572</v>
      </c>
      <c r="H148" s="15">
        <v>44.950365001425574</v>
      </c>
      <c r="I148" s="15">
        <v>41.244218463878205</v>
      </c>
      <c r="J148" s="15">
        <v>37.760987006388149</v>
      </c>
      <c r="K148" s="15">
        <v>36.103989725518971</v>
      </c>
      <c r="L148" s="15">
        <v>43.365115316526925</v>
      </c>
      <c r="M148" s="15">
        <v>9.7711859467754003</v>
      </c>
      <c r="N148" s="15">
        <v>9.9967911595734726</v>
      </c>
      <c r="O148" s="15">
        <v>9.2231476335565024</v>
      </c>
      <c r="P148" s="15">
        <v>11.841196658916163</v>
      </c>
      <c r="Q148" s="15">
        <v>8.9508124810803888</v>
      </c>
      <c r="R148" s="15">
        <v>8.5612971394401445</v>
      </c>
      <c r="S148" s="15">
        <v>8.6920660935553506</v>
      </c>
      <c r="T148" s="15">
        <v>9.8230535218968473</v>
      </c>
      <c r="U148" s="15">
        <v>7.2502952838619494</v>
      </c>
      <c r="V148" s="15">
        <v>10.752472580064707</v>
      </c>
      <c r="W148" s="15">
        <v>13.183050646941121</v>
      </c>
      <c r="Y148" s="15">
        <f t="shared" si="20"/>
        <v>368.84147323082846</v>
      </c>
      <c r="Z148">
        <f t="shared" si="21"/>
        <v>-21.59923088434601</v>
      </c>
    </row>
    <row r="149" spans="1:27" x14ac:dyDescent="0.25">
      <c r="A149" t="s">
        <v>45</v>
      </c>
      <c r="D149" s="5">
        <v>18.532266590041822</v>
      </c>
      <c r="E149" s="7">
        <v>10.571428571428571</v>
      </c>
      <c r="F149" s="7">
        <v>13</v>
      </c>
      <c r="G149" s="7">
        <v>9.2714285714285722</v>
      </c>
      <c r="H149" s="15">
        <v>11.706783748578379</v>
      </c>
      <c r="I149" s="15">
        <v>10.67535609197904</v>
      </c>
      <c r="J149" s="15">
        <v>7.9525881167314525</v>
      </c>
      <c r="K149" s="15">
        <v>9.6552739128802578</v>
      </c>
      <c r="L149" s="15">
        <v>8.1204299151979722</v>
      </c>
      <c r="M149" s="15">
        <v>4.2577534761807661</v>
      </c>
      <c r="N149" s="15">
        <v>4.2577534761807661</v>
      </c>
      <c r="O149" s="15">
        <v>4.2577534761807661</v>
      </c>
      <c r="P149" s="15">
        <v>4.2577534761807661</v>
      </c>
      <c r="Q149" s="15">
        <v>4.2577534761807661</v>
      </c>
      <c r="R149" s="15">
        <v>4.2577534761807661</v>
      </c>
      <c r="S149" s="15">
        <v>4.2577534761807661</v>
      </c>
      <c r="T149" s="15">
        <v>4.2577534761807661</v>
      </c>
      <c r="U149" s="15">
        <v>5.5963343286358791</v>
      </c>
      <c r="V149" s="15">
        <v>11.55145198621417</v>
      </c>
      <c r="W149" s="15">
        <v>15.170581049791881</v>
      </c>
      <c r="Y149" s="15">
        <f t="shared" si="20"/>
        <v>165.86595069235415</v>
      </c>
      <c r="Z149">
        <f t="shared" si="21"/>
        <v>3.7766194551184542</v>
      </c>
    </row>
    <row r="150" spans="1:27" x14ac:dyDescent="0.25">
      <c r="A150" t="s">
        <v>46</v>
      </c>
      <c r="D150" s="5">
        <v>15.657479151969962</v>
      </c>
      <c r="E150" s="14">
        <v>13.70502025461572</v>
      </c>
      <c r="F150" s="14">
        <v>11.122800203744479</v>
      </c>
      <c r="G150" s="14">
        <v>11.920105653515575</v>
      </c>
      <c r="H150" s="15">
        <v>11.507931263567674</v>
      </c>
      <c r="I150" s="15">
        <v>11.636840310499149</v>
      </c>
      <c r="J150" s="15">
        <v>11.223221754952137</v>
      </c>
      <c r="K150" s="15">
        <v>10.781732530796232</v>
      </c>
      <c r="L150" s="15">
        <v>9.96547610426218</v>
      </c>
      <c r="M150" s="15">
        <v>13.314952534733928</v>
      </c>
      <c r="N150" s="15">
        <v>11.366896593991623</v>
      </c>
      <c r="O150" s="15">
        <v>12.487745140256928</v>
      </c>
      <c r="P150" s="15">
        <v>13.295474458739406</v>
      </c>
      <c r="Q150" s="15">
        <v>15.328975983267298</v>
      </c>
      <c r="R150" s="15">
        <v>10.034939884087283</v>
      </c>
      <c r="S150" s="15">
        <v>11.721222049048714</v>
      </c>
      <c r="T150" s="15">
        <v>15.439529216334071</v>
      </c>
      <c r="U150" s="15">
        <v>10.574974036628854</v>
      </c>
      <c r="V150" s="15">
        <v>14.865106603052627</v>
      </c>
      <c r="W150" s="15">
        <v>15.419219367286571</v>
      </c>
      <c r="Y150" s="15">
        <f t="shared" si="20"/>
        <v>251.3696430953504</v>
      </c>
      <c r="Z150">
        <f t="shared" si="21"/>
        <v>-2.0930171642424771</v>
      </c>
    </row>
    <row r="151" spans="1:27" x14ac:dyDescent="0.25">
      <c r="A151" t="s">
        <v>47</v>
      </c>
      <c r="D151" s="5">
        <v>17.015643634624499</v>
      </c>
      <c r="E151" s="14">
        <v>15.912028252236095</v>
      </c>
      <c r="F151" s="14">
        <v>14.112742703927609</v>
      </c>
      <c r="G151" s="14">
        <v>12.08662722850384</v>
      </c>
      <c r="H151" s="15">
        <v>12.052309767895835</v>
      </c>
      <c r="I151" s="15">
        <v>10.509275315807246</v>
      </c>
      <c r="J151" s="15">
        <v>9.046260686084711</v>
      </c>
      <c r="K151" s="15">
        <v>12.911297367451533</v>
      </c>
      <c r="L151" s="15">
        <v>11.935478588810327</v>
      </c>
      <c r="M151" s="15">
        <v>9.4810742025380641</v>
      </c>
      <c r="N151" s="15">
        <v>9.7195294596206452</v>
      </c>
      <c r="O151" s="15">
        <v>9.7084915215587575</v>
      </c>
      <c r="P151" s="15">
        <v>9.6558430811631606</v>
      </c>
      <c r="Q151" s="15">
        <v>9.2860539645185209</v>
      </c>
      <c r="R151" s="15">
        <v>7.9763153821252057</v>
      </c>
      <c r="S151" s="15">
        <v>10.944528549684316</v>
      </c>
      <c r="T151" s="15">
        <v>8.867160847354052</v>
      </c>
      <c r="U151" s="15">
        <v>11.375196207054971</v>
      </c>
      <c r="V151" s="15">
        <v>11.727226205389853</v>
      </c>
      <c r="W151" s="15">
        <v>13.915296387100332</v>
      </c>
      <c r="Y151" s="15">
        <f t="shared" si="20"/>
        <v>228.2383793534496</v>
      </c>
      <c r="Z151">
        <f t="shared" si="21"/>
        <v>2.8763155265992353</v>
      </c>
    </row>
    <row r="152" spans="1:27" x14ac:dyDescent="0.25">
      <c r="A152" t="s">
        <v>48</v>
      </c>
      <c r="D152" s="5">
        <v>18.210411514610978</v>
      </c>
      <c r="E152" s="14">
        <v>16.480360578846021</v>
      </c>
      <c r="F152" s="14">
        <v>14.963223255622793</v>
      </c>
      <c r="G152" s="14">
        <v>14.984276736709072</v>
      </c>
      <c r="H152" s="15">
        <v>14.498501270559997</v>
      </c>
      <c r="I152" s="15">
        <v>13.303758672009726</v>
      </c>
      <c r="J152" s="15">
        <v>10.529074404608204</v>
      </c>
      <c r="K152" s="15">
        <v>11.837262542460582</v>
      </c>
      <c r="L152" s="15">
        <v>10.057675642697212</v>
      </c>
      <c r="M152" s="15">
        <v>11.295082955246595</v>
      </c>
      <c r="N152" s="15">
        <v>11.95467017766649</v>
      </c>
      <c r="O152" s="15">
        <v>6.3360210733032662</v>
      </c>
      <c r="P152" s="15">
        <v>9.59041378002496</v>
      </c>
      <c r="Q152" s="15">
        <v>10.966149800770994</v>
      </c>
      <c r="R152" s="15">
        <v>7.8808466031629001</v>
      </c>
      <c r="S152" s="15">
        <v>11.363123168703414</v>
      </c>
      <c r="T152" s="15">
        <v>7.7370518113592039</v>
      </c>
      <c r="U152" s="15">
        <v>9.983079148010102</v>
      </c>
      <c r="V152" s="15">
        <v>10.408959091067597</v>
      </c>
      <c r="W152" s="15">
        <v>13.152615998468974</v>
      </c>
      <c r="Y152" s="15">
        <f t="shared" si="20"/>
        <v>235.5325582259091</v>
      </c>
      <c r="Z152">
        <f t="shared" si="21"/>
        <v>5.1668132747641131</v>
      </c>
    </row>
    <row r="153" spans="1:27" x14ac:dyDescent="0.25">
      <c r="A153" t="s">
        <v>49</v>
      </c>
      <c r="D153" s="5">
        <v>19.603427995607341</v>
      </c>
      <c r="E153" s="14">
        <v>15.680760438607008</v>
      </c>
      <c r="F153" s="14">
        <v>14.722419713223903</v>
      </c>
      <c r="G153" s="14">
        <v>11.416603841280587</v>
      </c>
      <c r="H153" s="15">
        <v>11.256564168343544</v>
      </c>
      <c r="I153" s="15">
        <v>10.015079452489529</v>
      </c>
      <c r="J153" s="15">
        <v>9.7475988989021953</v>
      </c>
      <c r="K153" s="15">
        <v>10.040953942987901</v>
      </c>
      <c r="L153" s="15">
        <v>6.9555051658366764</v>
      </c>
      <c r="M153" s="15">
        <v>9.6832232143271977</v>
      </c>
      <c r="N153" s="15">
        <v>8.8925711653828952</v>
      </c>
      <c r="O153" s="15">
        <v>10.670638391174492</v>
      </c>
      <c r="P153" s="15">
        <v>10.061397991568262</v>
      </c>
      <c r="Q153" s="15">
        <v>8.4480563073278301</v>
      </c>
      <c r="R153" s="15">
        <v>11.954646499110792</v>
      </c>
      <c r="S153" s="15">
        <v>13.135506841032278</v>
      </c>
      <c r="T153" s="15">
        <v>12.968244899476776</v>
      </c>
      <c r="U153" s="15">
        <v>14.344126477559175</v>
      </c>
      <c r="V153" s="15">
        <v>13.426051774726488</v>
      </c>
      <c r="W153" s="15">
        <v>13.366168032686643</v>
      </c>
      <c r="Y153" s="15">
        <f t="shared" si="20"/>
        <v>236.38954521165152</v>
      </c>
      <c r="Z153">
        <f t="shared" si="21"/>
        <v>3.6272217033389316</v>
      </c>
    </row>
    <row r="154" spans="1:27" x14ac:dyDescent="0.25">
      <c r="A154" t="s">
        <v>50</v>
      </c>
      <c r="D154" s="5">
        <v>14.104871519568674</v>
      </c>
      <c r="E154" s="7">
        <v>13.285714285714286</v>
      </c>
      <c r="F154" s="7">
        <v>11.714285714285714</v>
      </c>
      <c r="G154" s="7">
        <v>10.957142857142856</v>
      </c>
      <c r="H154" s="15">
        <v>5.2085111983736052</v>
      </c>
      <c r="I154" s="15">
        <v>9.8059568887259783</v>
      </c>
      <c r="J154" s="15">
        <v>8.9379260475387099</v>
      </c>
      <c r="K154" s="15">
        <v>7.7734201972886083</v>
      </c>
      <c r="L154" s="15">
        <v>8.6788865504646466</v>
      </c>
      <c r="M154" s="15">
        <v>6.7267314836972423</v>
      </c>
      <c r="N154" s="15">
        <v>9.2237388215412839</v>
      </c>
      <c r="O154" s="15">
        <v>8.2916621387109597</v>
      </c>
      <c r="P154" s="15">
        <v>8.0612138298725</v>
      </c>
      <c r="Q154" s="15">
        <v>9.80322068321132</v>
      </c>
      <c r="R154" s="15">
        <v>10.098277665104922</v>
      </c>
      <c r="S154" s="15">
        <v>8.1435837001749238</v>
      </c>
      <c r="T154" s="15">
        <v>8.6015161812859198</v>
      </c>
      <c r="U154" s="15">
        <v>8.0074253349616349</v>
      </c>
      <c r="V154" s="15">
        <v>12.364043667185459</v>
      </c>
      <c r="W154" s="15">
        <v>15.801116053108387</v>
      </c>
      <c r="Y154" s="15">
        <f t="shared" si="20"/>
        <v>195.58924481795762</v>
      </c>
      <c r="Z154">
        <f t="shared" si="21"/>
        <v>3.1609408745857279</v>
      </c>
    </row>
    <row r="155" spans="1:27" x14ac:dyDescent="0.25">
      <c r="A155" t="s">
        <v>51</v>
      </c>
      <c r="D155" s="5">
        <v>14.007905540791034</v>
      </c>
      <c r="E155" s="14">
        <v>15.247928962999936</v>
      </c>
      <c r="F155" s="14">
        <v>17.878700182843733</v>
      </c>
      <c r="G155" s="14">
        <v>12.825767560192332</v>
      </c>
      <c r="H155" s="15">
        <v>10.308450164791568</v>
      </c>
      <c r="I155" s="15">
        <v>7.8135203422055124</v>
      </c>
      <c r="J155" s="15">
        <v>9.9130225654048871</v>
      </c>
      <c r="K155" s="15">
        <v>9.5914321426723141</v>
      </c>
      <c r="L155" s="15">
        <v>8.8866756816102104</v>
      </c>
      <c r="M155" s="15">
        <v>8.7292147245715732</v>
      </c>
      <c r="N155" s="15">
        <v>7.7551555862509458</v>
      </c>
      <c r="O155" s="15">
        <v>9.3469623959368153</v>
      </c>
      <c r="P155" s="15">
        <v>6.9642381503634851</v>
      </c>
      <c r="Q155" s="15">
        <v>7.1366306781475073</v>
      </c>
      <c r="R155" s="15">
        <v>7.3448820870751188</v>
      </c>
      <c r="S155" s="15">
        <v>8.5050048331638717</v>
      </c>
      <c r="T155" s="15">
        <v>12.168876736457316</v>
      </c>
      <c r="U155" s="15">
        <v>7.6277969935448064</v>
      </c>
      <c r="V155" s="15">
        <v>10.249052805614481</v>
      </c>
      <c r="W155" s="15">
        <v>13.510302569426562</v>
      </c>
      <c r="Y155" s="15">
        <f t="shared" si="20"/>
        <v>205.81152070406401</v>
      </c>
      <c r="Z155">
        <f t="shared" si="21"/>
        <v>6.9912441544740416</v>
      </c>
    </row>
    <row r="156" spans="1:27" x14ac:dyDescent="0.25">
      <c r="A156" t="s">
        <v>52</v>
      </c>
      <c r="D156" s="5">
        <v>16.825232565536417</v>
      </c>
      <c r="E156" s="14">
        <v>12.244576428159537</v>
      </c>
      <c r="F156" s="14">
        <v>14.160339003832387</v>
      </c>
      <c r="G156" s="14">
        <v>11.895550496140867</v>
      </c>
      <c r="H156" s="15">
        <v>9.5626430591234346</v>
      </c>
      <c r="I156" s="15">
        <v>11.354656957787585</v>
      </c>
      <c r="J156" s="15">
        <v>9.597826834756761</v>
      </c>
      <c r="K156" s="15">
        <v>9.4576950454248703</v>
      </c>
      <c r="L156" s="15">
        <v>8.4630236631790066</v>
      </c>
      <c r="M156" s="15">
        <v>9.7182027549712249</v>
      </c>
      <c r="N156" s="15">
        <v>10.459641597889547</v>
      </c>
      <c r="O156" s="15">
        <v>9.7539755963404922</v>
      </c>
      <c r="P156" s="15">
        <v>9.6379746659459649</v>
      </c>
      <c r="Q156" s="15">
        <v>7.9946542705004768</v>
      </c>
      <c r="R156" s="15">
        <v>7.8885645523581713</v>
      </c>
      <c r="S156" s="15">
        <v>10.144084437436703</v>
      </c>
      <c r="T156" s="15">
        <v>10.972985290872213</v>
      </c>
      <c r="U156" s="15">
        <v>11.767745702942133</v>
      </c>
      <c r="V156" s="15">
        <v>11.608612520716727</v>
      </c>
      <c r="W156" s="15">
        <v>12.589104221715823</v>
      </c>
      <c r="Y156" s="15">
        <f t="shared" si="20"/>
        <v>216.09708966563031</v>
      </c>
      <c r="Z156">
        <f t="shared" si="21"/>
        <v>1.8115454870937193</v>
      </c>
    </row>
    <row r="157" spans="1:27" x14ac:dyDescent="0.25">
      <c r="A157" t="s">
        <v>53</v>
      </c>
      <c r="D157" s="5">
        <v>14.477564483453691</v>
      </c>
      <c r="E157" s="14">
        <v>14.892109645511699</v>
      </c>
      <c r="F157" s="14">
        <v>14.233386372426766</v>
      </c>
      <c r="G157" s="14">
        <v>12.98611668730938</v>
      </c>
      <c r="H157" s="15">
        <v>10.009560865316146</v>
      </c>
      <c r="I157" s="15">
        <v>8.7252904226059549</v>
      </c>
      <c r="J157" s="15">
        <v>8.6169730504849298</v>
      </c>
      <c r="K157" s="15">
        <v>8.7507706437801787</v>
      </c>
      <c r="L157" s="15">
        <v>8.1764593113643826</v>
      </c>
      <c r="M157" s="15">
        <v>12.237583817168842</v>
      </c>
      <c r="N157" s="15">
        <v>12.085747806834283</v>
      </c>
      <c r="O157" s="15">
        <v>9.7450564141572329</v>
      </c>
      <c r="P157" s="15">
        <v>11.443023520330783</v>
      </c>
      <c r="Q157" s="15">
        <v>12.159012346589163</v>
      </c>
      <c r="R157" s="15">
        <v>11.416184587604704</v>
      </c>
      <c r="S157" s="15">
        <v>10.852198417709653</v>
      </c>
      <c r="T157" s="15">
        <v>12.021405439672662</v>
      </c>
      <c r="U157" s="15">
        <v>10.322665923601473</v>
      </c>
      <c r="V157" s="15">
        <v>11.164862614103155</v>
      </c>
      <c r="W157" s="15">
        <v>12.083580861849091</v>
      </c>
      <c r="Y157" s="15">
        <f t="shared" si="20"/>
        <v>226.39955323187417</v>
      </c>
      <c r="Z157">
        <f t="shared" si="21"/>
        <v>3.799250855935687</v>
      </c>
    </row>
    <row r="158" spans="1:27" x14ac:dyDescent="0.25">
      <c r="A158" t="s">
        <v>54</v>
      </c>
      <c r="D158" s="5">
        <v>15.431429286351769</v>
      </c>
      <c r="E158" s="14">
        <v>17.671835318937269</v>
      </c>
      <c r="F158" s="14">
        <v>14.342720942737625</v>
      </c>
      <c r="G158" s="14">
        <v>12.967256031683627</v>
      </c>
      <c r="H158" s="15">
        <v>12.644978262877457</v>
      </c>
      <c r="I158" s="15">
        <v>14.045021662345272</v>
      </c>
      <c r="J158" s="15">
        <v>11.28616557163215</v>
      </c>
      <c r="K158" s="15">
        <v>9.2841430309973383</v>
      </c>
      <c r="L158" s="15">
        <v>8.1668657528624617</v>
      </c>
      <c r="M158" s="15">
        <v>10.080549690487091</v>
      </c>
      <c r="N158" s="15">
        <v>9.7550831161484641</v>
      </c>
      <c r="O158" s="15">
        <v>9.8088032497419313</v>
      </c>
      <c r="P158" s="15">
        <v>9.3431637839938357</v>
      </c>
      <c r="Q158" s="15">
        <v>9.4297045434151947</v>
      </c>
      <c r="R158" s="15">
        <v>8.0695268828837659</v>
      </c>
      <c r="S158" s="15">
        <v>12.181893223634278</v>
      </c>
      <c r="T158" s="15">
        <v>11.898242134301213</v>
      </c>
      <c r="U158" s="15">
        <v>11.297166293260501</v>
      </c>
      <c r="V158" s="15">
        <v>8.3757912927037097</v>
      </c>
      <c r="W158" s="15">
        <v>11.93114952860574</v>
      </c>
      <c r="Y158" s="15">
        <f t="shared" si="20"/>
        <v>228.01148959960071</v>
      </c>
      <c r="Z158">
        <f t="shared" si="21"/>
        <v>4.5186837030266602</v>
      </c>
    </row>
    <row r="159" spans="1:27" x14ac:dyDescent="0.25">
      <c r="A159" t="s">
        <v>55</v>
      </c>
      <c r="D159" s="5">
        <v>14.172088147972971</v>
      </c>
      <c r="E159" s="14">
        <v>13.69975257225572</v>
      </c>
      <c r="F159" s="14">
        <v>16.107605665799944</v>
      </c>
      <c r="G159" s="14">
        <v>14.414277010844661</v>
      </c>
      <c r="H159" s="15">
        <v>12.795133976059958</v>
      </c>
      <c r="I159" s="15">
        <v>11.787989688231225</v>
      </c>
      <c r="J159" s="15">
        <v>12.141099874664528</v>
      </c>
      <c r="K159" s="15">
        <v>10.925139490952702</v>
      </c>
      <c r="L159" s="15">
        <v>10.692687699954082</v>
      </c>
      <c r="M159" s="15">
        <v>8.351216611071381</v>
      </c>
      <c r="N159" s="15">
        <v>10.544100339090551</v>
      </c>
      <c r="O159" s="15">
        <v>7.723801038829671</v>
      </c>
      <c r="P159" s="15">
        <v>8.9993298003020996</v>
      </c>
      <c r="Q159" s="15">
        <v>10.349707952754171</v>
      </c>
      <c r="R159" s="15">
        <v>12.932554946142798</v>
      </c>
      <c r="S159" s="15">
        <v>11.391061755348849</v>
      </c>
      <c r="T159" s="15">
        <v>7.2652268789070504</v>
      </c>
      <c r="U159" s="15">
        <v>11.862044370314454</v>
      </c>
      <c r="V159" s="15">
        <v>15.470937859486455</v>
      </c>
      <c r="W159" s="15">
        <v>13.266783032049245</v>
      </c>
      <c r="Y159" s="15">
        <f t="shared" si="20"/>
        <v>234.89253871103247</v>
      </c>
      <c r="Z159">
        <f t="shared" si="21"/>
        <v>3.8908336593790649</v>
      </c>
    </row>
    <row r="160" spans="1:27" x14ac:dyDescent="0.25">
      <c r="A160" t="s">
        <v>56</v>
      </c>
      <c r="D160" s="5">
        <v>13.560239740263025</v>
      </c>
      <c r="E160" s="5">
        <v>15.4</v>
      </c>
      <c r="F160" s="5">
        <v>14.6</v>
      </c>
      <c r="G160" s="5">
        <v>13.8</v>
      </c>
      <c r="H160" s="15">
        <v>13.654006336633264</v>
      </c>
      <c r="I160" s="15">
        <v>13.14957991591854</v>
      </c>
      <c r="J160" s="15">
        <v>11.544313458937401</v>
      </c>
      <c r="K160" s="15">
        <v>11.59182950370545</v>
      </c>
      <c r="L160" s="15">
        <v>5.5661209858375802</v>
      </c>
      <c r="M160" s="15">
        <v>8.3768779074455075</v>
      </c>
      <c r="N160" s="15">
        <v>9.0633270337707437</v>
      </c>
      <c r="O160" s="15">
        <v>11.185226276630081</v>
      </c>
      <c r="P160" s="15">
        <v>9.0243211295530514</v>
      </c>
      <c r="Q160" s="15">
        <v>9.6346311160708265</v>
      </c>
      <c r="R160" s="15">
        <v>10.094541698352234</v>
      </c>
      <c r="S160" s="15">
        <v>11.856230489472642</v>
      </c>
      <c r="T160" s="15">
        <v>14.148324710254069</v>
      </c>
      <c r="U160" s="15">
        <v>13.409862359095943</v>
      </c>
      <c r="V160" s="15">
        <v>11.854210457265966</v>
      </c>
      <c r="W160" s="15">
        <v>13.124371730984892</v>
      </c>
      <c r="Y160" s="15">
        <f t="shared" si="20"/>
        <v>234.63801485019121</v>
      </c>
      <c r="Z160">
        <f t="shared" si="21"/>
        <v>3.3388596455892001</v>
      </c>
      <c r="AA160" s="15"/>
    </row>
    <row r="161" spans="1:27" x14ac:dyDescent="0.25">
      <c r="A161" t="s">
        <v>57</v>
      </c>
      <c r="D161" s="5">
        <v>14.014285714285714</v>
      </c>
      <c r="E161" s="5">
        <v>14.6</v>
      </c>
      <c r="F161" s="5">
        <v>15.2</v>
      </c>
      <c r="G161" s="5">
        <v>13.6</v>
      </c>
      <c r="H161" s="15">
        <v>13.57258004890123</v>
      </c>
      <c r="I161" s="15">
        <v>13.262461374655345</v>
      </c>
      <c r="J161" s="15">
        <v>11.557435959021005</v>
      </c>
      <c r="K161" s="15">
        <v>11.674053335151118</v>
      </c>
      <c r="L161" s="15">
        <v>9.0648375522253168</v>
      </c>
      <c r="M161" s="15">
        <v>9.2197134770046674</v>
      </c>
      <c r="N161" s="15">
        <v>9.2918608931219637</v>
      </c>
      <c r="O161" s="15">
        <v>8.8973774852243324</v>
      </c>
      <c r="P161" s="15">
        <v>9.2628340103082962</v>
      </c>
      <c r="Q161" s="15">
        <v>9.1302564050005675</v>
      </c>
      <c r="R161" s="15">
        <v>8.4441692542939233</v>
      </c>
      <c r="S161" s="15">
        <v>9.656319238775593</v>
      </c>
      <c r="T161" s="15">
        <v>10.092907997913018</v>
      </c>
      <c r="U161" s="15">
        <v>9.6141081681332778</v>
      </c>
      <c r="V161" s="15">
        <v>11.88366413711468</v>
      </c>
      <c r="W161" s="15">
        <v>14.011939369614034</v>
      </c>
      <c r="Y161" s="15">
        <f t="shared" si="20"/>
        <v>226.05080442074407</v>
      </c>
      <c r="Z161">
        <f t="shared" si="21"/>
        <v>3.1831728205692196</v>
      </c>
      <c r="AA161" s="15"/>
    </row>
    <row r="162" spans="1:27" x14ac:dyDescent="0.25">
      <c r="A162" t="s">
        <v>58</v>
      </c>
      <c r="D162" s="5">
        <v>15.342857142857143</v>
      </c>
      <c r="E162" s="14">
        <v>17.357142857142854</v>
      </c>
      <c r="F162" s="14">
        <v>12.142857142857142</v>
      </c>
      <c r="G162" s="14">
        <v>9.7571428571428562</v>
      </c>
      <c r="H162" s="15">
        <v>10.679028389616686</v>
      </c>
      <c r="I162" s="15">
        <v>10.426637161567747</v>
      </c>
      <c r="J162" s="15">
        <v>9.5071658177182226</v>
      </c>
      <c r="K162" s="15">
        <v>10.088870925082496</v>
      </c>
      <c r="L162" s="15">
        <v>9.0266234026025121</v>
      </c>
      <c r="M162" s="15">
        <v>9.6149150999128974</v>
      </c>
      <c r="N162" s="15">
        <v>9.846383422543239</v>
      </c>
      <c r="O162" s="15">
        <v>9.6771812467034497</v>
      </c>
      <c r="P162" s="15">
        <v>7.5740879434955231</v>
      </c>
      <c r="Q162" s="15">
        <v>8.5810312539789102</v>
      </c>
      <c r="R162" s="15">
        <v>8.0122483541973093</v>
      </c>
      <c r="S162" s="15">
        <v>8.5662600575019034</v>
      </c>
      <c r="T162" s="15">
        <v>9.9298504450056271</v>
      </c>
      <c r="U162" s="15">
        <v>10.335793333162389</v>
      </c>
      <c r="V162" s="15">
        <v>12.751147081711171</v>
      </c>
      <c r="W162" s="15">
        <v>13.861967522205475</v>
      </c>
      <c r="Y162" s="15">
        <f t="shared" si="20"/>
        <v>213.07919145700558</v>
      </c>
      <c r="Z162">
        <f t="shared" si="21"/>
        <v>3.4385968365361674</v>
      </c>
      <c r="AA162" s="15"/>
    </row>
    <row r="163" spans="1:27" x14ac:dyDescent="0.25">
      <c r="A163" t="s">
        <v>59</v>
      </c>
      <c r="D163" s="5">
        <v>14.715266416145445</v>
      </c>
      <c r="E163" s="14">
        <v>13.697208849232974</v>
      </c>
      <c r="F163" s="14">
        <v>13.90799803100594</v>
      </c>
      <c r="G163" s="14">
        <v>13.908277664194737</v>
      </c>
      <c r="H163" s="15">
        <v>13.082904059749405</v>
      </c>
      <c r="I163" s="15">
        <v>16.134582526948897</v>
      </c>
      <c r="J163" s="15">
        <v>14.427548842449456</v>
      </c>
      <c r="K163" s="15">
        <v>12.496910157192159</v>
      </c>
      <c r="L163" s="15">
        <v>10.297488837321062</v>
      </c>
      <c r="M163" s="15">
        <v>9.4430138342557637</v>
      </c>
      <c r="N163" s="15">
        <v>12.202623740636181</v>
      </c>
      <c r="O163" s="15">
        <v>13.169989475454633</v>
      </c>
      <c r="P163" s="15">
        <v>10.528415691708904</v>
      </c>
      <c r="Q163" s="15">
        <v>9.1989241147772187</v>
      </c>
      <c r="R163" s="15">
        <v>9.8062114993125444</v>
      </c>
      <c r="S163" s="15">
        <v>9.6306670194487953</v>
      </c>
      <c r="T163" s="15">
        <v>10.719186178025691</v>
      </c>
      <c r="U163" s="15">
        <v>12.841767796022751</v>
      </c>
      <c r="V163" s="15">
        <v>10.977386368740691</v>
      </c>
      <c r="W163" s="15">
        <v>10.862965644011252</v>
      </c>
      <c r="Y163" s="15">
        <f t="shared" si="20"/>
        <v>242.04933674663451</v>
      </c>
      <c r="Z163">
        <f t="shared" si="21"/>
        <v>-1.5208639849342547</v>
      </c>
      <c r="AA163" s="15"/>
    </row>
    <row r="164" spans="1:27" x14ac:dyDescent="0.25">
      <c r="A164" t="s">
        <v>60</v>
      </c>
      <c r="D164" s="5">
        <v>11.466407913606625</v>
      </c>
      <c r="E164" s="14">
        <v>14.749441368524435</v>
      </c>
      <c r="F164" s="14">
        <v>18.127400523733279</v>
      </c>
      <c r="G164" s="14">
        <v>13.090422104345679</v>
      </c>
      <c r="H164" s="15">
        <v>12.188156956567598</v>
      </c>
      <c r="I164" s="15">
        <v>11.707824238936789</v>
      </c>
      <c r="J164" s="15">
        <v>13.633622563910919</v>
      </c>
      <c r="K164" s="15">
        <v>14.719756568757465</v>
      </c>
      <c r="L164" s="15">
        <v>10.686736449814541</v>
      </c>
      <c r="M164" s="15">
        <v>10.905315029403562</v>
      </c>
      <c r="N164" s="15">
        <v>9.5740377137761232</v>
      </c>
      <c r="O164" s="15">
        <v>9.5094810574879087</v>
      </c>
      <c r="P164" s="15">
        <v>10.326709344127394</v>
      </c>
      <c r="Q164" s="15">
        <v>11.124835283992894</v>
      </c>
      <c r="R164" s="15">
        <v>12.999651594769528</v>
      </c>
      <c r="S164" s="15">
        <v>8.7320246468622109</v>
      </c>
      <c r="T164" s="15">
        <v>10.467859990212515</v>
      </c>
      <c r="U164" s="15">
        <v>11.145680779978708</v>
      </c>
      <c r="V164" s="15">
        <v>12.145837475908385</v>
      </c>
      <c r="W164" s="15">
        <v>14.388068828779028</v>
      </c>
      <c r="Y164" s="15">
        <f t="shared" si="20"/>
        <v>241.68927043349561</v>
      </c>
      <c r="Z164">
        <f t="shared" si="21"/>
        <v>2.795390034273058</v>
      </c>
      <c r="AA164" s="15"/>
    </row>
    <row r="165" spans="1:27" x14ac:dyDescent="0.25">
      <c r="A165" t="s">
        <v>61</v>
      </c>
      <c r="D165" s="5">
        <v>14.612670082975395</v>
      </c>
      <c r="E165" s="14">
        <v>15.709902624079902</v>
      </c>
      <c r="F165" s="14">
        <v>20.163751844191204</v>
      </c>
      <c r="G165" s="14">
        <v>16.804632893454347</v>
      </c>
      <c r="H165" s="15">
        <v>16.389531746765876</v>
      </c>
      <c r="I165" s="15">
        <v>11.815056220947364</v>
      </c>
      <c r="J165" s="15">
        <v>9.821041661559871</v>
      </c>
      <c r="K165" s="15">
        <v>8.9506180603312533</v>
      </c>
      <c r="L165" s="15">
        <v>11.893698862624177</v>
      </c>
      <c r="M165" s="15">
        <v>6.9324826153666956</v>
      </c>
      <c r="N165" s="15">
        <v>8.3025413541142274</v>
      </c>
      <c r="O165" s="15">
        <v>8.935651042766164</v>
      </c>
      <c r="P165" s="15">
        <v>9.5080812819854827</v>
      </c>
      <c r="Q165" s="15">
        <v>10.016918008404991</v>
      </c>
      <c r="R165" s="15">
        <v>12.530424703766386</v>
      </c>
      <c r="S165" s="15">
        <v>13.078248747887105</v>
      </c>
      <c r="T165" s="15">
        <v>9.86949937838531</v>
      </c>
      <c r="U165" s="15">
        <v>11.451635926161455</v>
      </c>
      <c r="V165" s="15">
        <v>13.527124565608117</v>
      </c>
      <c r="W165" s="15">
        <v>12.198202205960355</v>
      </c>
      <c r="Y165" s="15">
        <f t="shared" si="20"/>
        <v>242.51171382733565</v>
      </c>
      <c r="Z165">
        <f t="shared" si="21"/>
        <v>7.8125164352053593</v>
      </c>
    </row>
    <row r="166" spans="1:27" x14ac:dyDescent="0.25">
      <c r="A166" t="s">
        <v>62</v>
      </c>
      <c r="D166" s="5">
        <v>14.44253097720461</v>
      </c>
      <c r="E166" s="14">
        <v>15.065677391813404</v>
      </c>
      <c r="F166" s="14">
        <v>14.181441394892122</v>
      </c>
      <c r="G166" s="14">
        <v>13.043145555338777</v>
      </c>
      <c r="H166" s="15">
        <v>15.93041053046676</v>
      </c>
      <c r="I166" s="15">
        <v>15.663799431191903</v>
      </c>
      <c r="J166" s="15">
        <v>10.332188409048543</v>
      </c>
      <c r="K166" s="15">
        <v>11.702991807163869</v>
      </c>
      <c r="L166" s="15">
        <v>10.181976835651342</v>
      </c>
      <c r="M166" s="15">
        <v>11.282007719498148</v>
      </c>
      <c r="N166" s="15">
        <v>8.13064529291354</v>
      </c>
      <c r="O166" s="15">
        <v>8.7059723082777065</v>
      </c>
      <c r="P166" s="15">
        <v>9.0299149601350326</v>
      </c>
      <c r="Q166" s="15">
        <v>8.9511442372285082</v>
      </c>
      <c r="R166" s="15">
        <v>6.4998722637761164</v>
      </c>
      <c r="S166" s="15">
        <v>9.3121494165849548</v>
      </c>
      <c r="T166" s="15">
        <v>11.057376177543116</v>
      </c>
      <c r="U166" s="15">
        <v>10.753532150329178</v>
      </c>
      <c r="V166" s="15">
        <v>9.9902988203431189</v>
      </c>
      <c r="W166" s="15">
        <v>9.230552333239503</v>
      </c>
      <c r="Y166" s="15">
        <f t="shared" si="20"/>
        <v>223.48762801264027</v>
      </c>
      <c r="Z166">
        <f t="shared" si="21"/>
        <v>2.3215040990656037</v>
      </c>
    </row>
    <row r="167" spans="1:27" x14ac:dyDescent="0.25">
      <c r="D167" s="5"/>
      <c r="E167" s="14"/>
      <c r="F167" s="14"/>
      <c r="G167" s="14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Y167" s="15"/>
    </row>
    <row r="168" spans="1:27" x14ac:dyDescent="0.25">
      <c r="A168" t="s">
        <v>63</v>
      </c>
      <c r="D168" s="5">
        <v>13.082442931247584</v>
      </c>
      <c r="E168" s="14">
        <v>12.938515844217994</v>
      </c>
      <c r="F168" s="14">
        <v>10.498417116356222</v>
      </c>
      <c r="G168" s="14">
        <v>11.153062376237076</v>
      </c>
      <c r="H168" s="15">
        <v>10.271896950956521</v>
      </c>
      <c r="I168" s="15">
        <v>10.99104445525178</v>
      </c>
      <c r="J168" s="15">
        <v>9.5727783181362351</v>
      </c>
      <c r="K168" s="15">
        <v>10.49999008231085</v>
      </c>
      <c r="L168" s="15">
        <v>9.2855753278781687</v>
      </c>
      <c r="M168" s="15">
        <v>9.2892038740830358</v>
      </c>
      <c r="N168" s="15">
        <v>9.920021229382737</v>
      </c>
      <c r="O168" s="15">
        <v>9.8427885189912807</v>
      </c>
      <c r="P168" s="15">
        <v>9.1727273197675192</v>
      </c>
      <c r="Q168" s="15">
        <v>9.3315695402779522</v>
      </c>
      <c r="R168" s="15">
        <v>9.9578053171828937</v>
      </c>
      <c r="S168" s="15">
        <v>10.621904744071509</v>
      </c>
      <c r="T168" s="15">
        <v>10.842356794424736</v>
      </c>
      <c r="U168" s="15">
        <v>10.746995870883454</v>
      </c>
      <c r="V168" s="15">
        <v>11.80847893350521</v>
      </c>
      <c r="W168" s="15">
        <v>13.221172042777356</v>
      </c>
      <c r="Y168" s="15">
        <f t="shared" si="20"/>
        <v>213.04874758794014</v>
      </c>
      <c r="Z168">
        <f>SUMPRODUCT($D$172:$S$172,D168:S168)</f>
        <v>0.12794752845168134</v>
      </c>
    </row>
    <row r="169" spans="1:27" x14ac:dyDescent="0.25">
      <c r="A169" t="s">
        <v>307</v>
      </c>
      <c r="D169" s="5">
        <v>17.328571428571426</v>
      </c>
      <c r="E169" s="5">
        <v>13.6</v>
      </c>
      <c r="F169" s="5">
        <v>11.4</v>
      </c>
      <c r="G169" s="5">
        <v>11.1</v>
      </c>
      <c r="H169" s="15">
        <v>12.77142857142857</v>
      </c>
      <c r="I169" s="15">
        <v>12.614285714285716</v>
      </c>
      <c r="J169" s="15">
        <v>10.799999999999999</v>
      </c>
      <c r="K169" s="15">
        <v>10.428571428571429</v>
      </c>
      <c r="L169" s="15">
        <v>10.137500000000001</v>
      </c>
      <c r="M169" s="15">
        <v>12.357142857142858</v>
      </c>
      <c r="N169" s="15">
        <v>10.114285714285714</v>
      </c>
      <c r="O169" s="15">
        <v>10.828571428571427</v>
      </c>
      <c r="P169" s="15">
        <v>14.2</v>
      </c>
      <c r="Q169" s="15">
        <v>11.7</v>
      </c>
      <c r="R169" s="15">
        <v>11.5</v>
      </c>
      <c r="S169" s="15">
        <v>11.6</v>
      </c>
      <c r="T169" s="15">
        <v>11.2</v>
      </c>
      <c r="U169" s="15">
        <v>10.8</v>
      </c>
      <c r="V169" s="15">
        <v>11.3</v>
      </c>
      <c r="W169" s="15">
        <v>12.5</v>
      </c>
      <c r="Y169" s="15">
        <f t="shared" si="20"/>
        <v>238.28035714285713</v>
      </c>
      <c r="Z169">
        <f>SUMPRODUCT($D$172:$S$172,D169:S169)</f>
        <v>-1.9508562891519823</v>
      </c>
    </row>
    <row r="170" spans="1:27" x14ac:dyDescent="0.25">
      <c r="A170" t="s">
        <v>308</v>
      </c>
      <c r="D170" s="5">
        <v>14.420540639476293</v>
      </c>
      <c r="E170" s="5">
        <v>12.6</v>
      </c>
      <c r="F170" s="5">
        <v>11.5</v>
      </c>
      <c r="G170" s="5">
        <v>12.4</v>
      </c>
      <c r="H170" s="14">
        <v>12.6</v>
      </c>
      <c r="I170" s="14">
        <v>13.2</v>
      </c>
      <c r="J170" s="14">
        <v>8.6</v>
      </c>
      <c r="K170" s="14">
        <v>9.6</v>
      </c>
      <c r="L170" s="14">
        <v>9.4</v>
      </c>
      <c r="M170" s="14">
        <v>10.199999999999999</v>
      </c>
      <c r="N170" s="14">
        <v>10.8</v>
      </c>
      <c r="O170" s="14">
        <v>9.8000000000000007</v>
      </c>
      <c r="P170" s="14">
        <v>9.4230117474100297</v>
      </c>
      <c r="Q170" s="14">
        <v>9.5087617644373985</v>
      </c>
      <c r="R170" s="14">
        <v>9.8155701756433267</v>
      </c>
      <c r="S170" s="14">
        <v>9.1463177406471239</v>
      </c>
      <c r="T170" s="14">
        <v>10.302451152789212</v>
      </c>
      <c r="U170" s="14">
        <v>10.984337519324281</v>
      </c>
      <c r="V170" s="14">
        <v>11.939508765868732</v>
      </c>
      <c r="W170" s="14">
        <v>13.281235341152447</v>
      </c>
      <c r="Y170" s="15">
        <f t="shared" si="20"/>
        <v>219.52173484674887</v>
      </c>
      <c r="Z170">
        <f>SUMPRODUCT($D$172:$S$172,D170:S170)</f>
        <v>0.34620353651665525</v>
      </c>
    </row>
    <row r="171" spans="1:27" x14ac:dyDescent="0.25">
      <c r="A171" t="s">
        <v>670</v>
      </c>
      <c r="D171" s="15">
        <v>14.879568547093198</v>
      </c>
      <c r="E171" s="15">
        <v>16.543501367730261</v>
      </c>
      <c r="F171" s="15">
        <v>15.59129531370573</v>
      </c>
      <c r="G171" s="15">
        <v>16.461603212101696</v>
      </c>
      <c r="H171" s="15">
        <v>13.511124956490383</v>
      </c>
      <c r="I171" s="15">
        <v>11.608868521406402</v>
      </c>
      <c r="J171" s="15">
        <v>9.1190437953093202</v>
      </c>
      <c r="K171" s="15">
        <v>8.0756414012160427</v>
      </c>
      <c r="L171" s="15">
        <v>8.5035157869940452</v>
      </c>
      <c r="M171" s="15">
        <v>9.419007778332654</v>
      </c>
      <c r="N171" s="15">
        <v>9.898227509470571</v>
      </c>
      <c r="O171" s="15">
        <v>9.7957732072066097</v>
      </c>
      <c r="P171" s="15">
        <v>9.097414693766444</v>
      </c>
      <c r="Q171" s="15">
        <v>9.1362107224568803</v>
      </c>
      <c r="R171" s="15">
        <v>10.314541184115321</v>
      </c>
      <c r="S171" s="15">
        <v>10.253291699991374</v>
      </c>
      <c r="T171" s="15">
        <v>10.835109896129341</v>
      </c>
      <c r="U171" s="15">
        <v>11.399648302945735</v>
      </c>
      <c r="V171" s="15">
        <v>11.803605534194549</v>
      </c>
      <c r="W171" s="15">
        <v>12.902214526646064</v>
      </c>
      <c r="Y171" s="15">
        <f t="shared" ref="Y171" si="22">SUM(D171:W171)</f>
        <v>229.14920795730265</v>
      </c>
      <c r="Z171">
        <f>SUMPRODUCT($D$172:$S$172,D171:S171)</f>
        <v>6.6048174168885492</v>
      </c>
    </row>
    <row r="172" spans="1:27" x14ac:dyDescent="0.25">
      <c r="A172" s="2" t="s">
        <v>64</v>
      </c>
      <c r="D172" s="3">
        <f>CORREL($B$2:$B$21,D147:D166)</f>
        <v>-2.8252862302744517E-2</v>
      </c>
      <c r="E172" s="3">
        <f t="shared" ref="E172:W172" si="23">CORREL($B$2:$B$21,E147:E166)</f>
        <v>0.56684806056335013</v>
      </c>
      <c r="F172" s="3">
        <f t="shared" si="23"/>
        <v>0.46558050443909699</v>
      </c>
      <c r="G172" s="3">
        <f t="shared" si="23"/>
        <v>0.34298953290809259</v>
      </c>
      <c r="H172" s="3">
        <f t="shared" si="23"/>
        <v>-8.5153288142870542E-2</v>
      </c>
      <c r="I172" s="3">
        <f t="shared" si="23"/>
        <v>-0.17072720970652461</v>
      </c>
      <c r="J172" s="3">
        <f t="shared" si="23"/>
        <v>-0.22149466297758205</v>
      </c>
      <c r="K172" s="3">
        <f t="shared" si="23"/>
        <v>-0.18184917566394077</v>
      </c>
      <c r="L172" s="3">
        <f t="shared" si="23"/>
        <v>-0.16911847967677598</v>
      </c>
      <c r="M172" s="3">
        <f t="shared" si="23"/>
        <v>-7.5776003265238617E-2</v>
      </c>
      <c r="N172" s="3">
        <f t="shared" si="23"/>
        <v>-5.802303131257442E-2</v>
      </c>
      <c r="O172" s="3">
        <f t="shared" si="23"/>
        <v>-0.39866292024838834</v>
      </c>
      <c r="P172" s="3">
        <f t="shared" si="23"/>
        <v>-0.23922027362944659</v>
      </c>
      <c r="Q172" s="3">
        <f t="shared" si="23"/>
        <v>-1.7471968837065247E-3</v>
      </c>
      <c r="R172" s="3">
        <f t="shared" si="23"/>
        <v>-3.0076145526867933E-2</v>
      </c>
      <c r="S172" s="3">
        <f t="shared" si="23"/>
        <v>4.8479427029321114E-2</v>
      </c>
      <c r="T172" s="3">
        <f t="shared" si="23"/>
        <v>-0.26681538697354856</v>
      </c>
      <c r="U172" s="3">
        <f t="shared" si="23"/>
        <v>-6.2541511833179284E-2</v>
      </c>
      <c r="V172" s="3">
        <f t="shared" si="23"/>
        <v>-0.37712529526337507</v>
      </c>
      <c r="W172" s="3">
        <f t="shared" si="23"/>
        <v>-0.40244469245679743</v>
      </c>
    </row>
    <row r="175" spans="1:27" x14ac:dyDescent="0.25">
      <c r="D175" t="s">
        <v>8</v>
      </c>
      <c r="E175" t="s">
        <v>9</v>
      </c>
      <c r="F175" t="s">
        <v>10</v>
      </c>
      <c r="G175" t="s">
        <v>11</v>
      </c>
      <c r="H175" t="s">
        <v>12</v>
      </c>
      <c r="I175" t="s">
        <v>13</v>
      </c>
      <c r="J175" t="s">
        <v>14</v>
      </c>
      <c r="K175" t="s">
        <v>15</v>
      </c>
      <c r="L175" t="s">
        <v>339</v>
      </c>
      <c r="M175" t="s">
        <v>379</v>
      </c>
      <c r="N175" t="s">
        <v>380</v>
      </c>
      <c r="O175" t="s">
        <v>381</v>
      </c>
      <c r="P175" t="s">
        <v>470</v>
      </c>
      <c r="Q175" t="s">
        <v>471</v>
      </c>
      <c r="R175" t="s">
        <v>472</v>
      </c>
      <c r="S175" t="s">
        <v>473</v>
      </c>
      <c r="T175" t="s">
        <v>582</v>
      </c>
      <c r="U175" t="s">
        <v>583</v>
      </c>
      <c r="V175" t="s">
        <v>584</v>
      </c>
      <c r="W175" t="s">
        <v>585</v>
      </c>
      <c r="Y175" t="s">
        <v>91</v>
      </c>
      <c r="Z175" t="s">
        <v>92</v>
      </c>
    </row>
    <row r="176" spans="1:27" x14ac:dyDescent="0.25">
      <c r="A176" t="s">
        <v>43</v>
      </c>
      <c r="D176" s="5">
        <v>20.502112541752833</v>
      </c>
      <c r="E176" s="7">
        <v>7.7142857142857153</v>
      </c>
      <c r="F176" s="7">
        <v>11.12857142857143</v>
      </c>
      <c r="G176" s="7">
        <v>12.171428571428573</v>
      </c>
      <c r="H176" s="15">
        <v>16.90424304398929</v>
      </c>
      <c r="I176" s="15">
        <v>17.806994721344015</v>
      </c>
      <c r="J176" s="15">
        <v>14.382743659669391</v>
      </c>
      <c r="K176" s="15">
        <v>15.450196235442846</v>
      </c>
      <c r="L176" s="15">
        <v>12.58974864679654</v>
      </c>
      <c r="M176" s="15">
        <v>14.651165498819504</v>
      </c>
      <c r="N176" s="15">
        <v>14.833392117671369</v>
      </c>
      <c r="O176" s="15">
        <v>12.639334331921377</v>
      </c>
      <c r="P176" s="15">
        <v>11.925630464931732</v>
      </c>
      <c r="Q176" s="15">
        <v>12.283541415172747</v>
      </c>
      <c r="R176" s="15">
        <v>10.347716939853608</v>
      </c>
      <c r="S176" s="15">
        <v>6.6355321143483712</v>
      </c>
      <c r="T176" s="15">
        <v>9.4325528254613094</v>
      </c>
      <c r="U176" s="15">
        <v>13.61226148934758</v>
      </c>
      <c r="V176" s="15">
        <v>10.996884329733705</v>
      </c>
      <c r="W176" s="15">
        <v>16.252629642722081</v>
      </c>
      <c r="Y176" s="15">
        <f t="shared" ref="Y176:Y199" si="24">SUM(D176:W176)</f>
        <v>262.26096573326402</v>
      </c>
      <c r="Z176">
        <f t="shared" ref="Z176:Z195" si="25">SUMPRODUCT($D$201:$S$201,D176:S176)</f>
        <v>-0.80383940451480673</v>
      </c>
    </row>
    <row r="177" spans="1:27" x14ac:dyDescent="0.25">
      <c r="A177" t="s">
        <v>44</v>
      </c>
      <c r="D177" s="5">
        <v>11.828571428571427</v>
      </c>
      <c r="E177" s="7">
        <v>11.571428571428571</v>
      </c>
      <c r="F177" s="7">
        <v>14.471428571428572</v>
      </c>
      <c r="G177" s="7">
        <v>18.285714285714285</v>
      </c>
      <c r="H177" s="15">
        <v>8.9583926761801251</v>
      </c>
      <c r="I177" s="15">
        <v>7.8302444633972739</v>
      </c>
      <c r="J177" s="15">
        <v>7.9196851074215369</v>
      </c>
      <c r="K177" s="15">
        <v>7.8514776409953955</v>
      </c>
      <c r="L177" s="15">
        <v>7.6727472299229431</v>
      </c>
      <c r="M177" s="15">
        <v>8.4787885814342605</v>
      </c>
      <c r="N177" s="15">
        <v>9.46926789620378</v>
      </c>
      <c r="O177" s="15">
        <v>9.3749326182284527</v>
      </c>
      <c r="P177" s="15">
        <v>10.836786369902077</v>
      </c>
      <c r="Q177" s="15">
        <v>14.150483753381854</v>
      </c>
      <c r="R177" s="15">
        <v>9.8416403276922857</v>
      </c>
      <c r="S177" s="15">
        <v>6.7046659036233951</v>
      </c>
      <c r="T177" s="15">
        <v>7.4419739341439834</v>
      </c>
      <c r="U177" s="15">
        <v>4.4908448066648221</v>
      </c>
      <c r="V177" s="15">
        <v>4.2800799550877127</v>
      </c>
      <c r="W177" s="15">
        <v>7.0370463618744648</v>
      </c>
      <c r="Y177" s="15">
        <f t="shared" si="24"/>
        <v>188.49620048329723</v>
      </c>
      <c r="Z177">
        <f t="shared" si="25"/>
        <v>5.0573664031122902</v>
      </c>
    </row>
    <row r="178" spans="1:27" x14ac:dyDescent="0.25">
      <c r="A178" t="s">
        <v>45</v>
      </c>
      <c r="D178" s="5">
        <v>15.802100037477901</v>
      </c>
      <c r="E178" s="7">
        <v>10.171428571428573</v>
      </c>
      <c r="F178" s="7">
        <v>11.657142857142857</v>
      </c>
      <c r="G178" s="7">
        <v>8.6</v>
      </c>
      <c r="H178" s="15">
        <v>16.171919318748358</v>
      </c>
      <c r="I178" s="15">
        <v>13.87374510815871</v>
      </c>
      <c r="J178" s="15">
        <v>11.829577205641543</v>
      </c>
      <c r="K178" s="15">
        <v>13.160636450964002</v>
      </c>
      <c r="L178" s="15">
        <v>10.401233410916337</v>
      </c>
      <c r="M178" s="15">
        <v>3.2744120608307399</v>
      </c>
      <c r="N178" s="15">
        <v>3.4118755889442589</v>
      </c>
      <c r="O178" s="15">
        <v>2.5553839779638587</v>
      </c>
      <c r="P178" s="15">
        <v>3.2890742251460585</v>
      </c>
      <c r="Q178" s="15">
        <v>5.8057161302646696</v>
      </c>
      <c r="R178" s="15">
        <v>5.947664729173491</v>
      </c>
      <c r="S178" s="15">
        <v>4.7301640877742583</v>
      </c>
      <c r="T178" s="15">
        <v>3.8434865238865599</v>
      </c>
      <c r="U178" s="15">
        <v>5.1315786336219862</v>
      </c>
      <c r="V178" s="15">
        <v>10.87563948162258</v>
      </c>
      <c r="W178" s="15">
        <v>14.096806412027044</v>
      </c>
      <c r="Y178" s="15">
        <f t="shared" si="24"/>
        <v>174.62958481173374</v>
      </c>
      <c r="Z178">
        <f t="shared" si="25"/>
        <v>3.4537318785884663</v>
      </c>
    </row>
    <row r="179" spans="1:27" x14ac:dyDescent="0.25">
      <c r="A179" t="s">
        <v>46</v>
      </c>
      <c r="D179" s="5">
        <v>19.523886732880612</v>
      </c>
      <c r="E179" s="14">
        <v>16.115597330520359</v>
      </c>
      <c r="F179" s="14">
        <v>11.178726495261813</v>
      </c>
      <c r="G179" s="14">
        <v>7.9062344989403481</v>
      </c>
      <c r="H179" s="15">
        <v>11.644596332753768</v>
      </c>
      <c r="I179" s="15">
        <v>6.9369139220592952</v>
      </c>
      <c r="J179" s="15">
        <v>17.977161444504265</v>
      </c>
      <c r="K179" s="15">
        <v>10.695183694692846</v>
      </c>
      <c r="L179" s="15">
        <v>16.53407398993005</v>
      </c>
      <c r="M179" s="15">
        <v>16.89929101323245</v>
      </c>
      <c r="N179" s="15">
        <v>11.790445854281998</v>
      </c>
      <c r="O179" s="15">
        <v>12.981419939589443</v>
      </c>
      <c r="P179" s="15">
        <v>10.163601654158883</v>
      </c>
      <c r="Q179" s="15">
        <v>5.4680801066412803</v>
      </c>
      <c r="R179" s="15">
        <v>7.7608068849895124</v>
      </c>
      <c r="S179" s="15">
        <v>4.9146639554427054</v>
      </c>
      <c r="T179" s="15">
        <v>9.1500136662008078</v>
      </c>
      <c r="U179" s="15">
        <v>8.9577204317561083</v>
      </c>
      <c r="V179" s="15">
        <v>12.676690077337527</v>
      </c>
      <c r="W179" s="15">
        <v>13.414883021889779</v>
      </c>
      <c r="Y179" s="15">
        <f t="shared" si="24"/>
        <v>232.68999104706384</v>
      </c>
      <c r="Z179">
        <f t="shared" si="25"/>
        <v>-1.3845647453531222</v>
      </c>
    </row>
    <row r="180" spans="1:27" x14ac:dyDescent="0.25">
      <c r="A180" t="s">
        <v>47</v>
      </c>
      <c r="D180" s="5">
        <v>13.75030297906012</v>
      </c>
      <c r="E180" s="14">
        <v>11.980850821095089</v>
      </c>
      <c r="F180" s="14">
        <v>11.186589742898539</v>
      </c>
      <c r="G180" s="14">
        <v>8.9518431715115039</v>
      </c>
      <c r="H180" s="15">
        <v>7.9301204346847722</v>
      </c>
      <c r="I180" s="15">
        <v>8.213138289220252</v>
      </c>
      <c r="J180" s="15">
        <v>6.6403274856766226</v>
      </c>
      <c r="K180" s="15">
        <v>6.8466658588926697</v>
      </c>
      <c r="L180" s="15">
        <v>9.8895279324807692</v>
      </c>
      <c r="M180" s="15">
        <v>9.7155498737098132</v>
      </c>
      <c r="N180" s="15">
        <v>10.226326986610193</v>
      </c>
      <c r="O180" s="15">
        <v>8.3586813799750885</v>
      </c>
      <c r="P180" s="15">
        <v>8.9618787250441549</v>
      </c>
      <c r="Q180" s="15">
        <v>9.4760986132714802</v>
      </c>
      <c r="R180" s="15">
        <v>6.2599851946005893</v>
      </c>
      <c r="S180" s="15">
        <v>10.181075031769621</v>
      </c>
      <c r="T180" s="15">
        <v>12.986302611925792</v>
      </c>
      <c r="U180" s="15">
        <v>9.274696230527983</v>
      </c>
      <c r="V180" s="15">
        <v>10.813181595212844</v>
      </c>
      <c r="W180" s="15">
        <v>11.879472745012819</v>
      </c>
      <c r="Y180" s="15">
        <f t="shared" si="24"/>
        <v>193.52261570318075</v>
      </c>
      <c r="Z180">
        <f t="shared" si="25"/>
        <v>3.3093423869596723</v>
      </c>
    </row>
    <row r="181" spans="1:27" x14ac:dyDescent="0.25">
      <c r="A181" t="s">
        <v>48</v>
      </c>
      <c r="D181" s="5">
        <v>15.476752460670385</v>
      </c>
      <c r="E181" s="14">
        <v>12.705288235367259</v>
      </c>
      <c r="F181" s="14">
        <v>10.746223328416574</v>
      </c>
      <c r="G181" s="14">
        <v>11.702591583863752</v>
      </c>
      <c r="H181" s="15">
        <v>14.473346325529702</v>
      </c>
      <c r="I181" s="15">
        <v>10.986398539993317</v>
      </c>
      <c r="J181" s="15">
        <v>7.0420183501718716</v>
      </c>
      <c r="K181" s="15">
        <v>10.32164942988897</v>
      </c>
      <c r="L181" s="15">
        <v>6.2641789409233635</v>
      </c>
      <c r="M181" s="15">
        <v>7.2722858981332195</v>
      </c>
      <c r="N181" s="15">
        <v>8.2704804472045819</v>
      </c>
      <c r="O181" s="15">
        <v>6.4846905959707044</v>
      </c>
      <c r="P181" s="15">
        <v>8.0240478851809396</v>
      </c>
      <c r="Q181" s="15">
        <v>7.8684623681298351</v>
      </c>
      <c r="R181" s="15">
        <v>6.3077233849776917</v>
      </c>
      <c r="S181" s="15">
        <v>6.5801430864396124</v>
      </c>
      <c r="T181" s="15">
        <v>7.2187285595791186</v>
      </c>
      <c r="U181" s="15">
        <v>8.8886545635673748</v>
      </c>
      <c r="V181" s="15">
        <v>8.0096137655714337</v>
      </c>
      <c r="W181" s="15">
        <v>10.6492151243098</v>
      </c>
      <c r="Y181" s="15">
        <f t="shared" si="24"/>
        <v>185.29249287388947</v>
      </c>
      <c r="Z181">
        <f t="shared" si="25"/>
        <v>5.1447316184081391</v>
      </c>
    </row>
    <row r="182" spans="1:27" x14ac:dyDescent="0.25">
      <c r="A182" t="s">
        <v>49</v>
      </c>
      <c r="D182" s="5">
        <v>18.80227867725441</v>
      </c>
      <c r="E182" s="14">
        <v>11.833172578274469</v>
      </c>
      <c r="F182" s="14">
        <v>13.543713628242058</v>
      </c>
      <c r="G182" s="14">
        <v>14.909283321414165</v>
      </c>
      <c r="H182" s="15">
        <v>11.494672521394794</v>
      </c>
      <c r="I182" s="15">
        <v>13.494429398627602</v>
      </c>
      <c r="J182" s="15">
        <v>12.065562039003302</v>
      </c>
      <c r="K182" s="15">
        <v>15.212973843009962</v>
      </c>
      <c r="L182" s="15">
        <v>8.312171567075735</v>
      </c>
      <c r="M182" s="15">
        <v>11.980106874846836</v>
      </c>
      <c r="N182" s="15">
        <v>9.3575787338653722</v>
      </c>
      <c r="O182" s="15">
        <v>11.761653723299521</v>
      </c>
      <c r="P182" s="15">
        <v>12.715501369338849</v>
      </c>
      <c r="Q182" s="15">
        <v>12.480317979371835</v>
      </c>
      <c r="R182" s="15">
        <v>11.446793509803223</v>
      </c>
      <c r="S182" s="15">
        <v>15.291986386178674</v>
      </c>
      <c r="T182" s="15">
        <v>15.518909641438134</v>
      </c>
      <c r="U182" s="15">
        <v>14.526575529465012</v>
      </c>
      <c r="V182" s="15">
        <v>15.017673300795204</v>
      </c>
      <c r="W182" s="15">
        <v>14.175159458420056</v>
      </c>
      <c r="Y182" s="15">
        <f t="shared" si="24"/>
        <v>263.94051408111926</v>
      </c>
      <c r="Z182">
        <f t="shared" si="25"/>
        <v>4.1428408267910353</v>
      </c>
    </row>
    <row r="183" spans="1:27" x14ac:dyDescent="0.25">
      <c r="A183" t="s">
        <v>50</v>
      </c>
      <c r="D183" s="5">
        <v>11.332744474357488</v>
      </c>
      <c r="E183" s="7">
        <v>10.314285714285715</v>
      </c>
      <c r="F183" s="7">
        <v>8.8857142857142879</v>
      </c>
      <c r="G183" s="7">
        <v>9.9571428571428555</v>
      </c>
      <c r="H183" s="15">
        <v>4.3171895426016951</v>
      </c>
      <c r="I183" s="15">
        <v>5.3208083985816588</v>
      </c>
      <c r="J183" s="15">
        <v>2.9571024757199313</v>
      </c>
      <c r="K183" s="15">
        <v>2.0294461392855396</v>
      </c>
      <c r="L183" s="15">
        <v>2.8587208626556682</v>
      </c>
      <c r="M183" s="15">
        <v>6.7409606615496784</v>
      </c>
      <c r="N183" s="15">
        <v>7.0643530086061483</v>
      </c>
      <c r="O183" s="15">
        <v>6.5221972210587484</v>
      </c>
      <c r="P183" s="15">
        <v>6.8372090474313731</v>
      </c>
      <c r="Q183" s="15">
        <v>7.4491079567895699</v>
      </c>
      <c r="R183" s="15">
        <v>6.2057844324512752</v>
      </c>
      <c r="S183" s="15">
        <v>7.8536042153670751</v>
      </c>
      <c r="T183" s="15">
        <v>11.114211975203547</v>
      </c>
      <c r="U183" s="15">
        <v>10.383799377812078</v>
      </c>
      <c r="V183" s="15">
        <v>5.526440463229938</v>
      </c>
      <c r="W183" s="15">
        <v>11.880153638012729</v>
      </c>
      <c r="Y183" s="15">
        <f t="shared" si="24"/>
        <v>145.55097674785699</v>
      </c>
      <c r="Z183">
        <f t="shared" si="25"/>
        <v>3.7868079743507739</v>
      </c>
    </row>
    <row r="184" spans="1:27" x14ac:dyDescent="0.25">
      <c r="A184" t="s">
        <v>51</v>
      </c>
      <c r="D184" s="5">
        <v>8.5467735358485424</v>
      </c>
      <c r="E184" s="14">
        <v>10.288942674679955</v>
      </c>
      <c r="F184" s="14">
        <v>12.995251592023891</v>
      </c>
      <c r="G184" s="14">
        <v>8.047132054978535</v>
      </c>
      <c r="H184" s="15">
        <v>3.8904309001160127</v>
      </c>
      <c r="I184" s="15">
        <v>2.0297782319015161</v>
      </c>
      <c r="J184" s="15">
        <v>0.83593884945323838</v>
      </c>
      <c r="K184" s="15">
        <v>2.0029468802023893</v>
      </c>
      <c r="L184" s="15">
        <v>2.1778100864720722</v>
      </c>
      <c r="M184" s="15">
        <v>2.3526396706064299</v>
      </c>
      <c r="N184" s="15">
        <v>2.279757075839373</v>
      </c>
      <c r="O184" s="15">
        <v>2.8501960379002775</v>
      </c>
      <c r="P184" s="15">
        <v>6.8372090474313731</v>
      </c>
      <c r="Q184" s="15">
        <v>8.6180000000000003</v>
      </c>
      <c r="R184" s="15">
        <v>6.2057844324512752</v>
      </c>
      <c r="S184" s="15">
        <v>2.0487992722213533</v>
      </c>
      <c r="T184" s="15">
        <v>4.7840286496202822</v>
      </c>
      <c r="U184" s="15">
        <v>1.6144330896330887</v>
      </c>
      <c r="V184" s="15">
        <v>4.4981482644232651</v>
      </c>
      <c r="W184" s="15">
        <v>9.1809381008464417</v>
      </c>
      <c r="Y184" s="15">
        <f t="shared" si="24"/>
        <v>102.08493844664932</v>
      </c>
      <c r="Z184">
        <f t="shared" si="25"/>
        <v>5.0792351820335915</v>
      </c>
    </row>
    <row r="185" spans="1:27" x14ac:dyDescent="0.25">
      <c r="A185" t="s">
        <v>52</v>
      </c>
      <c r="D185" s="5">
        <v>12.026759012904408</v>
      </c>
      <c r="E185" s="14">
        <v>7.5287732015216431</v>
      </c>
      <c r="F185" s="14">
        <v>7.9890420487015543</v>
      </c>
      <c r="G185" s="14">
        <v>5.4012014872173912</v>
      </c>
      <c r="H185" s="15">
        <v>2.7473532118578814</v>
      </c>
      <c r="I185" s="15">
        <v>1.4849949302253957</v>
      </c>
      <c r="J185" s="15">
        <v>2.2291693893471347</v>
      </c>
      <c r="K185" s="15">
        <v>2.2270078946762744</v>
      </c>
      <c r="L185" s="15">
        <v>3.1086605927297937</v>
      </c>
      <c r="M185" s="15">
        <v>2.3923473991906841</v>
      </c>
      <c r="N185" s="15">
        <v>2.759867424398855</v>
      </c>
      <c r="O185" s="15">
        <v>1.0507872242755079</v>
      </c>
      <c r="P185" s="15">
        <v>1.32348428560802</v>
      </c>
      <c r="Q185" s="15">
        <v>8.9279899999999994</v>
      </c>
      <c r="R185" s="15">
        <v>6.2057844324512752</v>
      </c>
      <c r="S185" s="15">
        <v>3.2771057601932005</v>
      </c>
      <c r="T185" s="15">
        <v>1.309725143455535</v>
      </c>
      <c r="U185" s="15">
        <v>3.0405676058308706</v>
      </c>
      <c r="V185" s="15">
        <v>3.9442882345008727</v>
      </c>
      <c r="W185" s="15">
        <v>6.7859773602734474</v>
      </c>
      <c r="Y185" s="15">
        <f t="shared" si="24"/>
        <v>85.760886639359754</v>
      </c>
      <c r="Z185">
        <f t="shared" si="25"/>
        <v>0.9011034115394847</v>
      </c>
    </row>
    <row r="186" spans="1:27" x14ac:dyDescent="0.25">
      <c r="A186" t="s">
        <v>53</v>
      </c>
      <c r="D186" s="5">
        <v>12.105012524385348</v>
      </c>
      <c r="E186" s="14">
        <v>11.518993512376019</v>
      </c>
      <c r="F186" s="14">
        <v>8.6078695145283355</v>
      </c>
      <c r="G186" s="14">
        <v>4.8527583673439834</v>
      </c>
      <c r="H186" s="15">
        <v>2.0457506510898766</v>
      </c>
      <c r="I186" s="15">
        <v>3.5113799422652425</v>
      </c>
      <c r="J186" s="15">
        <v>1.3508251227817987</v>
      </c>
      <c r="K186" s="15">
        <v>6.3588048374126274</v>
      </c>
      <c r="L186" s="15">
        <v>1.8590535485347588</v>
      </c>
      <c r="M186" s="15">
        <v>6.102842555467352</v>
      </c>
      <c r="N186" s="15">
        <v>6.000995768121494</v>
      </c>
      <c r="O186" s="15">
        <v>4.6844275434687512</v>
      </c>
      <c r="P186" s="15">
        <v>3.504560275265292</v>
      </c>
      <c r="Q186" s="15">
        <v>5.9169966254244128</v>
      </c>
      <c r="R186" s="15">
        <v>3.8489577856492501</v>
      </c>
      <c r="S186" s="15">
        <v>4.1708936384392379</v>
      </c>
      <c r="T186" s="15">
        <v>8.5168794693830954</v>
      </c>
      <c r="U186" s="15">
        <v>11.569182778544544</v>
      </c>
      <c r="V186" s="15">
        <v>3.2272139825840567</v>
      </c>
      <c r="W186" s="15">
        <v>3.3023569703628124</v>
      </c>
      <c r="Y186" s="15">
        <f t="shared" si="24"/>
        <v>113.0557554134283</v>
      </c>
      <c r="Z186">
        <f t="shared" si="25"/>
        <v>2.7454829456717014</v>
      </c>
    </row>
    <row r="187" spans="1:27" x14ac:dyDescent="0.25">
      <c r="A187" t="s">
        <v>54</v>
      </c>
      <c r="D187" s="5">
        <v>10.379204681172856</v>
      </c>
      <c r="E187" s="14">
        <v>13.827422501856761</v>
      </c>
      <c r="F187" s="14">
        <v>10.629309370546398</v>
      </c>
      <c r="G187" s="14">
        <v>10.554684189147073</v>
      </c>
      <c r="H187" s="15">
        <v>8.5367686204370035</v>
      </c>
      <c r="I187" s="15">
        <v>9.5733375029321461</v>
      </c>
      <c r="J187" s="15">
        <v>5.1967774769054156</v>
      </c>
      <c r="K187" s="15">
        <v>3.9383620159522459</v>
      </c>
      <c r="L187" s="15">
        <v>4.1324733847315809</v>
      </c>
      <c r="M187" s="15">
        <v>4.025351600894715</v>
      </c>
      <c r="N187" s="15">
        <v>1.8073337181900029</v>
      </c>
      <c r="O187" s="15">
        <v>2.0493099298761672</v>
      </c>
      <c r="P187" s="15">
        <v>1.5074571783750781</v>
      </c>
      <c r="Q187" s="15">
        <v>2.6499307366617857</v>
      </c>
      <c r="R187" s="15">
        <v>6.2057844324512752</v>
      </c>
      <c r="S187" s="15">
        <v>6.1731806840751364</v>
      </c>
      <c r="T187" s="15">
        <v>3.5770575532531894</v>
      </c>
      <c r="U187" s="15">
        <v>5.1892473360862876</v>
      </c>
      <c r="V187" s="15">
        <v>4.2043088307004357</v>
      </c>
      <c r="W187" s="15">
        <v>4.0358057398768965</v>
      </c>
      <c r="Y187" s="15">
        <f t="shared" si="24"/>
        <v>118.19310748412246</v>
      </c>
      <c r="Z187">
        <f t="shared" si="25"/>
        <v>6.7296926307440774</v>
      </c>
    </row>
    <row r="188" spans="1:27" x14ac:dyDescent="0.25">
      <c r="A188" t="s">
        <v>55</v>
      </c>
      <c r="D188" s="5">
        <v>8.7441931369251815</v>
      </c>
      <c r="E188" s="14">
        <v>9.0289896278252257</v>
      </c>
      <c r="F188" s="14">
        <v>11.024619081817747</v>
      </c>
      <c r="G188" s="14">
        <v>7.1521062500801031</v>
      </c>
      <c r="H188" s="15">
        <v>5.3083875476697333</v>
      </c>
      <c r="I188" s="15">
        <v>7.1008768212773861</v>
      </c>
      <c r="J188" s="15">
        <v>4.0736372234871707</v>
      </c>
      <c r="K188" s="15">
        <v>2.0556837953291409</v>
      </c>
      <c r="L188" s="15">
        <v>5.4853371255394068</v>
      </c>
      <c r="M188" s="15">
        <v>1.4988790779945145</v>
      </c>
      <c r="N188" s="15">
        <v>4.2114239581715704</v>
      </c>
      <c r="O188" s="15">
        <v>2.1421991542985923</v>
      </c>
      <c r="P188" s="15">
        <v>3.2726603390505287</v>
      </c>
      <c r="Q188" s="15">
        <v>2.9156632892371475</v>
      </c>
      <c r="R188" s="15">
        <v>7.2720125628643819</v>
      </c>
      <c r="S188" s="15">
        <v>7.980841083942364</v>
      </c>
      <c r="T188" s="15">
        <v>1.0297418037206985</v>
      </c>
      <c r="U188" s="15">
        <v>7.5194342438493971</v>
      </c>
      <c r="V188" s="15">
        <v>9.938967367712932</v>
      </c>
      <c r="W188" s="15">
        <v>11.764506326162971</v>
      </c>
      <c r="Y188" s="15">
        <f t="shared" si="24"/>
        <v>119.52015981695619</v>
      </c>
      <c r="Z188">
        <f t="shared" si="25"/>
        <v>4.7372597141981281</v>
      </c>
      <c r="AA188" s="15"/>
    </row>
    <row r="189" spans="1:27" x14ac:dyDescent="0.25">
      <c r="A189" t="s">
        <v>56</v>
      </c>
      <c r="D189" s="5">
        <v>14.428822931896947</v>
      </c>
      <c r="E189" s="14">
        <v>10.6</v>
      </c>
      <c r="F189" s="5">
        <v>8.5</v>
      </c>
      <c r="G189" s="5">
        <v>9.1999999999999993</v>
      </c>
      <c r="H189" s="15">
        <v>4.5057381862341019</v>
      </c>
      <c r="I189" s="15">
        <v>4.7400734857203366</v>
      </c>
      <c r="J189" s="15">
        <v>2.7372696123949516</v>
      </c>
      <c r="K189" s="15">
        <v>3.316561084714535</v>
      </c>
      <c r="L189" s="15">
        <v>5.1086037696343958</v>
      </c>
      <c r="M189" s="15">
        <v>6.3972922616869772</v>
      </c>
      <c r="N189" s="15">
        <v>6.7291323426696374</v>
      </c>
      <c r="O189" s="15">
        <v>11.055529298670638</v>
      </c>
      <c r="P189" s="15">
        <v>8.1830632580052178</v>
      </c>
      <c r="Q189" s="15">
        <v>9.0450176896410532</v>
      </c>
      <c r="R189" s="15">
        <v>10.587465199476997</v>
      </c>
      <c r="S189" s="15">
        <v>11.016203729097279</v>
      </c>
      <c r="T189" s="15">
        <v>11.492728700728748</v>
      </c>
      <c r="U189" s="15">
        <v>11.069749505825678</v>
      </c>
      <c r="V189" s="15">
        <v>12.481010030850532</v>
      </c>
      <c r="W189" s="15">
        <v>16.164140355481617</v>
      </c>
      <c r="Y189" s="15">
        <f t="shared" si="24"/>
        <v>177.35840144272967</v>
      </c>
      <c r="Z189">
        <f t="shared" si="25"/>
        <v>3.0435168223074216</v>
      </c>
      <c r="AA189" s="15"/>
    </row>
    <row r="190" spans="1:27" x14ac:dyDescent="0.25">
      <c r="A190" t="s">
        <v>57</v>
      </c>
      <c r="D190" s="5">
        <v>13.914285714285713</v>
      </c>
      <c r="E190" s="7">
        <v>15.1</v>
      </c>
      <c r="F190" s="7">
        <v>13.771428571428572</v>
      </c>
      <c r="G190" s="7">
        <v>14.142857142857142</v>
      </c>
      <c r="H190" s="15">
        <v>8.4211519448653966</v>
      </c>
      <c r="I190" s="15">
        <v>8.0089105716648703</v>
      </c>
      <c r="J190" s="15">
        <v>5.9081898400049937</v>
      </c>
      <c r="K190" s="15">
        <v>7.2827364302559063</v>
      </c>
      <c r="L190" s="15">
        <v>5.9004818779215222</v>
      </c>
      <c r="M190" s="15">
        <v>7.6784868926149024</v>
      </c>
      <c r="N190" s="15">
        <v>7.181105890661617</v>
      </c>
      <c r="O190" s="15">
        <v>6.8822158575846224</v>
      </c>
      <c r="P190" s="15">
        <v>7.6654214010268582</v>
      </c>
      <c r="Q190" s="15">
        <v>8.9160285453167241</v>
      </c>
      <c r="R190" s="15">
        <v>7.353551925398957</v>
      </c>
      <c r="S190" s="15">
        <v>6.8424675221122104</v>
      </c>
      <c r="T190" s="15">
        <v>8.1519311894948636</v>
      </c>
      <c r="U190" s="15">
        <v>7.3676522520977024</v>
      </c>
      <c r="V190" s="15">
        <v>8.4046394597534864</v>
      </c>
      <c r="W190" s="15">
        <v>11.011072469185176</v>
      </c>
      <c r="Y190" s="15">
        <f t="shared" si="24"/>
        <v>179.90461549853126</v>
      </c>
      <c r="Z190">
        <f t="shared" si="25"/>
        <v>6.0799939030402026</v>
      </c>
      <c r="AA190" s="15"/>
    </row>
    <row r="191" spans="1:27" x14ac:dyDescent="0.25">
      <c r="A191" t="s">
        <v>58</v>
      </c>
      <c r="D191" s="5">
        <v>14.685714285714285</v>
      </c>
      <c r="E191" s="14">
        <v>13.657142857142857</v>
      </c>
      <c r="F191" s="14">
        <v>9.5142857142857142</v>
      </c>
      <c r="G191" s="14">
        <v>7.2285714285714278</v>
      </c>
      <c r="H191" s="15">
        <v>8.3017088043085394</v>
      </c>
      <c r="I191" s="15">
        <v>7.31684297344811</v>
      </c>
      <c r="J191" s="15">
        <v>6.9919647069221895</v>
      </c>
      <c r="K191" s="15">
        <v>7.6505905587805882</v>
      </c>
      <c r="L191" s="15">
        <v>6.8228256590798386</v>
      </c>
      <c r="M191" s="15">
        <v>12.390145062858716</v>
      </c>
      <c r="N191" s="15">
        <v>12.486072903954394</v>
      </c>
      <c r="O191" s="15">
        <v>11.773428388914876</v>
      </c>
      <c r="P191" s="15">
        <v>6.859381447370331</v>
      </c>
      <c r="Q191" s="15">
        <v>7.8181504413927545</v>
      </c>
      <c r="R191" s="15">
        <v>6.5646961270355062</v>
      </c>
      <c r="S191" s="15">
        <v>11.641865175853129</v>
      </c>
      <c r="T191" s="15">
        <v>13.751048904059559</v>
      </c>
      <c r="U191" s="15">
        <v>17.087696738822384</v>
      </c>
      <c r="V191" s="15">
        <v>18.547835936291939</v>
      </c>
      <c r="W191" s="15">
        <v>19.597926824622132</v>
      </c>
      <c r="Y191" s="15">
        <f t="shared" si="24"/>
        <v>220.6878949394293</v>
      </c>
      <c r="Z191">
        <f t="shared" si="25"/>
        <v>3.4148323031543697</v>
      </c>
      <c r="AA191" s="15"/>
    </row>
    <row r="192" spans="1:27" x14ac:dyDescent="0.25">
      <c r="A192" t="s">
        <v>59</v>
      </c>
      <c r="D192" s="5">
        <v>9.9678459573473219</v>
      </c>
      <c r="E192" s="14">
        <v>10.617921353189121</v>
      </c>
      <c r="F192" s="14">
        <v>12.334441978477745</v>
      </c>
      <c r="G192" s="14">
        <v>17.809768328246037</v>
      </c>
      <c r="H192" s="15">
        <v>18.187940466365436</v>
      </c>
      <c r="I192" s="15">
        <v>28.704267594313421</v>
      </c>
      <c r="J192" s="15">
        <v>20.829462409051583</v>
      </c>
      <c r="K192" s="15">
        <v>12.454559675674943</v>
      </c>
      <c r="L192" s="15">
        <v>9.8699220951100237</v>
      </c>
      <c r="M192" s="15">
        <v>10.263689434309237</v>
      </c>
      <c r="N192" s="15">
        <v>14.52263451990178</v>
      </c>
      <c r="O192" s="15">
        <v>12.422210421731466</v>
      </c>
      <c r="P192" s="15">
        <v>10.912471372140059</v>
      </c>
      <c r="Q192" s="15">
        <v>8.4505844252742115</v>
      </c>
      <c r="R192" s="15">
        <v>9.2700424372020844</v>
      </c>
      <c r="S192" s="15">
        <v>8.9546506292842256</v>
      </c>
      <c r="T192" s="15">
        <v>9.4148049081076834</v>
      </c>
      <c r="U192" s="15">
        <v>8.3873238871407061</v>
      </c>
      <c r="V192" s="15">
        <v>8.2466598091072871</v>
      </c>
      <c r="W192" s="15">
        <v>8.2487277772187078</v>
      </c>
      <c r="Y192" s="15">
        <f t="shared" si="24"/>
        <v>249.86992947919308</v>
      </c>
      <c r="Z192">
        <f t="shared" si="25"/>
        <v>5.8636457092761933</v>
      </c>
      <c r="AA192" s="15"/>
    </row>
    <row r="193" spans="1:26" x14ac:dyDescent="0.25">
      <c r="A193" t="s">
        <v>60</v>
      </c>
      <c r="D193" s="5">
        <v>8.2404158046607101</v>
      </c>
      <c r="E193" s="14">
        <v>13.53574677457191</v>
      </c>
      <c r="F193" s="14">
        <v>18.134075137028752</v>
      </c>
      <c r="G193" s="14">
        <v>12.083054323601749</v>
      </c>
      <c r="H193" s="15">
        <v>12.508123864272104</v>
      </c>
      <c r="I193" s="15">
        <v>11.451586681243271</v>
      </c>
      <c r="J193" s="15">
        <v>14.510211737308158</v>
      </c>
      <c r="K193" s="15">
        <v>16.674743210148939</v>
      </c>
      <c r="L193" s="15">
        <v>9.8928512270816977</v>
      </c>
      <c r="M193" s="15">
        <v>11.470479051246823</v>
      </c>
      <c r="N193" s="15">
        <v>9.7112479334929045</v>
      </c>
      <c r="O193" s="15">
        <v>10.862971319991839</v>
      </c>
      <c r="P193" s="15">
        <v>10.359320207895079</v>
      </c>
      <c r="Q193" s="15">
        <v>11.564791484877988</v>
      </c>
      <c r="R193" s="15">
        <v>13.439195951077055</v>
      </c>
      <c r="S193" s="15">
        <v>10.849822712705091</v>
      </c>
      <c r="T193" s="15">
        <v>9.5193062576925911</v>
      </c>
      <c r="U193" s="15">
        <v>9.4732340369262715</v>
      </c>
      <c r="V193" s="15">
        <v>11.033381080618694</v>
      </c>
      <c r="W193" s="15">
        <v>8.9637904127908055</v>
      </c>
      <c r="Y193" s="15">
        <f t="shared" si="24"/>
        <v>234.2783492092324</v>
      </c>
      <c r="Z193">
        <f t="shared" si="25"/>
        <v>7.01930385105147</v>
      </c>
    </row>
    <row r="194" spans="1:26" x14ac:dyDescent="0.25">
      <c r="A194" t="s">
        <v>61</v>
      </c>
      <c r="D194" s="5">
        <v>13.401005671471552</v>
      </c>
      <c r="E194" s="14">
        <v>16.23900551364817</v>
      </c>
      <c r="F194" s="14">
        <v>19.286355774128822</v>
      </c>
      <c r="G194" s="14">
        <v>18.47899404824047</v>
      </c>
      <c r="H194" s="15">
        <v>18.917052783009549</v>
      </c>
      <c r="I194" s="15">
        <v>13.236727481313043</v>
      </c>
      <c r="J194" s="15">
        <v>8.7782550729928026</v>
      </c>
      <c r="K194" s="15">
        <v>8.4561438203432164</v>
      </c>
      <c r="L194" s="15">
        <v>11.055542216972572</v>
      </c>
      <c r="M194" s="15">
        <v>8.701326731748555</v>
      </c>
      <c r="N194" s="15">
        <v>9.5653799086224574</v>
      </c>
      <c r="O194" s="15">
        <v>17.527351144887838</v>
      </c>
      <c r="P194" s="15">
        <v>12.587007481504104</v>
      </c>
      <c r="Q194" s="15">
        <v>10.018403272102004</v>
      </c>
      <c r="R194" s="15">
        <v>11.30737166962655</v>
      </c>
      <c r="S194" s="15">
        <v>10.85901444045331</v>
      </c>
      <c r="T194" s="15">
        <v>8.0015428633054615</v>
      </c>
      <c r="U194" s="15">
        <v>10.091002031219267</v>
      </c>
      <c r="V194" s="15">
        <v>9.1158939347265946</v>
      </c>
      <c r="W194" s="15">
        <v>10.498499254500462</v>
      </c>
      <c r="Y194" s="15">
        <f t="shared" si="24"/>
        <v>246.12187511481679</v>
      </c>
      <c r="Z194">
        <f t="shared" si="25"/>
        <v>10.520470600864282</v>
      </c>
    </row>
    <row r="195" spans="1:26" x14ac:dyDescent="0.25">
      <c r="A195" t="s">
        <v>62</v>
      </c>
      <c r="D195" s="5">
        <v>11.450377230688762</v>
      </c>
      <c r="E195" s="14">
        <v>13.610825584863534</v>
      </c>
      <c r="F195" s="14">
        <v>12.239196435586328</v>
      </c>
      <c r="G195" s="14">
        <v>10.775506625477622</v>
      </c>
      <c r="H195" s="15">
        <v>13.614502745110793</v>
      </c>
      <c r="I195" s="15">
        <v>14.67803611125583</v>
      </c>
      <c r="J195" s="15">
        <v>11.014930202714558</v>
      </c>
      <c r="K195" s="15">
        <v>12.721952244479612</v>
      </c>
      <c r="L195" s="15">
        <v>11.012033339382052</v>
      </c>
      <c r="M195" s="15">
        <v>11.160981362160184</v>
      </c>
      <c r="N195" s="15">
        <v>7.7436337410516725</v>
      </c>
      <c r="O195" s="15">
        <v>8.387929874863568</v>
      </c>
      <c r="P195" s="15">
        <v>9.1696111519122905</v>
      </c>
      <c r="Q195" s="15">
        <v>10.958375887637343</v>
      </c>
      <c r="R195" s="15">
        <v>6.885565803000838</v>
      </c>
      <c r="S195" s="15">
        <v>9.1198951744641477</v>
      </c>
      <c r="T195" s="15">
        <v>7.9221789070225865</v>
      </c>
      <c r="U195" s="15">
        <v>9.4334515800596872</v>
      </c>
      <c r="V195" s="15">
        <v>9.594110271106242</v>
      </c>
      <c r="W195" s="15">
        <v>8.9595988213978526</v>
      </c>
      <c r="Y195" s="15">
        <f t="shared" si="24"/>
        <v>210.45269309423551</v>
      </c>
      <c r="Z195">
        <f t="shared" si="25"/>
        <v>5.631199403252209</v>
      </c>
    </row>
    <row r="196" spans="1:26" x14ac:dyDescent="0.25">
      <c r="D196" s="5"/>
      <c r="E196" s="14"/>
      <c r="F196" s="14"/>
      <c r="G196" s="14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Y196" s="15"/>
    </row>
    <row r="197" spans="1:26" x14ac:dyDescent="0.25">
      <c r="A197" t="s">
        <v>63</v>
      </c>
      <c r="D197" s="5">
        <v>10.33829164498292</v>
      </c>
      <c r="E197" s="14">
        <v>9.2371472904591165</v>
      </c>
      <c r="F197" s="14">
        <v>10.749177298170963</v>
      </c>
      <c r="G197" s="14">
        <v>8.5264882102318023</v>
      </c>
      <c r="H197" s="15">
        <v>8.6351706751975481</v>
      </c>
      <c r="I197" s="15">
        <v>9.5036936566057086</v>
      </c>
      <c r="J197" s="15">
        <v>7.1762525876429324</v>
      </c>
      <c r="K197" s="15">
        <v>8.6026838177692859</v>
      </c>
      <c r="L197" s="15">
        <v>6.8311498257838847</v>
      </c>
      <c r="M197" s="15">
        <v>6.5293401356381855</v>
      </c>
      <c r="N197" s="15">
        <v>6.7636595767618415</v>
      </c>
      <c r="O197" s="15">
        <v>6.6540140728253787</v>
      </c>
      <c r="P197" s="15">
        <v>6.3289471837311799</v>
      </c>
      <c r="Q197" s="15">
        <v>7.5625261535554094</v>
      </c>
      <c r="R197" s="15">
        <v>7.3787870252032262</v>
      </c>
      <c r="S197" s="15">
        <v>7.7501452815239897</v>
      </c>
      <c r="T197" s="15">
        <v>8.0600970853150304</v>
      </c>
      <c r="U197" s="15">
        <v>8.8868783950097949</v>
      </c>
      <c r="V197" s="15">
        <v>8.548835061813632</v>
      </c>
      <c r="W197" s="15">
        <v>10.55879682004209</v>
      </c>
      <c r="Y197" s="15">
        <f t="shared" si="24"/>
        <v>164.62208179826391</v>
      </c>
      <c r="Z197">
        <f>SUMPRODUCT($D$201:$S$201,D197:S197)</f>
        <v>3.9109396141908075</v>
      </c>
    </row>
    <row r="198" spans="1:26" x14ac:dyDescent="0.25">
      <c r="A198" t="s">
        <v>307</v>
      </c>
      <c r="D198" s="5">
        <v>16.87142857142857</v>
      </c>
      <c r="E198" s="5">
        <v>10.4</v>
      </c>
      <c r="F198" s="5">
        <v>11.6</v>
      </c>
      <c r="G198" s="5">
        <v>9.8000000000000007</v>
      </c>
      <c r="H198" s="15">
        <v>14.085714285714285</v>
      </c>
      <c r="I198" s="15">
        <v>12.557142857142855</v>
      </c>
      <c r="J198" s="15">
        <v>11.1</v>
      </c>
      <c r="K198" s="15">
        <v>10.671428571428573</v>
      </c>
      <c r="L198" s="15">
        <v>12.5375</v>
      </c>
      <c r="M198" s="15">
        <v>13.3</v>
      </c>
      <c r="N198" s="15">
        <v>12.328571428571427</v>
      </c>
      <c r="O198" s="15">
        <v>9.3857142857142861</v>
      </c>
      <c r="P198" s="15">
        <v>16</v>
      </c>
      <c r="Q198" s="15">
        <v>13.4</v>
      </c>
      <c r="R198" s="15">
        <v>11.9</v>
      </c>
      <c r="S198" s="15">
        <v>11.6</v>
      </c>
      <c r="T198" s="15">
        <v>9.3000000000000007</v>
      </c>
      <c r="U198" s="15">
        <v>9.1</v>
      </c>
      <c r="V198" s="15">
        <v>9.1999999999999993</v>
      </c>
      <c r="W198" s="15">
        <v>11.3</v>
      </c>
      <c r="Y198" s="15">
        <f t="shared" si="24"/>
        <v>236.4375</v>
      </c>
      <c r="Z198">
        <f>SUMPRODUCT($D$201:$S$201,D198:S198)</f>
        <v>1.8167413599811355</v>
      </c>
    </row>
    <row r="199" spans="1:26" x14ac:dyDescent="0.25">
      <c r="A199" t="s">
        <v>308</v>
      </c>
      <c r="D199" s="5">
        <v>11.494548477873897</v>
      </c>
      <c r="E199" s="5">
        <v>10.199999999999999</v>
      </c>
      <c r="F199" s="5">
        <v>10.8</v>
      </c>
      <c r="G199" s="5">
        <v>8.3000000000000007</v>
      </c>
      <c r="H199" s="14">
        <v>11.3</v>
      </c>
      <c r="I199" s="14">
        <v>10.9</v>
      </c>
      <c r="J199" s="14">
        <v>8.4</v>
      </c>
      <c r="K199" s="14">
        <v>11.3</v>
      </c>
      <c r="L199" s="14">
        <v>12.7</v>
      </c>
      <c r="M199" s="14">
        <v>11.2</v>
      </c>
      <c r="N199" s="14">
        <v>11.4</v>
      </c>
      <c r="O199" s="14">
        <v>10.3</v>
      </c>
      <c r="P199" s="14">
        <v>8.9491486071080821</v>
      </c>
      <c r="Q199" s="14">
        <v>9.1873887242154204</v>
      </c>
      <c r="R199" s="14">
        <v>9.1568716101784009</v>
      </c>
      <c r="S199" s="14">
        <v>9.5722015099886644</v>
      </c>
      <c r="T199" s="14">
        <v>10.209272814838673</v>
      </c>
      <c r="U199" s="14">
        <v>10.578976728746767</v>
      </c>
      <c r="V199" s="14">
        <v>11.558129071442853</v>
      </c>
      <c r="W199" s="14">
        <v>11.955379370954207</v>
      </c>
      <c r="Y199" s="15">
        <f t="shared" si="24"/>
        <v>209.46191691534696</v>
      </c>
      <c r="Z199">
        <f>SUMPRODUCT($D$201:$S$201,D199:S199)</f>
        <v>2.9045869203797725</v>
      </c>
    </row>
    <row r="200" spans="1:26" x14ac:dyDescent="0.25">
      <c r="A200" t="s">
        <v>670</v>
      </c>
      <c r="D200" s="15">
        <v>12.835670325642718</v>
      </c>
      <c r="E200" s="15">
        <v>15.60399368900768</v>
      </c>
      <c r="F200" s="15">
        <v>13.96210944580864</v>
      </c>
      <c r="G200" s="15">
        <v>13.073793653959294</v>
      </c>
      <c r="H200" s="15">
        <v>11.964065210958472</v>
      </c>
      <c r="I200" s="15">
        <v>11.511612499557428</v>
      </c>
      <c r="J200" s="15">
        <v>9.1656336508347209</v>
      </c>
      <c r="K200" s="15">
        <v>8.1635024130083202</v>
      </c>
      <c r="L200" s="15">
        <v>8.5993374315961955</v>
      </c>
      <c r="M200" s="15">
        <v>10.797324328464702</v>
      </c>
      <c r="N200" s="15">
        <v>10.805793801404644</v>
      </c>
      <c r="O200" s="15">
        <v>12.194778230077919</v>
      </c>
      <c r="P200" s="15">
        <v>7.3785995635186001</v>
      </c>
      <c r="Q200" s="15">
        <v>7.4290888781723794</v>
      </c>
      <c r="R200" s="15">
        <v>9.3991908389545049</v>
      </c>
      <c r="S200" s="15">
        <v>9.7349807562068005</v>
      </c>
      <c r="T200" s="15">
        <v>8.1816978496798267</v>
      </c>
      <c r="U200" s="15">
        <v>8.9357413651695019</v>
      </c>
      <c r="V200" s="15">
        <v>8.7558805633807193</v>
      </c>
      <c r="W200" s="15">
        <v>10.425879619437817</v>
      </c>
      <c r="Y200" s="15">
        <f t="shared" ref="Y200" si="26">SUM(D200:W200)</f>
        <v>208.91867411484085</v>
      </c>
      <c r="Z200">
        <f>SUMPRODUCT($D$201:$S$201,D200:S200)</f>
        <v>6.5580294558092369</v>
      </c>
    </row>
    <row r="201" spans="1:26" x14ac:dyDescent="0.25">
      <c r="A201" s="2" t="s">
        <v>64</v>
      </c>
      <c r="D201" s="3">
        <f>CORREL($B$2:$B$21,D176:D195)</f>
        <v>-0.30383724905837478</v>
      </c>
      <c r="E201" s="3">
        <f t="shared" ref="E201:W201" si="27">CORREL($B$2:$B$21,E176:E195)</f>
        <v>0.35900386594553457</v>
      </c>
      <c r="F201" s="3">
        <f t="shared" si="27"/>
        <v>0.23484331555541119</v>
      </c>
      <c r="G201" s="3">
        <f t="shared" si="27"/>
        <v>0.1095464037001152</v>
      </c>
      <c r="H201" s="3">
        <f t="shared" si="27"/>
        <v>0.2223459265025646</v>
      </c>
      <c r="I201" s="3">
        <f t="shared" si="27"/>
        <v>7.3498764951941811E-2</v>
      </c>
      <c r="J201" s="3">
        <f t="shared" si="27"/>
        <v>-0.18215608969708313</v>
      </c>
      <c r="K201" s="3">
        <f t="shared" si="27"/>
        <v>2.2112770764683272E-2</v>
      </c>
      <c r="L201" s="3">
        <f t="shared" si="27"/>
        <v>-0.16259191409497253</v>
      </c>
      <c r="M201" s="3">
        <f t="shared" si="27"/>
        <v>-0.1303053552748393</v>
      </c>
      <c r="N201" s="3">
        <f t="shared" si="27"/>
        <v>-7.8132713135185772E-2</v>
      </c>
      <c r="O201" s="3">
        <f t="shared" si="27"/>
        <v>4.1283765758425475E-2</v>
      </c>
      <c r="P201" s="3">
        <f t="shared" si="27"/>
        <v>1.9049111658801774E-2</v>
      </c>
      <c r="Q201" s="3">
        <f t="shared" si="27"/>
        <v>-2.4112590212631908E-2</v>
      </c>
      <c r="R201" s="3">
        <f t="shared" si="27"/>
        <v>-7.9201962721869967E-2</v>
      </c>
      <c r="S201" s="3">
        <f t="shared" si="27"/>
        <v>0.21127803199247727</v>
      </c>
      <c r="T201" s="3">
        <f t="shared" si="27"/>
        <v>1.3017942215272537E-2</v>
      </c>
      <c r="U201" s="3">
        <f t="shared" si="27"/>
        <v>0.1037575806185056</v>
      </c>
      <c r="V201" s="3">
        <f t="shared" si="27"/>
        <v>-2.567693170792403E-3</v>
      </c>
      <c r="W201" s="3">
        <f t="shared" si="27"/>
        <v>-0.10243562854803795</v>
      </c>
    </row>
    <row r="204" spans="1:26" x14ac:dyDescent="0.25">
      <c r="D204" t="s">
        <v>93</v>
      </c>
      <c r="E204" t="s">
        <v>94</v>
      </c>
      <c r="F204" t="s">
        <v>95</v>
      </c>
      <c r="G204" t="s">
        <v>96</v>
      </c>
      <c r="H204" t="s">
        <v>97</v>
      </c>
      <c r="I204" t="s">
        <v>98</v>
      </c>
      <c r="J204" t="s">
        <v>99</v>
      </c>
      <c r="K204" t="s">
        <v>100</v>
      </c>
      <c r="L204" t="s">
        <v>340</v>
      </c>
      <c r="M204" t="s">
        <v>382</v>
      </c>
      <c r="N204" t="s">
        <v>383</v>
      </c>
      <c r="O204" t="s">
        <v>384</v>
      </c>
      <c r="P204" t="s">
        <v>474</v>
      </c>
      <c r="Q204" t="s">
        <v>475</v>
      </c>
      <c r="R204" t="s">
        <v>476</v>
      </c>
      <c r="S204" t="s">
        <v>477</v>
      </c>
      <c r="T204" t="s">
        <v>586</v>
      </c>
      <c r="U204" t="s">
        <v>587</v>
      </c>
      <c r="V204" t="s">
        <v>588</v>
      </c>
      <c r="W204" t="s">
        <v>589</v>
      </c>
      <c r="Y204" t="s">
        <v>101</v>
      </c>
      <c r="Z204" t="s">
        <v>102</v>
      </c>
    </row>
    <row r="205" spans="1:26" x14ac:dyDescent="0.25">
      <c r="A205" t="s">
        <v>43</v>
      </c>
      <c r="D205">
        <f t="shared" ref="D205:W205" si="28">D2*D31</f>
        <v>350.50000000000006</v>
      </c>
      <c r="E205">
        <f t="shared" si="28"/>
        <v>333.27938775510211</v>
      </c>
      <c r="F205">
        <f t="shared" si="28"/>
        <v>317.30612244897964</v>
      </c>
      <c r="G205">
        <f t="shared" si="28"/>
        <v>284.96938775510199</v>
      </c>
      <c r="H205">
        <f t="shared" si="28"/>
        <v>306.49591836734703</v>
      </c>
      <c r="I205">
        <f t="shared" si="28"/>
        <v>270.60000000000002</v>
      </c>
      <c r="J205">
        <f t="shared" si="28"/>
        <v>292.98367346938778</v>
      </c>
      <c r="K205">
        <f t="shared" si="28"/>
        <v>303.27448979591838</v>
      </c>
      <c r="L205">
        <f t="shared" si="28"/>
        <v>271.39999999999998</v>
      </c>
      <c r="M205">
        <f t="shared" si="28"/>
        <v>282.11785714285713</v>
      </c>
      <c r="N205">
        <f t="shared" si="28"/>
        <v>231.38095238095241</v>
      </c>
      <c r="O205">
        <f t="shared" si="28"/>
        <v>256.86071428571427</v>
      </c>
      <c r="P205">
        <f t="shared" si="28"/>
        <v>271.91326530612241</v>
      </c>
      <c r="Q205">
        <f t="shared" si="28"/>
        <v>280.25969387755106</v>
      </c>
      <c r="R205">
        <f t="shared" si="28"/>
        <v>354.31734693877547</v>
      </c>
      <c r="S205">
        <f t="shared" si="28"/>
        <v>342.1969387755102</v>
      </c>
      <c r="T205">
        <f t="shared" si="28"/>
        <v>290.18571428571431</v>
      </c>
      <c r="U205">
        <f t="shared" si="28"/>
        <v>285.23265306122448</v>
      </c>
      <c r="V205">
        <f t="shared" si="28"/>
        <v>380.37551020408165</v>
      </c>
      <c r="W205">
        <f t="shared" si="28"/>
        <v>366.03673469387752</v>
      </c>
      <c r="Y205" s="15">
        <f t="shared" ref="Y205:Y228" si="29">SUM(D205:W205)</f>
        <v>6071.6863605442168</v>
      </c>
      <c r="Z205">
        <f t="shared" ref="Z205:Z224" si="30">SUMPRODUCT($D$230:$S$230,D205:S205)</f>
        <v>-742.29491237484012</v>
      </c>
    </row>
    <row r="206" spans="1:26" x14ac:dyDescent="0.25">
      <c r="A206" t="s">
        <v>44</v>
      </c>
      <c r="D206">
        <f t="shared" ref="D206:W206" si="31">D3*D32</f>
        <v>331.18530612244894</v>
      </c>
      <c r="E206">
        <f t="shared" si="31"/>
        <v>315.33918367346939</v>
      </c>
      <c r="F206">
        <f t="shared" si="31"/>
        <v>188.37897959183672</v>
      </c>
      <c r="G206">
        <f t="shared" si="31"/>
        <v>294.4432653061225</v>
      </c>
      <c r="H206">
        <f t="shared" si="31"/>
        <v>299.93491156462585</v>
      </c>
      <c r="I206">
        <f t="shared" si="31"/>
        <v>301.97423809523815</v>
      </c>
      <c r="J206">
        <f t="shared" si="31"/>
        <v>309.99450000000002</v>
      </c>
      <c r="K206">
        <f t="shared" si="31"/>
        <v>291.95346938775515</v>
      </c>
      <c r="L206">
        <f t="shared" si="31"/>
        <v>247.09892063492057</v>
      </c>
      <c r="M206">
        <f t="shared" si="31"/>
        <v>244.70081632653063</v>
      </c>
      <c r="N206">
        <f t="shared" si="31"/>
        <v>198.77061224489796</v>
      </c>
      <c r="O206">
        <f t="shared" si="31"/>
        <v>256.00408163265308</v>
      </c>
      <c r="P206">
        <f t="shared" si="31"/>
        <v>306.09938775510204</v>
      </c>
      <c r="Q206">
        <f t="shared" si="31"/>
        <v>302.35836734693879</v>
      </c>
      <c r="R206">
        <f t="shared" si="31"/>
        <v>291.14489795918365</v>
      </c>
      <c r="S206">
        <f t="shared" si="31"/>
        <v>310.37959183673473</v>
      </c>
      <c r="T206">
        <f t="shared" si="31"/>
        <v>309.26020408163254</v>
      </c>
      <c r="U206">
        <f t="shared" si="31"/>
        <v>352.44000000000005</v>
      </c>
      <c r="V206">
        <f t="shared" si="31"/>
        <v>337.86906122448977</v>
      </c>
      <c r="W206">
        <f t="shared" si="31"/>
        <v>347.36963265306122</v>
      </c>
      <c r="Y206" s="15">
        <f t="shared" si="29"/>
        <v>5836.6994274376411</v>
      </c>
      <c r="Z206">
        <f t="shared" si="30"/>
        <v>-731.72670537231033</v>
      </c>
    </row>
    <row r="207" spans="1:26" x14ac:dyDescent="0.25">
      <c r="A207" t="s">
        <v>45</v>
      </c>
      <c r="D207">
        <f t="shared" ref="D207:W207" si="32">D4*D33</f>
        <v>270.77877551020407</v>
      </c>
      <c r="E207">
        <f t="shared" si="32"/>
        <v>273.97408163265311</v>
      </c>
      <c r="F207">
        <f t="shared" si="32"/>
        <v>280.52530612244902</v>
      </c>
      <c r="G207">
        <f t="shared" si="32"/>
        <v>273.9606122448979</v>
      </c>
      <c r="H207">
        <f t="shared" si="32"/>
        <v>265.59999999999997</v>
      </c>
      <c r="I207">
        <f t="shared" si="32"/>
        <v>277.1887755102041</v>
      </c>
      <c r="J207">
        <f t="shared" si="32"/>
        <v>253.06122448979593</v>
      </c>
      <c r="K207">
        <f t="shared" si="32"/>
        <v>253.45408163265304</v>
      </c>
      <c r="L207">
        <f t="shared" si="32"/>
        <v>227.49305555555551</v>
      </c>
      <c r="M207">
        <f t="shared" si="32"/>
        <v>267.45526530612239</v>
      </c>
      <c r="N207">
        <f t="shared" si="32"/>
        <v>165.31248979591837</v>
      </c>
      <c r="O207">
        <f t="shared" si="32"/>
        <v>246.68742857142863</v>
      </c>
      <c r="P207">
        <f t="shared" si="32"/>
        <v>280.29914285714284</v>
      </c>
      <c r="Q207">
        <f t="shared" si="32"/>
        <v>280.71685714285718</v>
      </c>
      <c r="R207">
        <f t="shared" si="32"/>
        <v>306.42171428571424</v>
      </c>
      <c r="S207">
        <f t="shared" si="32"/>
        <v>292.07918367346934</v>
      </c>
      <c r="T207">
        <f t="shared" si="32"/>
        <v>244.33763265306121</v>
      </c>
      <c r="U207">
        <f t="shared" si="32"/>
        <v>243.96489795918373</v>
      </c>
      <c r="V207">
        <f t="shared" si="32"/>
        <v>258.634693877551</v>
      </c>
      <c r="W207">
        <f t="shared" si="32"/>
        <v>283.13877551020408</v>
      </c>
      <c r="Y207" s="15">
        <f t="shared" si="29"/>
        <v>5245.0839943310666</v>
      </c>
      <c r="Z207">
        <f t="shared" si="30"/>
        <v>-682.42041341113998</v>
      </c>
    </row>
    <row r="208" spans="1:26" x14ac:dyDescent="0.25">
      <c r="A208" t="s">
        <v>46</v>
      </c>
      <c r="D208">
        <f t="shared" ref="D208:W208" si="33">D5*D34</f>
        <v>296.6785714285715</v>
      </c>
      <c r="E208">
        <f t="shared" si="33"/>
        <v>324.06367346938777</v>
      </c>
      <c r="F208">
        <f t="shared" si="33"/>
        <v>323.07428571428574</v>
      </c>
      <c r="G208">
        <f t="shared" si="33"/>
        <v>308.95714285714286</v>
      </c>
      <c r="H208">
        <f t="shared" si="33"/>
        <v>284.78693877551024</v>
      </c>
      <c r="I208">
        <f t="shared" si="33"/>
        <v>272.5408163265306</v>
      </c>
      <c r="J208">
        <f t="shared" si="33"/>
        <v>292.99285714285713</v>
      </c>
      <c r="K208">
        <f t="shared" si="33"/>
        <v>279.28775510204082</v>
      </c>
      <c r="L208">
        <f t="shared" si="33"/>
        <v>224.61708333333331</v>
      </c>
      <c r="M208">
        <f t="shared" si="33"/>
        <v>230.02571428571429</v>
      </c>
      <c r="N208">
        <f t="shared" si="33"/>
        <v>270.76163265306127</v>
      </c>
      <c r="O208">
        <f t="shared" si="33"/>
        <v>247.44897959183677</v>
      </c>
      <c r="P208">
        <f t="shared" si="33"/>
        <v>293.87428571428575</v>
      </c>
      <c r="Q208">
        <f t="shared" si="33"/>
        <v>293.66612244897948</v>
      </c>
      <c r="R208">
        <f t="shared" si="33"/>
        <v>304.50857142857149</v>
      </c>
      <c r="S208">
        <f t="shared" si="33"/>
        <v>313.59795918367348</v>
      </c>
      <c r="T208">
        <f t="shared" si="33"/>
        <v>339.19081632653052</v>
      </c>
      <c r="U208">
        <f t="shared" si="33"/>
        <v>324.05816326530612</v>
      </c>
      <c r="V208">
        <f t="shared" si="33"/>
        <v>337.49632653061224</v>
      </c>
      <c r="W208">
        <f t="shared" si="33"/>
        <v>307.15551020408162</v>
      </c>
      <c r="Y208" s="15">
        <f t="shared" si="29"/>
        <v>5868.7832057823143</v>
      </c>
      <c r="Z208">
        <f t="shared" si="30"/>
        <v>-705.89381794476071</v>
      </c>
    </row>
    <row r="209" spans="1:26" x14ac:dyDescent="0.25">
      <c r="A209" t="s">
        <v>47</v>
      </c>
      <c r="D209">
        <f t="shared" ref="D209:W209" si="34">D6*D35</f>
        <v>302.97551020408167</v>
      </c>
      <c r="E209">
        <f t="shared" si="34"/>
        <v>310.64326530612243</v>
      </c>
      <c r="F209">
        <f t="shared" si="34"/>
        <v>294.64285714285717</v>
      </c>
      <c r="G209">
        <f t="shared" si="34"/>
        <v>283.02551020408168</v>
      </c>
      <c r="H209">
        <f t="shared" si="34"/>
        <v>294.85285714285709</v>
      </c>
      <c r="I209">
        <f t="shared" si="34"/>
        <v>253.78122448979593</v>
      </c>
      <c r="J209">
        <f t="shared" si="34"/>
        <v>263.60346938775513</v>
      </c>
      <c r="K209">
        <f t="shared" si="34"/>
        <v>267.55591836734703</v>
      </c>
      <c r="L209">
        <f t="shared" si="34"/>
        <v>246.43666666666664</v>
      </c>
      <c r="M209">
        <f t="shared" si="34"/>
        <v>272.93693877551021</v>
      </c>
      <c r="N209">
        <f t="shared" si="34"/>
        <v>192.40653061224492</v>
      </c>
      <c r="O209">
        <f t="shared" si="34"/>
        <v>244.81387755102048</v>
      </c>
      <c r="P209">
        <f t="shared" si="34"/>
        <v>260.5383673469388</v>
      </c>
      <c r="Q209">
        <f t="shared" si="34"/>
        <v>262.43183673469389</v>
      </c>
      <c r="R209">
        <f t="shared" si="34"/>
        <v>263.52489795918365</v>
      </c>
      <c r="S209">
        <f t="shared" si="34"/>
        <v>265.25469387755106</v>
      </c>
      <c r="T209">
        <f t="shared" si="34"/>
        <v>327.5010204081633</v>
      </c>
      <c r="U209">
        <f t="shared" si="34"/>
        <v>316.54530612244895</v>
      </c>
      <c r="V209">
        <f t="shared" si="34"/>
        <v>276.34387755102046</v>
      </c>
      <c r="W209">
        <f t="shared" si="34"/>
        <v>249.94857142857143</v>
      </c>
      <c r="Y209" s="15">
        <f t="shared" si="29"/>
        <v>5449.7631972789113</v>
      </c>
      <c r="Z209">
        <f t="shared" si="30"/>
        <v>-679.95037850555502</v>
      </c>
    </row>
    <row r="210" spans="1:26" x14ac:dyDescent="0.25">
      <c r="A210" t="s">
        <v>48</v>
      </c>
      <c r="D210">
        <f t="shared" ref="D210:W210" si="35">D7*D36</f>
        <v>300.14571428571435</v>
      </c>
      <c r="E210">
        <f t="shared" si="35"/>
        <v>299.96897959183667</v>
      </c>
      <c r="F210">
        <f t="shared" si="35"/>
        <v>284.02530612244891</v>
      </c>
      <c r="G210">
        <f t="shared" si="35"/>
        <v>241.7069387755102</v>
      </c>
      <c r="H210">
        <f t="shared" si="35"/>
        <v>224.00857142857143</v>
      </c>
      <c r="I210">
        <f t="shared" si="35"/>
        <v>187.17346938775512</v>
      </c>
      <c r="J210">
        <f t="shared" si="35"/>
        <v>226.09469387755107</v>
      </c>
      <c r="K210">
        <f t="shared" si="35"/>
        <v>224.07020408163268</v>
      </c>
      <c r="L210">
        <f t="shared" si="35"/>
        <v>202.37166666666667</v>
      </c>
      <c r="M210">
        <f t="shared" si="35"/>
        <v>244.92</v>
      </c>
      <c r="N210">
        <f t="shared" si="35"/>
        <v>287.47020408163263</v>
      </c>
      <c r="O210">
        <f t="shared" si="35"/>
        <v>266.95653061224493</v>
      </c>
      <c r="P210">
        <f t="shared" si="35"/>
        <v>259.05918367346936</v>
      </c>
      <c r="Q210">
        <f t="shared" si="35"/>
        <v>268.48163265306124</v>
      </c>
      <c r="R210">
        <f t="shared" si="35"/>
        <v>322.04693877551023</v>
      </c>
      <c r="S210">
        <f t="shared" si="35"/>
        <v>305.50040816326532</v>
      </c>
      <c r="T210">
        <f t="shared" si="35"/>
        <v>283.71469387755104</v>
      </c>
      <c r="U210">
        <f t="shared" si="35"/>
        <v>302.1877551020408</v>
      </c>
      <c r="V210">
        <f t="shared" si="35"/>
        <v>349.38000000000005</v>
      </c>
      <c r="W210">
        <f t="shared" si="35"/>
        <v>309.8663265306123</v>
      </c>
      <c r="Y210" s="15">
        <f t="shared" si="29"/>
        <v>5389.1492176870752</v>
      </c>
      <c r="Z210">
        <f t="shared" si="30"/>
        <v>-567.5619742837556</v>
      </c>
    </row>
    <row r="211" spans="1:26" x14ac:dyDescent="0.25">
      <c r="A211" t="s">
        <v>49</v>
      </c>
      <c r="D211">
        <f t="shared" ref="D211:W211" si="36">D8*D37</f>
        <v>293.57020408163271</v>
      </c>
      <c r="E211">
        <f t="shared" si="36"/>
        <v>309.38265306122452</v>
      </c>
      <c r="F211">
        <f t="shared" si="36"/>
        <v>253.46938775510202</v>
      </c>
      <c r="G211">
        <f t="shared" si="36"/>
        <v>269.02653061224481</v>
      </c>
      <c r="H211">
        <f t="shared" si="36"/>
        <v>254.09999999999994</v>
      </c>
      <c r="I211">
        <f t="shared" si="36"/>
        <v>308.64244897959173</v>
      </c>
      <c r="J211">
        <f t="shared" si="36"/>
        <v>285.02857142857147</v>
      </c>
      <c r="K211">
        <f t="shared" si="36"/>
        <v>267.74999999999994</v>
      </c>
      <c r="L211">
        <f t="shared" si="36"/>
        <v>238.41111111111115</v>
      </c>
      <c r="M211">
        <f t="shared" si="36"/>
        <v>281.7081632653061</v>
      </c>
      <c r="N211">
        <f t="shared" si="36"/>
        <v>280.78857142857134</v>
      </c>
      <c r="O211">
        <f t="shared" si="36"/>
        <v>293.22448979591832</v>
      </c>
      <c r="P211">
        <f t="shared" si="36"/>
        <v>286.06938775510201</v>
      </c>
      <c r="Q211">
        <f t="shared" si="36"/>
        <v>280.33959183673471</v>
      </c>
      <c r="R211">
        <f t="shared" si="36"/>
        <v>270.84408163265311</v>
      </c>
      <c r="S211">
        <f t="shared" si="36"/>
        <v>332.18979591836734</v>
      </c>
      <c r="T211">
        <f t="shared" si="36"/>
        <v>332.59224489795929</v>
      </c>
      <c r="U211">
        <f t="shared" si="36"/>
        <v>344.56285714285718</v>
      </c>
      <c r="V211">
        <f t="shared" si="36"/>
        <v>317.08285714285711</v>
      </c>
      <c r="W211">
        <f t="shared" si="36"/>
        <v>308.1642857142856</v>
      </c>
      <c r="Y211" s="15">
        <f t="shared" si="29"/>
        <v>5806.9472335600894</v>
      </c>
      <c r="Z211">
        <f t="shared" si="30"/>
        <v>-675.76382430091132</v>
      </c>
    </row>
    <row r="212" spans="1:26" x14ac:dyDescent="0.25">
      <c r="A212" t="s">
        <v>50</v>
      </c>
      <c r="D212">
        <f t="shared" ref="D212:W212" si="37">D9*D38</f>
        <v>322.38530612244892</v>
      </c>
      <c r="E212">
        <f t="shared" si="37"/>
        <v>312.73020408163268</v>
      </c>
      <c r="F212">
        <f t="shared" si="37"/>
        <v>308.42857142857144</v>
      </c>
      <c r="G212">
        <f t="shared" si="37"/>
        <v>265.22571428571433</v>
      </c>
      <c r="H212">
        <f t="shared" si="37"/>
        <v>286.40571428571423</v>
      </c>
      <c r="I212">
        <f t="shared" si="37"/>
        <v>289.53918367346938</v>
      </c>
      <c r="J212">
        <f t="shared" si="37"/>
        <v>424.30816326530623</v>
      </c>
      <c r="K212">
        <f t="shared" si="37"/>
        <v>281.37244897959187</v>
      </c>
      <c r="L212">
        <f t="shared" si="37"/>
        <v>247.31666666666666</v>
      </c>
      <c r="M212">
        <f t="shared" si="37"/>
        <v>298.38122448979601</v>
      </c>
      <c r="N212">
        <f t="shared" si="37"/>
        <v>280.79183673469385</v>
      </c>
      <c r="O212">
        <f t="shared" si="37"/>
        <v>309.55714285714282</v>
      </c>
      <c r="P212">
        <f t="shared" si="37"/>
        <v>272.01428571428568</v>
      </c>
      <c r="Q212">
        <f t="shared" si="37"/>
        <v>282.50795918367351</v>
      </c>
      <c r="R212">
        <f t="shared" si="37"/>
        <v>278.91306122448981</v>
      </c>
      <c r="S212">
        <f t="shared" si="37"/>
        <v>308.49795918367346</v>
      </c>
      <c r="T212">
        <f t="shared" si="37"/>
        <v>275.64285714285717</v>
      </c>
      <c r="U212">
        <f t="shared" si="37"/>
        <v>317.09142857142854</v>
      </c>
      <c r="V212">
        <f t="shared" si="37"/>
        <v>294.84000000000003</v>
      </c>
      <c r="W212">
        <f t="shared" si="37"/>
        <v>309.37836734693889</v>
      </c>
      <c r="Y212" s="15">
        <f t="shared" si="29"/>
        <v>5965.3280952380956</v>
      </c>
      <c r="Z212">
        <f t="shared" si="30"/>
        <v>-715.84767300435522</v>
      </c>
    </row>
    <row r="213" spans="1:26" x14ac:dyDescent="0.25">
      <c r="A213" t="s">
        <v>51</v>
      </c>
      <c r="D213">
        <f t="shared" ref="D213:W213" si="38">D10*D39</f>
        <v>357.29755102040815</v>
      </c>
      <c r="E213">
        <f t="shared" si="38"/>
        <v>329.33326530612243</v>
      </c>
      <c r="F213">
        <f t="shared" si="38"/>
        <v>338.55102040816314</v>
      </c>
      <c r="G213">
        <f t="shared" si="38"/>
        <v>337.71632653061232</v>
      </c>
      <c r="H213">
        <f t="shared" si="38"/>
        <v>276.55374149659866</v>
      </c>
      <c r="I213">
        <f t="shared" si="38"/>
        <v>281.4793197278911</v>
      </c>
      <c r="J213">
        <f t="shared" si="38"/>
        <v>267.16258503401355</v>
      </c>
      <c r="K213">
        <f t="shared" si="38"/>
        <v>257.91789115646259</v>
      </c>
      <c r="L213">
        <f t="shared" si="38"/>
        <v>251.89690476190475</v>
      </c>
      <c r="M213">
        <f t="shared" si="38"/>
        <v>243.67040816326531</v>
      </c>
      <c r="N213">
        <f t="shared" si="38"/>
        <v>264.10693877551023</v>
      </c>
      <c r="O213">
        <f t="shared" si="38"/>
        <v>286.46428571428567</v>
      </c>
      <c r="P213">
        <f t="shared" si="38"/>
        <v>302.57632653061228</v>
      </c>
      <c r="Q213">
        <f t="shared" si="38"/>
        <v>285.91224489795923</v>
      </c>
      <c r="R213">
        <f t="shared" si="38"/>
        <v>310.46204081632646</v>
      </c>
      <c r="S213">
        <f t="shared" si="38"/>
        <v>315.97367346938779</v>
      </c>
      <c r="T213">
        <f t="shared" si="38"/>
        <v>344.62714285714287</v>
      </c>
      <c r="U213">
        <f t="shared" si="38"/>
        <v>338.64530612244897</v>
      </c>
      <c r="V213">
        <f t="shared" si="38"/>
        <v>357.91653061224491</v>
      </c>
      <c r="W213">
        <f t="shared" si="38"/>
        <v>373.96204081632652</v>
      </c>
      <c r="Y213" s="15">
        <f t="shared" si="29"/>
        <v>6122.2255442176875</v>
      </c>
      <c r="Z213">
        <f t="shared" si="30"/>
        <v>-704.8800490659504</v>
      </c>
    </row>
    <row r="214" spans="1:26" x14ac:dyDescent="0.25">
      <c r="A214" t="s">
        <v>52</v>
      </c>
      <c r="D214">
        <f t="shared" ref="D214:W214" si="39">D11*D40</f>
        <v>352.09714285714284</v>
      </c>
      <c r="E214">
        <f t="shared" si="39"/>
        <v>326.05714285714282</v>
      </c>
      <c r="F214">
        <f t="shared" si="39"/>
        <v>314.26020408163265</v>
      </c>
      <c r="G214">
        <f t="shared" si="39"/>
        <v>302.730612244898</v>
      </c>
      <c r="H214">
        <f t="shared" si="39"/>
        <v>272.26224489795919</v>
      </c>
      <c r="I214">
        <f t="shared" si="39"/>
        <v>271.45755102040812</v>
      </c>
      <c r="J214">
        <f t="shared" si="39"/>
        <v>269.03591836734694</v>
      </c>
      <c r="K214">
        <f t="shared" si="39"/>
        <v>282.41020408163268</v>
      </c>
      <c r="L214">
        <f t="shared" si="39"/>
        <v>215.06172839506175</v>
      </c>
      <c r="M214">
        <f t="shared" si="39"/>
        <v>255.46938775510202</v>
      </c>
      <c r="N214">
        <f t="shared" si="39"/>
        <v>275.39999999999998</v>
      </c>
      <c r="O214">
        <f t="shared" si="39"/>
        <v>246.73469387755102</v>
      </c>
      <c r="P214">
        <f t="shared" si="39"/>
        <v>257.3869387755102</v>
      </c>
      <c r="Q214">
        <f t="shared" si="39"/>
        <v>265.28571428571428</v>
      </c>
      <c r="R214">
        <f t="shared" si="39"/>
        <v>240.8920408163265</v>
      </c>
      <c r="S214">
        <f t="shared" si="39"/>
        <v>321.64285714285711</v>
      </c>
      <c r="T214">
        <f t="shared" si="39"/>
        <v>354.62979591836739</v>
      </c>
      <c r="U214">
        <f t="shared" si="39"/>
        <v>360.42428571428576</v>
      </c>
      <c r="V214">
        <f t="shared" si="39"/>
        <v>316.51714285714286</v>
      </c>
      <c r="W214">
        <f t="shared" si="39"/>
        <v>262.58653061224493</v>
      </c>
      <c r="Y214" s="15">
        <f t="shared" si="29"/>
        <v>5762.3421365583272</v>
      </c>
      <c r="Z214">
        <f t="shared" si="30"/>
        <v>-686.41826957581657</v>
      </c>
    </row>
    <row r="215" spans="1:26" x14ac:dyDescent="0.25">
      <c r="A215" t="s">
        <v>53</v>
      </c>
      <c r="D215">
        <f t="shared" ref="D215:W215" si="40">D12*D41</f>
        <v>312.40102040816328</v>
      </c>
      <c r="E215">
        <f t="shared" si="40"/>
        <v>278.5</v>
      </c>
      <c r="F215">
        <f t="shared" si="40"/>
        <v>287.91122448979598</v>
      </c>
      <c r="G215">
        <f t="shared" si="40"/>
        <v>238.48571428571427</v>
      </c>
      <c r="H215">
        <f t="shared" si="40"/>
        <v>275.97551020408162</v>
      </c>
      <c r="I215">
        <f t="shared" si="40"/>
        <v>285.78163265306119</v>
      </c>
      <c r="J215">
        <f t="shared" si="40"/>
        <v>292.2704081632653</v>
      </c>
      <c r="K215">
        <f t="shared" si="40"/>
        <v>290.97142857142853</v>
      </c>
      <c r="L215">
        <f t="shared" si="40"/>
        <v>223.72777777777782</v>
      </c>
      <c r="M215">
        <f t="shared" si="40"/>
        <v>263.26530612244898</v>
      </c>
      <c r="N215">
        <f t="shared" si="40"/>
        <v>277.42775510204081</v>
      </c>
      <c r="O215">
        <f t="shared" si="40"/>
        <v>286.12959183673468</v>
      </c>
      <c r="P215">
        <f t="shared" si="40"/>
        <v>278.04999999999995</v>
      </c>
      <c r="Q215">
        <f t="shared" si="40"/>
        <v>255.48979591836738</v>
      </c>
      <c r="R215">
        <f t="shared" si="40"/>
        <v>300.25122448979596</v>
      </c>
      <c r="S215">
        <f t="shared" si="40"/>
        <v>257.41428571428571</v>
      </c>
      <c r="T215">
        <f t="shared" si="40"/>
        <v>266.23469387755097</v>
      </c>
      <c r="U215">
        <f t="shared" si="40"/>
        <v>316.39591836734701</v>
      </c>
      <c r="V215">
        <f t="shared" si="40"/>
        <v>352.35306122448975</v>
      </c>
      <c r="W215">
        <f t="shared" si="40"/>
        <v>333.05102040816325</v>
      </c>
      <c r="Y215" s="15">
        <f t="shared" si="29"/>
        <v>5672.0873696145118</v>
      </c>
      <c r="Z215">
        <f t="shared" si="30"/>
        <v>-651.2031413347645</v>
      </c>
    </row>
    <row r="216" spans="1:26" x14ac:dyDescent="0.25">
      <c r="A216" t="s">
        <v>54</v>
      </c>
      <c r="D216">
        <f t="shared" ref="D216:W216" si="41">D13*D42</f>
        <v>356.6367346938776</v>
      </c>
      <c r="E216">
        <f t="shared" si="41"/>
        <v>335.75816326530611</v>
      </c>
      <c r="F216">
        <f t="shared" si="41"/>
        <v>325.99183673469389</v>
      </c>
      <c r="G216">
        <f t="shared" si="41"/>
        <v>289.12040816326527</v>
      </c>
      <c r="H216">
        <f t="shared" si="41"/>
        <v>308.26122448979595</v>
      </c>
      <c r="I216">
        <f t="shared" si="41"/>
        <v>302.30510204081628</v>
      </c>
      <c r="J216">
        <f t="shared" si="41"/>
        <v>285.12653061224489</v>
      </c>
      <c r="K216">
        <f t="shared" si="41"/>
        <v>286.59183673469386</v>
      </c>
      <c r="L216">
        <f t="shared" si="41"/>
        <v>212.89629629629627</v>
      </c>
      <c r="M216">
        <f t="shared" si="41"/>
        <v>247.38285714285712</v>
      </c>
      <c r="N216">
        <f t="shared" si="41"/>
        <v>248.96081632653056</v>
      </c>
      <c r="O216">
        <f t="shared" si="41"/>
        <v>253.13877551020406</v>
      </c>
      <c r="P216">
        <f t="shared" si="41"/>
        <v>288.24489795918367</v>
      </c>
      <c r="Q216">
        <f t="shared" si="41"/>
        <v>297.97877551020406</v>
      </c>
      <c r="R216">
        <f t="shared" si="41"/>
        <v>312.44387755102042</v>
      </c>
      <c r="S216">
        <f t="shared" si="41"/>
        <v>318.96734693877556</v>
      </c>
      <c r="T216">
        <f t="shared" si="41"/>
        <v>339.80510204081634</v>
      </c>
      <c r="U216">
        <f t="shared" si="41"/>
        <v>369.47346938775507</v>
      </c>
      <c r="V216">
        <f t="shared" si="41"/>
        <v>337.34204081632652</v>
      </c>
      <c r="W216">
        <f t="shared" si="41"/>
        <v>387.87142857142862</v>
      </c>
      <c r="Y216" s="15">
        <f t="shared" si="29"/>
        <v>6104.2975207860927</v>
      </c>
      <c r="Z216">
        <f t="shared" si="30"/>
        <v>-737.27795049557744</v>
      </c>
    </row>
    <row r="217" spans="1:26" x14ac:dyDescent="0.25">
      <c r="A217" t="s">
        <v>55</v>
      </c>
      <c r="D217">
        <f t="shared" ref="D217:W217" si="42">D14*D43</f>
        <v>294.10836734693873</v>
      </c>
      <c r="E217">
        <f t="shared" si="42"/>
        <v>225.76</v>
      </c>
      <c r="F217">
        <f t="shared" si="42"/>
        <v>300.22448979591837</v>
      </c>
      <c r="G217">
        <f t="shared" si="42"/>
        <v>298.58693877551019</v>
      </c>
      <c r="H217">
        <f t="shared" si="42"/>
        <v>298.18040816326527</v>
      </c>
      <c r="I217">
        <f t="shared" si="42"/>
        <v>243.12571428571428</v>
      </c>
      <c r="J217">
        <f t="shared" si="42"/>
        <v>242.9651020408163</v>
      </c>
      <c r="K217">
        <f t="shared" si="42"/>
        <v>284.00979591836739</v>
      </c>
      <c r="L217">
        <f t="shared" si="42"/>
        <v>210.97499999999999</v>
      </c>
      <c r="M217">
        <f t="shared" si="42"/>
        <v>244.04897959183674</v>
      </c>
      <c r="N217">
        <f t="shared" si="42"/>
        <v>293.98040816326528</v>
      </c>
      <c r="O217">
        <f t="shared" si="42"/>
        <v>271.83673469387759</v>
      </c>
      <c r="P217">
        <f t="shared" si="42"/>
        <v>161.22857142857143</v>
      </c>
      <c r="Q217">
        <f t="shared" si="42"/>
        <v>271.86734693877554</v>
      </c>
      <c r="R217">
        <f t="shared" si="42"/>
        <v>294.02448979591833</v>
      </c>
      <c r="S217">
        <f t="shared" si="42"/>
        <v>297.19285714285712</v>
      </c>
      <c r="T217">
        <f t="shared" si="42"/>
        <v>291.01224489795914</v>
      </c>
      <c r="U217">
        <f t="shared" si="42"/>
        <v>311.35204081632656</v>
      </c>
      <c r="V217">
        <f t="shared" si="42"/>
        <v>281.25714285714287</v>
      </c>
      <c r="W217">
        <f t="shared" si="42"/>
        <v>329.64897959183673</v>
      </c>
      <c r="Y217" s="15">
        <f t="shared" si="29"/>
        <v>5445.3856122448979</v>
      </c>
      <c r="Z217">
        <f t="shared" si="30"/>
        <v>-653.4035739654272</v>
      </c>
    </row>
    <row r="218" spans="1:26" x14ac:dyDescent="0.25">
      <c r="A218" t="s">
        <v>56</v>
      </c>
      <c r="D218">
        <f t="shared" ref="D218:W218" si="43">D15*D44</f>
        <v>330.67346938775512</v>
      </c>
      <c r="E218">
        <f t="shared" si="43"/>
        <v>292.33999999999997</v>
      </c>
      <c r="F218">
        <f t="shared" si="43"/>
        <v>312.3642857142857</v>
      </c>
      <c r="G218">
        <f t="shared" si="43"/>
        <v>294.39999999999998</v>
      </c>
      <c r="H218">
        <f t="shared" si="43"/>
        <v>290.01447619047616</v>
      </c>
      <c r="I218">
        <f t="shared" si="43"/>
        <v>278.60427210884359</v>
      </c>
      <c r="J218">
        <f t="shared" si="43"/>
        <v>299.8770068027211</v>
      </c>
      <c r="K218">
        <f t="shared" si="43"/>
        <v>280.6466666666667</v>
      </c>
      <c r="L218">
        <f t="shared" si="43"/>
        <v>242.08237301587306</v>
      </c>
      <c r="M218">
        <f t="shared" si="43"/>
        <v>224.18061224489793</v>
      </c>
      <c r="N218">
        <f t="shared" si="43"/>
        <v>255.85102040816327</v>
      </c>
      <c r="O218">
        <f t="shared" si="43"/>
        <v>270.89999999999998</v>
      </c>
      <c r="P218">
        <f t="shared" si="43"/>
        <v>262.1877551020408</v>
      </c>
      <c r="Q218">
        <f t="shared" si="43"/>
        <v>285.21428571428572</v>
      </c>
      <c r="R218">
        <f t="shared" si="43"/>
        <v>312.65102040816333</v>
      </c>
      <c r="S218">
        <f t="shared" si="43"/>
        <v>312.14285714285722</v>
      </c>
      <c r="T218">
        <f t="shared" si="43"/>
        <v>349.19387755102042</v>
      </c>
      <c r="U218">
        <f t="shared" si="43"/>
        <v>349.37755102040813</v>
      </c>
      <c r="V218">
        <f t="shared" si="43"/>
        <v>256.28571428571428</v>
      </c>
      <c r="W218">
        <f t="shared" si="43"/>
        <v>284.08163265306126</v>
      </c>
      <c r="Y218" s="15">
        <f t="shared" si="29"/>
        <v>5783.0688764172337</v>
      </c>
      <c r="Z218">
        <f t="shared" si="30"/>
        <v>-700.8876585576553</v>
      </c>
    </row>
    <row r="219" spans="1:26" x14ac:dyDescent="0.25">
      <c r="A219" t="s">
        <v>57</v>
      </c>
      <c r="D219">
        <f t="shared" ref="D219:W219" si="44">D16*D45</f>
        <v>305.44489795918372</v>
      </c>
      <c r="E219">
        <f t="shared" si="44"/>
        <v>274.61061224489799</v>
      </c>
      <c r="F219">
        <f t="shared" si="44"/>
        <v>272.08775510204077</v>
      </c>
      <c r="G219">
        <f t="shared" si="44"/>
        <v>269.19387755102031</v>
      </c>
      <c r="H219">
        <f t="shared" si="44"/>
        <v>286.87868571428572</v>
      </c>
      <c r="I219">
        <f t="shared" si="44"/>
        <v>228.56133333333335</v>
      </c>
      <c r="J219">
        <f t="shared" si="44"/>
        <v>286.91651700680279</v>
      </c>
      <c r="K219">
        <f t="shared" si="44"/>
        <v>290.18795918367351</v>
      </c>
      <c r="L219">
        <f t="shared" si="44"/>
        <v>230.27389387755099</v>
      </c>
      <c r="M219">
        <f t="shared" si="44"/>
        <v>227.62035374149659</v>
      </c>
      <c r="N219">
        <f t="shared" si="44"/>
        <v>261.46514285714284</v>
      </c>
      <c r="O219">
        <f t="shared" si="44"/>
        <v>260.32780045351478</v>
      </c>
      <c r="P219">
        <f t="shared" si="44"/>
        <v>246.47845714285714</v>
      </c>
      <c r="Q219">
        <f t="shared" si="44"/>
        <v>290.45183673469381</v>
      </c>
      <c r="R219">
        <f t="shared" si="44"/>
        <v>233.74368253968248</v>
      </c>
      <c r="S219">
        <f t="shared" si="44"/>
        <v>320.37059863945569</v>
      </c>
      <c r="T219">
        <f t="shared" si="44"/>
        <v>313.43216326530609</v>
      </c>
      <c r="U219">
        <f t="shared" si="44"/>
        <v>336.4569387755102</v>
      </c>
      <c r="V219">
        <f t="shared" si="44"/>
        <v>311.84942857142852</v>
      </c>
      <c r="W219">
        <f t="shared" si="44"/>
        <v>336.75435374149669</v>
      </c>
      <c r="Y219" s="15">
        <f t="shared" si="29"/>
        <v>5583.1062884353742</v>
      </c>
      <c r="Z219">
        <f t="shared" si="30"/>
        <v>-658.56223045190336</v>
      </c>
    </row>
    <row r="220" spans="1:26" x14ac:dyDescent="0.25">
      <c r="A220" t="s">
        <v>58</v>
      </c>
      <c r="D220">
        <f t="shared" ref="D220:W220" si="45">D17*D46</f>
        <v>312.50938775510207</v>
      </c>
      <c r="E220">
        <f t="shared" si="45"/>
        <v>330.93540816326521</v>
      </c>
      <c r="F220">
        <f t="shared" si="45"/>
        <v>302.16836734693879</v>
      </c>
      <c r="G220">
        <f t="shared" si="45"/>
        <v>294.86142857142863</v>
      </c>
      <c r="H220">
        <f t="shared" si="45"/>
        <v>285.94482237339378</v>
      </c>
      <c r="I220">
        <f t="shared" si="45"/>
        <v>221.59697656840515</v>
      </c>
      <c r="J220">
        <f t="shared" si="45"/>
        <v>248.69549508692367</v>
      </c>
      <c r="K220">
        <f t="shared" si="45"/>
        <v>277.1387301587302</v>
      </c>
      <c r="L220">
        <f t="shared" si="45"/>
        <v>200.25820105820108</v>
      </c>
      <c r="M220">
        <f t="shared" si="45"/>
        <v>206.9265306122449</v>
      </c>
      <c r="N220">
        <f t="shared" si="45"/>
        <v>217.34857142857143</v>
      </c>
      <c r="O220">
        <f t="shared" si="45"/>
        <v>247.8367346938775</v>
      </c>
      <c r="P220">
        <f t="shared" si="45"/>
        <v>227.48877551020405</v>
      </c>
      <c r="Q220">
        <f t="shared" si="45"/>
        <v>214.38775510204079</v>
      </c>
      <c r="R220">
        <f t="shared" si="45"/>
        <v>208.96122448979588</v>
      </c>
      <c r="S220">
        <f t="shared" si="45"/>
        <v>313.28571428571422</v>
      </c>
      <c r="T220">
        <f t="shared" si="45"/>
        <v>320.28571428571428</v>
      </c>
      <c r="U220">
        <f t="shared" si="45"/>
        <v>343.39531249999999</v>
      </c>
      <c r="V220">
        <f t="shared" si="45"/>
        <v>307.56122448979596</v>
      </c>
      <c r="W220">
        <f t="shared" si="45"/>
        <v>271.12040816326527</v>
      </c>
      <c r="Y220" s="15">
        <f t="shared" si="29"/>
        <v>5352.7067826436123</v>
      </c>
      <c r="Z220">
        <f t="shared" si="30"/>
        <v>-642.48767374155307</v>
      </c>
    </row>
    <row r="221" spans="1:26" x14ac:dyDescent="0.25">
      <c r="A221" t="s">
        <v>59</v>
      </c>
      <c r="D221">
        <f t="shared" ref="D221:W221" si="46">D18*D47</f>
        <v>349.8448979591837</v>
      </c>
      <c r="E221">
        <f t="shared" si="46"/>
        <v>335.54183673469385</v>
      </c>
      <c r="F221">
        <f t="shared" si="46"/>
        <v>272.57142857142856</v>
      </c>
      <c r="G221">
        <f t="shared" si="46"/>
        <v>243.2</v>
      </c>
      <c r="H221">
        <f t="shared" si="46"/>
        <v>225.53061224489798</v>
      </c>
      <c r="I221">
        <f t="shared" si="46"/>
        <v>258.86938775510203</v>
      </c>
      <c r="J221">
        <f t="shared" si="46"/>
        <v>235.66836734693871</v>
      </c>
      <c r="K221">
        <f t="shared" si="46"/>
        <v>288.85999999999996</v>
      </c>
      <c r="L221">
        <f t="shared" si="46"/>
        <v>4.9095312500000023</v>
      </c>
      <c r="M221">
        <f t="shared" si="46"/>
        <v>274.71673469387753</v>
      </c>
      <c r="N221">
        <f t="shared" si="46"/>
        <v>235.59999999999997</v>
      </c>
      <c r="O221">
        <f t="shared" si="46"/>
        <v>230.08265306122448</v>
      </c>
      <c r="P221">
        <f t="shared" si="46"/>
        <v>237.36857142857141</v>
      </c>
      <c r="Q221">
        <f t="shared" si="46"/>
        <v>324.32326530612255</v>
      </c>
      <c r="R221">
        <f t="shared" si="46"/>
        <v>319.00571428571419</v>
      </c>
      <c r="S221">
        <f t="shared" si="46"/>
        <v>328.34285714285721</v>
      </c>
      <c r="T221">
        <f t="shared" si="46"/>
        <v>328.44</v>
      </c>
      <c r="U221">
        <f t="shared" si="46"/>
        <v>385.04979591836735</v>
      </c>
      <c r="V221">
        <f t="shared" si="46"/>
        <v>368.90285714285721</v>
      </c>
      <c r="W221">
        <f t="shared" si="46"/>
        <v>369.91020408163268</v>
      </c>
      <c r="Y221" s="15">
        <f t="shared" si="29"/>
        <v>5616.7387149234692</v>
      </c>
      <c r="Z221">
        <f t="shared" si="30"/>
        <v>-663.47351236975771</v>
      </c>
    </row>
    <row r="222" spans="1:26" x14ac:dyDescent="0.25">
      <c r="A222" t="s">
        <v>60</v>
      </c>
      <c r="D222">
        <f t="shared" ref="D222:W222" si="47">D19*D48</f>
        <v>365.93877551020404</v>
      </c>
      <c r="E222">
        <f t="shared" si="47"/>
        <v>270.20775510204078</v>
      </c>
      <c r="F222">
        <f t="shared" si="47"/>
        <v>101.35000000000001</v>
      </c>
      <c r="G222">
        <f t="shared" si="47"/>
        <v>309.6514285714286</v>
      </c>
      <c r="H222">
        <f t="shared" si="47"/>
        <v>310.85102040816327</v>
      </c>
      <c r="I222">
        <f t="shared" si="47"/>
        <v>276.86632653061218</v>
      </c>
      <c r="J222">
        <f t="shared" si="47"/>
        <v>264.12795918367357</v>
      </c>
      <c r="K222">
        <f t="shared" si="47"/>
        <v>213.34408163265306</v>
      </c>
      <c r="L222">
        <f t="shared" si="47"/>
        <v>264.18061224489799</v>
      </c>
      <c r="M222">
        <f t="shared" si="47"/>
        <v>267.04285714285714</v>
      </c>
      <c r="N222">
        <f t="shared" si="47"/>
        <v>263.66653061224491</v>
      </c>
      <c r="O222">
        <f t="shared" si="47"/>
        <v>290.43306122448973</v>
      </c>
      <c r="P222">
        <f t="shared" si="47"/>
        <v>309.85632653061225</v>
      </c>
      <c r="Q222">
        <f t="shared" si="47"/>
        <v>264.25367346938771</v>
      </c>
      <c r="R222">
        <f t="shared" si="47"/>
        <v>251.93999999999994</v>
      </c>
      <c r="S222">
        <f t="shared" si="47"/>
        <v>288.34142857142854</v>
      </c>
      <c r="T222">
        <f t="shared" si="47"/>
        <v>310.47714285714278</v>
      </c>
      <c r="U222">
        <f t="shared" si="47"/>
        <v>332.71183673469392</v>
      </c>
      <c r="V222">
        <f t="shared" si="47"/>
        <v>335.03877551020406</v>
      </c>
      <c r="W222">
        <f t="shared" si="47"/>
        <v>389.18204081632655</v>
      </c>
      <c r="Y222" s="15">
        <f t="shared" si="29"/>
        <v>5679.4616326530604</v>
      </c>
      <c r="Z222">
        <f t="shared" si="30"/>
        <v>-650.99168474280464</v>
      </c>
    </row>
    <row r="223" spans="1:26" x14ac:dyDescent="0.25">
      <c r="A223" t="s">
        <v>61</v>
      </c>
      <c r="D223">
        <f>AVERAGE(D212:D221)</f>
        <v>329.33987755102044</v>
      </c>
      <c r="E223">
        <f>AVERAGE(E212:E221)</f>
        <v>304.15666326530612</v>
      </c>
      <c r="F223">
        <f>AVERAGE(F212:F221)</f>
        <v>303.45591836734695</v>
      </c>
      <c r="G223">
        <f>AVERAGE(G212:G221)</f>
        <v>283.35210204081631</v>
      </c>
      <c r="H223">
        <f t="shared" ref="H223:W223" si="48">H20*H49</f>
        <v>240.30346938775509</v>
      </c>
      <c r="I223">
        <f t="shared" si="48"/>
        <v>267.0804081632653</v>
      </c>
      <c r="J223">
        <f t="shared" si="48"/>
        <v>251.94</v>
      </c>
      <c r="K223">
        <f t="shared" si="48"/>
        <v>279.69306122448978</v>
      </c>
      <c r="L223">
        <f t="shared" si="48"/>
        <v>229.79124999999996</v>
      </c>
      <c r="M223">
        <f t="shared" si="48"/>
        <v>263.06285714285718</v>
      </c>
      <c r="N223">
        <f t="shared" si="48"/>
        <v>280.33163265306121</v>
      </c>
      <c r="O223">
        <f t="shared" si="48"/>
        <v>284.46428571428572</v>
      </c>
      <c r="P223">
        <f t="shared" si="48"/>
        <v>288.8485714285714</v>
      </c>
      <c r="Q223">
        <f t="shared" si="48"/>
        <v>296.20244897959179</v>
      </c>
      <c r="R223">
        <f t="shared" si="48"/>
        <v>310.25693877551021</v>
      </c>
      <c r="S223">
        <f t="shared" si="48"/>
        <v>311.87510204081633</v>
      </c>
      <c r="T223">
        <f t="shared" si="48"/>
        <v>324.58775510204077</v>
      </c>
      <c r="U223">
        <f t="shared" si="48"/>
        <v>353.14285714285717</v>
      </c>
      <c r="V223">
        <f t="shared" si="48"/>
        <v>347.78183673469385</v>
      </c>
      <c r="W223">
        <f t="shared" si="48"/>
        <v>399.81408163265314</v>
      </c>
      <c r="Y223" s="15">
        <f t="shared" si="29"/>
        <v>5949.4811173469379</v>
      </c>
      <c r="Z223">
        <f t="shared" si="30"/>
        <v>-660.50850633782773</v>
      </c>
    </row>
    <row r="224" spans="1:26" x14ac:dyDescent="0.25">
      <c r="A224" t="s">
        <v>62</v>
      </c>
      <c r="D224">
        <f>D21*D50</f>
        <v>290.8867346938776</v>
      </c>
      <c r="E224">
        <f>E21*E50</f>
        <v>321.68979591836728</v>
      </c>
      <c r="F224">
        <f>F21*F50</f>
        <v>263.73673469387739</v>
      </c>
      <c r="G224">
        <f>G21*G50</f>
        <v>239.52857142857144</v>
      </c>
      <c r="H224">
        <f t="shared" ref="H224:W224" si="49">H21*H50</f>
        <v>261.00612244897962</v>
      </c>
      <c r="I224">
        <f t="shared" si="49"/>
        <v>303.15510204081642</v>
      </c>
      <c r="J224">
        <f t="shared" si="49"/>
        <v>342.52040816326524</v>
      </c>
      <c r="K224">
        <f t="shared" si="49"/>
        <v>344.2285714285714</v>
      </c>
      <c r="L224">
        <f t="shared" si="49"/>
        <v>253.06530612244882</v>
      </c>
      <c r="M224">
        <f t="shared" si="49"/>
        <v>218.31020408163263</v>
      </c>
      <c r="N224">
        <f t="shared" si="49"/>
        <v>244.08163265306123</v>
      </c>
      <c r="O224">
        <f t="shared" si="49"/>
        <v>260.35306122448975</v>
      </c>
      <c r="P224">
        <f t="shared" si="49"/>
        <v>275.17959183673469</v>
      </c>
      <c r="Q224">
        <f t="shared" si="49"/>
        <v>282.11510204081634</v>
      </c>
      <c r="R224">
        <f t="shared" si="49"/>
        <v>265.36081632653065</v>
      </c>
      <c r="S224">
        <f t="shared" si="49"/>
        <v>290.1563265306122</v>
      </c>
      <c r="T224">
        <f t="shared" si="49"/>
        <v>326.25489795918367</v>
      </c>
      <c r="U224">
        <f t="shared" si="49"/>
        <v>292.32551020408164</v>
      </c>
      <c r="V224">
        <f t="shared" si="49"/>
        <v>259.40816326530614</v>
      </c>
      <c r="W224">
        <f t="shared" si="49"/>
        <v>283.74489795918367</v>
      </c>
      <c r="Y224" s="15">
        <f t="shared" si="29"/>
        <v>5617.1075510204082</v>
      </c>
      <c r="Z224">
        <f t="shared" si="30"/>
        <v>-694.96304999793483</v>
      </c>
    </row>
    <row r="225" spans="1:26" x14ac:dyDescent="0.25">
      <c r="Y225" s="15"/>
    </row>
    <row r="226" spans="1:26" x14ac:dyDescent="0.25">
      <c r="A226" t="s">
        <v>63</v>
      </c>
      <c r="D226">
        <f t="shared" ref="D226:W226" si="50">D23*D52</f>
        <v>307.22693877551018</v>
      </c>
      <c r="E226">
        <f t="shared" si="50"/>
        <v>266.56428571428575</v>
      </c>
      <c r="F226">
        <f t="shared" si="50"/>
        <v>283.20102040816329</v>
      </c>
      <c r="G226">
        <f t="shared" si="50"/>
        <v>217.98857142857142</v>
      </c>
      <c r="H226">
        <f t="shared" si="50"/>
        <v>262.15421315192737</v>
      </c>
      <c r="I226">
        <f t="shared" si="50"/>
        <v>274.59749055177627</v>
      </c>
      <c r="J226">
        <f t="shared" si="50"/>
        <v>272.16585034013605</v>
      </c>
      <c r="K226">
        <f t="shared" si="50"/>
        <v>276.68365835222977</v>
      </c>
      <c r="L226">
        <f t="shared" si="50"/>
        <v>219.89135802469139</v>
      </c>
      <c r="M226">
        <f t="shared" si="50"/>
        <v>240.61224489795919</v>
      </c>
      <c r="N226">
        <f t="shared" si="50"/>
        <v>259.63428571428568</v>
      </c>
      <c r="O226">
        <f t="shared" si="50"/>
        <v>340.77551020408032</v>
      </c>
      <c r="P226">
        <f t="shared" si="50"/>
        <v>212.83571428571426</v>
      </c>
      <c r="Q226">
        <f t="shared" si="50"/>
        <v>208.5408163265306</v>
      </c>
      <c r="R226">
        <f t="shared" si="50"/>
        <v>284.32641228612658</v>
      </c>
      <c r="S226">
        <f t="shared" si="50"/>
        <v>246.11737950937945</v>
      </c>
      <c r="T226">
        <f t="shared" si="50"/>
        <v>319.40347534716358</v>
      </c>
      <c r="U226">
        <f t="shared" si="50"/>
        <v>378.56448823227515</v>
      </c>
      <c r="V226">
        <f t="shared" si="50"/>
        <v>318.13730499803233</v>
      </c>
      <c r="W226">
        <f t="shared" si="50"/>
        <v>323.79507190644853</v>
      </c>
      <c r="Y226" s="15">
        <f t="shared" si="29"/>
        <v>5513.2160904552857</v>
      </c>
      <c r="Z226">
        <f>SUMPRODUCT($D$230:$S$230,D226:S226)</f>
        <v>-591.35831534238241</v>
      </c>
    </row>
    <row r="227" spans="1:26" x14ac:dyDescent="0.25">
      <c r="A227" t="s">
        <v>307</v>
      </c>
      <c r="D227">
        <f t="shared" ref="D227:W227" si="51">D24*D53</f>
        <v>288.95999999999998</v>
      </c>
      <c r="E227">
        <f t="shared" si="51"/>
        <v>268.26428571428573</v>
      </c>
      <c r="F227">
        <f t="shared" si="51"/>
        <v>251.3014285714286</v>
      </c>
      <c r="G227">
        <f t="shared" si="51"/>
        <v>257.54000000000002</v>
      </c>
      <c r="H227">
        <f t="shared" si="51"/>
        <v>288.52734693877551</v>
      </c>
      <c r="I227">
        <f t="shared" si="51"/>
        <v>259.63387755102036</v>
      </c>
      <c r="J227">
        <f t="shared" si="51"/>
        <v>192.64</v>
      </c>
      <c r="K227">
        <f t="shared" si="51"/>
        <v>250.82959183673475</v>
      </c>
      <c r="L227">
        <f t="shared" si="51"/>
        <v>91.503749999999997</v>
      </c>
      <c r="M227">
        <f t="shared" si="51"/>
        <v>133.43632653061226</v>
      </c>
      <c r="N227">
        <f t="shared" si="51"/>
        <v>183.84734693877556</v>
      </c>
      <c r="O227">
        <f t="shared" si="51"/>
        <v>206.79367346938778</v>
      </c>
      <c r="P227">
        <f t="shared" si="51"/>
        <v>130.38</v>
      </c>
      <c r="Q227">
        <f t="shared" si="51"/>
        <v>187.86</v>
      </c>
      <c r="R227">
        <f t="shared" si="51"/>
        <v>290.08000000000004</v>
      </c>
      <c r="S227">
        <f t="shared" si="51"/>
        <v>120.94999999999999</v>
      </c>
      <c r="T227">
        <f t="shared" si="51"/>
        <v>343.98</v>
      </c>
      <c r="U227">
        <f t="shared" si="51"/>
        <v>397.1</v>
      </c>
      <c r="V227">
        <f t="shared" si="51"/>
        <v>265.98</v>
      </c>
      <c r="W227">
        <f t="shared" si="51"/>
        <v>300.51</v>
      </c>
      <c r="Y227" s="15">
        <f t="shared" si="29"/>
        <v>4710.1176275510206</v>
      </c>
      <c r="Z227">
        <f>SUMPRODUCT($D$230:$S$230,D227:S227)</f>
        <v>-563.5696307249259</v>
      </c>
    </row>
    <row r="228" spans="1:26" x14ac:dyDescent="0.25">
      <c r="A228" t="s">
        <v>308</v>
      </c>
      <c r="D228">
        <f t="shared" ref="D228:W228" si="52">D25*D54</f>
        <v>256.41161410018555</v>
      </c>
      <c r="E228">
        <f t="shared" si="52"/>
        <v>315.56</v>
      </c>
      <c r="F228">
        <f t="shared" si="52"/>
        <v>204.4971428571429</v>
      </c>
      <c r="G228">
        <f t="shared" si="52"/>
        <v>296.19428571428574</v>
      </c>
      <c r="H228">
        <f t="shared" si="52"/>
        <v>294.26285714285711</v>
      </c>
      <c r="I228">
        <f t="shared" si="52"/>
        <v>310.56000000000006</v>
      </c>
      <c r="J228">
        <f t="shared" si="52"/>
        <v>270.47571428571428</v>
      </c>
      <c r="K228">
        <f t="shared" si="52"/>
        <v>222.47142857142859</v>
      </c>
      <c r="L228">
        <f t="shared" si="52"/>
        <v>203.03250000000003</v>
      </c>
      <c r="M228">
        <f t="shared" si="52"/>
        <v>187.96</v>
      </c>
      <c r="N228">
        <f t="shared" si="52"/>
        <v>180.72000000000003</v>
      </c>
      <c r="O228">
        <f t="shared" si="52"/>
        <v>207.45999999999998</v>
      </c>
      <c r="P228">
        <f t="shared" si="52"/>
        <v>255.45697939342401</v>
      </c>
      <c r="Q228">
        <f t="shared" si="52"/>
        <v>272.17012755102036</v>
      </c>
      <c r="R228">
        <f t="shared" si="52"/>
        <v>254.90218367346935</v>
      </c>
      <c r="S228">
        <f t="shared" si="52"/>
        <v>312.89107596371878</v>
      </c>
      <c r="T228">
        <f t="shared" si="52"/>
        <v>318.20447845804983</v>
      </c>
      <c r="U228">
        <f t="shared" si="52"/>
        <v>349.39463953550171</v>
      </c>
      <c r="V228">
        <f t="shared" si="52"/>
        <v>331.10336564625851</v>
      </c>
      <c r="W228">
        <f t="shared" si="52"/>
        <v>341.00270748299323</v>
      </c>
      <c r="Y228" s="15">
        <f t="shared" si="29"/>
        <v>5384.7311003760506</v>
      </c>
      <c r="Z228">
        <f>SUMPRODUCT($D$230:$S$230,D228:S228)</f>
        <v>-693.68987902354252</v>
      </c>
    </row>
    <row r="229" spans="1:26" x14ac:dyDescent="0.25">
      <c r="A229" t="s">
        <v>670</v>
      </c>
      <c r="D229">
        <f t="shared" ref="D229:W229" si="53">D26*D55</f>
        <v>314.93112244897958</v>
      </c>
      <c r="E229">
        <f t="shared" si="53"/>
        <v>299.23438775510203</v>
      </c>
      <c r="F229">
        <f t="shared" si="53"/>
        <v>281.70178571428579</v>
      </c>
      <c r="G229">
        <f t="shared" si="53"/>
        <v>283.7344642857143</v>
      </c>
      <c r="H229">
        <f t="shared" si="53"/>
        <v>290.40341836734689</v>
      </c>
      <c r="I229">
        <f t="shared" si="53"/>
        <v>270.64477040816331</v>
      </c>
      <c r="J229">
        <f t="shared" si="53"/>
        <v>250.69168367346933</v>
      </c>
      <c r="K229">
        <f t="shared" si="53"/>
        <v>243.61893877551017</v>
      </c>
      <c r="L229">
        <f t="shared" si="53"/>
        <v>219.34529761904764</v>
      </c>
      <c r="M229">
        <f t="shared" si="53"/>
        <v>255.48898008658009</v>
      </c>
      <c r="N229">
        <f t="shared" si="53"/>
        <v>266.00940890538033</v>
      </c>
      <c r="O229">
        <f t="shared" si="53"/>
        <v>270.18797324263045</v>
      </c>
      <c r="P229">
        <f t="shared" si="53"/>
        <v>228.84515654761901</v>
      </c>
      <c r="Q229">
        <f t="shared" si="53"/>
        <v>277.92640221088431</v>
      </c>
      <c r="R229">
        <f t="shared" si="53"/>
        <v>275.25195205701328</v>
      </c>
      <c r="S229">
        <f t="shared" si="53"/>
        <v>311.24340870316382</v>
      </c>
      <c r="T229">
        <f t="shared" si="53"/>
        <v>318.13931069538921</v>
      </c>
      <c r="U229">
        <f t="shared" si="53"/>
        <v>341.09453612174042</v>
      </c>
      <c r="V229">
        <f t="shared" si="53"/>
        <v>320.11912063492076</v>
      </c>
      <c r="W229">
        <f t="shared" si="53"/>
        <v>327.04080355253217</v>
      </c>
      <c r="Y229" s="15">
        <f t="shared" ref="Y229" si="54">SUM(D229:W229)</f>
        <v>5645.652921805472</v>
      </c>
      <c r="Z229">
        <f>SUMPRODUCT($D$230:$S$230,D229:S229)</f>
        <v>-665.23052494756826</v>
      </c>
    </row>
    <row r="230" spans="1:26" x14ac:dyDescent="0.25">
      <c r="A230" s="2" t="s">
        <v>64</v>
      </c>
      <c r="D230" s="3">
        <f>CORREL($B$2:$B$21,D205:D224)</f>
        <v>-5.2144429200283497E-2</v>
      </c>
      <c r="E230" s="3">
        <f t="shared" ref="E230:W230" si="55">CORREL($B$2:$B$21,E205:E224)</f>
        <v>-6.5459506144745341E-2</v>
      </c>
      <c r="F230" s="3">
        <f t="shared" si="55"/>
        <v>-0.11196863437653656</v>
      </c>
      <c r="G230" s="3">
        <f t="shared" si="55"/>
        <v>-0.33726394100895601</v>
      </c>
      <c r="H230" s="3">
        <f t="shared" si="55"/>
        <v>-0.46088413813153556</v>
      </c>
      <c r="I230" s="3">
        <f t="shared" si="55"/>
        <v>-0.44341439257974125</v>
      </c>
      <c r="J230" s="3">
        <f t="shared" si="55"/>
        <v>-0.20794974237233019</v>
      </c>
      <c r="K230" s="3">
        <f t="shared" si="55"/>
        <v>-0.29128179410281091</v>
      </c>
      <c r="L230" s="3">
        <f t="shared" si="55"/>
        <v>-2.9539199040861205E-2</v>
      </c>
      <c r="M230" s="3">
        <f t="shared" si="55"/>
        <v>-0.18339330956036723</v>
      </c>
      <c r="N230" s="3">
        <f t="shared" si="55"/>
        <v>0.21416628185288716</v>
      </c>
      <c r="O230" s="3">
        <f t="shared" si="55"/>
        <v>0.22554791132727689</v>
      </c>
      <c r="P230" s="3">
        <f t="shared" si="55"/>
        <v>-3.5104058147112226E-2</v>
      </c>
      <c r="Q230" s="3">
        <f t="shared" si="55"/>
        <v>-0.25600558591051381</v>
      </c>
      <c r="R230" s="3">
        <f t="shared" si="55"/>
        <v>-9.8168562278208374E-2</v>
      </c>
      <c r="S230" s="3">
        <f t="shared" si="55"/>
        <v>-0.26800150351290486</v>
      </c>
      <c r="T230" s="3">
        <f t="shared" si="55"/>
        <v>-9.934527715775554E-2</v>
      </c>
      <c r="U230" s="3">
        <f t="shared" si="55"/>
        <v>-4.8445870535123281E-2</v>
      </c>
      <c r="V230" s="3">
        <f t="shared" si="55"/>
        <v>-3.4385091936993011E-2</v>
      </c>
      <c r="W230" s="3">
        <f t="shared" si="55"/>
        <v>7.3025515630033275E-2</v>
      </c>
    </row>
    <row r="233" spans="1:26" x14ac:dyDescent="0.25">
      <c r="D233" t="s">
        <v>103</v>
      </c>
      <c r="E233" t="s">
        <v>104</v>
      </c>
      <c r="F233" t="s">
        <v>105</v>
      </c>
      <c r="G233" t="s">
        <v>106</v>
      </c>
      <c r="H233" t="s">
        <v>107</v>
      </c>
      <c r="I233" t="s">
        <v>108</v>
      </c>
      <c r="J233" t="s">
        <v>109</v>
      </c>
      <c r="K233" t="s">
        <v>110</v>
      </c>
      <c r="L233" t="s">
        <v>341</v>
      </c>
      <c r="M233" t="s">
        <v>385</v>
      </c>
      <c r="N233" t="s">
        <v>386</v>
      </c>
      <c r="O233" t="s">
        <v>387</v>
      </c>
      <c r="P233" t="s">
        <v>478</v>
      </c>
      <c r="Q233" t="s">
        <v>479</v>
      </c>
      <c r="R233" t="s">
        <v>480</v>
      </c>
      <c r="S233" t="s">
        <v>481</v>
      </c>
      <c r="T233" t="s">
        <v>590</v>
      </c>
      <c r="U233" t="s">
        <v>591</v>
      </c>
      <c r="V233" t="s">
        <v>592</v>
      </c>
      <c r="W233" t="s">
        <v>593</v>
      </c>
      <c r="Y233" t="s">
        <v>111</v>
      </c>
      <c r="Z233" t="s">
        <v>112</v>
      </c>
    </row>
    <row r="234" spans="1:26" x14ac:dyDescent="0.25">
      <c r="A234" t="s">
        <v>43</v>
      </c>
      <c r="D234">
        <f t="shared" ref="D234:W234" si="56">D2*D60</f>
        <v>158.22571428571433</v>
      </c>
      <c r="E234">
        <f t="shared" si="56"/>
        <v>149.06469387755101</v>
      </c>
      <c r="F234">
        <f t="shared" si="56"/>
        <v>154.23836734693876</v>
      </c>
      <c r="G234">
        <f t="shared" si="56"/>
        <v>147.65999999999997</v>
      </c>
      <c r="H234">
        <f t="shared" si="56"/>
        <v>118.08285714285716</v>
      </c>
      <c r="I234">
        <f t="shared" si="56"/>
        <v>91.800000000000011</v>
      </c>
      <c r="J234">
        <f t="shared" si="56"/>
        <v>105.31823129251703</v>
      </c>
      <c r="K234">
        <f t="shared" si="56"/>
        <v>125.62841269841269</v>
      </c>
      <c r="L234">
        <f t="shared" si="56"/>
        <v>105.0958024691358</v>
      </c>
      <c r="M234">
        <f t="shared" si="56"/>
        <v>97.026887755102052</v>
      </c>
      <c r="N234">
        <f t="shared" si="56"/>
        <v>89.485238095238103</v>
      </c>
      <c r="O234">
        <f t="shared" si="56"/>
        <v>92.668877551020401</v>
      </c>
      <c r="P234">
        <f t="shared" si="56"/>
        <v>111.23724489795916</v>
      </c>
      <c r="Q234">
        <f t="shared" si="56"/>
        <v>114.1561224489796</v>
      </c>
      <c r="R234">
        <f t="shared" si="56"/>
        <v>133.14183673469387</v>
      </c>
      <c r="S234">
        <f t="shared" si="56"/>
        <v>161.68979591836737</v>
      </c>
      <c r="T234">
        <f t="shared" si="56"/>
        <v>106.01632653061223</v>
      </c>
      <c r="U234">
        <f t="shared" si="56"/>
        <v>127.60408163265308</v>
      </c>
      <c r="V234">
        <f t="shared" si="56"/>
        <v>193.06938775510204</v>
      </c>
      <c r="W234">
        <f t="shared" si="56"/>
        <v>197.99591836734692</v>
      </c>
      <c r="Y234" s="15">
        <f t="shared" ref="Y234:Y257" si="57">SUM(D234:W234)</f>
        <v>2579.2057968002018</v>
      </c>
      <c r="Z234">
        <f t="shared" ref="Z234:Z253" si="58">SUMPRODUCT($D$259:$S$259,D234:S234)</f>
        <v>413.37716017614406</v>
      </c>
    </row>
    <row r="235" spans="1:26" x14ac:dyDescent="0.25">
      <c r="A235" t="s">
        <v>44</v>
      </c>
      <c r="D235">
        <f t="shared" ref="D235:W235" si="59">D3*D61</f>
        <v>193.60959183673469</v>
      </c>
      <c r="E235">
        <f t="shared" si="59"/>
        <v>168.25469387755103</v>
      </c>
      <c r="F235">
        <f t="shared" si="59"/>
        <v>66.184897959183658</v>
      </c>
      <c r="G235">
        <f t="shared" si="59"/>
        <v>133.67938775510203</v>
      </c>
      <c r="H235">
        <f t="shared" si="59"/>
        <v>120.17496598639453</v>
      </c>
      <c r="I235">
        <f t="shared" si="59"/>
        <v>120.58666666666666</v>
      </c>
      <c r="J235">
        <f t="shared" si="59"/>
        <v>105.70102040816326</v>
      </c>
      <c r="K235">
        <f t="shared" si="59"/>
        <v>123.90857142857143</v>
      </c>
      <c r="L235">
        <f t="shared" si="59"/>
        <v>101.87777777777777</v>
      </c>
      <c r="M235">
        <f t="shared" si="59"/>
        <v>81.5491836734694</v>
      </c>
      <c r="N235">
        <f t="shared" si="59"/>
        <v>69.737653061224464</v>
      </c>
      <c r="O235">
        <f t="shared" si="59"/>
        <v>96.898163265306124</v>
      </c>
      <c r="P235">
        <f t="shared" si="59"/>
        <v>97.515255102040811</v>
      </c>
      <c r="Q235">
        <f t="shared" si="59"/>
        <v>113.24928571428573</v>
      </c>
      <c r="R235">
        <f t="shared" si="59"/>
        <v>106.05510204081634</v>
      </c>
      <c r="S235">
        <f t="shared" si="59"/>
        <v>130.86744897959184</v>
      </c>
      <c r="T235">
        <f t="shared" si="59"/>
        <v>142.40433673469383</v>
      </c>
      <c r="U235">
        <f t="shared" si="59"/>
        <v>152.21250000000001</v>
      </c>
      <c r="V235">
        <f t="shared" si="59"/>
        <v>153.51938775510206</v>
      </c>
      <c r="W235">
        <f t="shared" si="59"/>
        <v>164.89612244897961</v>
      </c>
      <c r="Y235" s="15">
        <f t="shared" si="57"/>
        <v>2442.8820124716544</v>
      </c>
      <c r="Z235">
        <f t="shared" si="58"/>
        <v>421.01172370590655</v>
      </c>
    </row>
    <row r="236" spans="1:26" x14ac:dyDescent="0.25">
      <c r="A236" t="s">
        <v>45</v>
      </c>
      <c r="D236">
        <f t="shared" ref="D236:W236" si="60">D4*D62</f>
        <v>144.77061224489796</v>
      </c>
      <c r="E236">
        <f t="shared" si="60"/>
        <v>148.72224489795917</v>
      </c>
      <c r="F236">
        <f t="shared" si="60"/>
        <v>146.19265306122455</v>
      </c>
      <c r="G236">
        <f t="shared" si="60"/>
        <v>131.54204081632651</v>
      </c>
      <c r="H236">
        <f t="shared" si="60"/>
        <v>119.44095238095237</v>
      </c>
      <c r="I236">
        <f t="shared" si="60"/>
        <v>112.35714285714288</v>
      </c>
      <c r="J236">
        <f t="shared" si="60"/>
        <v>102.61632653061227</v>
      </c>
      <c r="K236">
        <f t="shared" si="60"/>
        <v>107.59659863945576</v>
      </c>
      <c r="L236">
        <f t="shared" si="60"/>
        <v>94.030462962962943</v>
      </c>
      <c r="M236">
        <f t="shared" si="60"/>
        <v>89.010918367346932</v>
      </c>
      <c r="N236">
        <f t="shared" si="60"/>
        <v>56.039081632653058</v>
      </c>
      <c r="O236">
        <f t="shared" si="60"/>
        <v>87.967193877551026</v>
      </c>
      <c r="P236">
        <f t="shared" si="60"/>
        <v>93.799642857142857</v>
      </c>
      <c r="Q236">
        <f t="shared" si="60"/>
        <v>97.089030612244912</v>
      </c>
      <c r="R236">
        <f t="shared" si="60"/>
        <v>98.746071428571426</v>
      </c>
      <c r="S236">
        <f t="shared" si="60"/>
        <v>112.60408163265305</v>
      </c>
      <c r="T236">
        <f t="shared" si="60"/>
        <v>109.81612244897958</v>
      </c>
      <c r="U236">
        <f t="shared" si="60"/>
        <v>106.79510204081635</v>
      </c>
      <c r="V236">
        <f t="shared" si="60"/>
        <v>127.02346938775511</v>
      </c>
      <c r="W236">
        <f t="shared" si="60"/>
        <v>145.40816326530611</v>
      </c>
      <c r="Y236" s="15">
        <f t="shared" si="57"/>
        <v>2231.5679119425545</v>
      </c>
      <c r="Z236">
        <f t="shared" si="58"/>
        <v>393.21032089182512</v>
      </c>
    </row>
    <row r="237" spans="1:26" x14ac:dyDescent="0.25">
      <c r="A237" t="s">
        <v>46</v>
      </c>
      <c r="D237">
        <f t="shared" ref="D237:W237" si="61">D5*D63</f>
        <v>136.69897959183675</v>
      </c>
      <c r="E237">
        <f t="shared" si="61"/>
        <v>135.07102040816324</v>
      </c>
      <c r="F237">
        <f t="shared" si="61"/>
        <v>103.81224489795919</v>
      </c>
      <c r="G237">
        <f t="shared" si="61"/>
        <v>99.425714285714321</v>
      </c>
      <c r="H237">
        <f t="shared" si="61"/>
        <v>77.387755102040813</v>
      </c>
      <c r="I237">
        <f t="shared" si="61"/>
        <v>90.596326530612231</v>
      </c>
      <c r="J237">
        <f t="shared" si="61"/>
        <v>86.798979591836726</v>
      </c>
      <c r="K237">
        <f t="shared" si="61"/>
        <v>105.93673469387754</v>
      </c>
      <c r="L237">
        <f t="shared" si="61"/>
        <v>79.768888888888881</v>
      </c>
      <c r="M237">
        <f t="shared" si="61"/>
        <v>87.32244897959184</v>
      </c>
      <c r="N237">
        <f t="shared" si="61"/>
        <v>89.315510204081633</v>
      </c>
      <c r="O237">
        <f t="shared" si="61"/>
        <v>75.765306122448976</v>
      </c>
      <c r="P237">
        <f t="shared" si="61"/>
        <v>78.068571428571417</v>
      </c>
      <c r="Q237">
        <f t="shared" si="61"/>
        <v>96.33632653061224</v>
      </c>
      <c r="R237">
        <f t="shared" si="61"/>
        <v>113.99142857142857</v>
      </c>
      <c r="S237">
        <f t="shared" si="61"/>
        <v>106.40408163265306</v>
      </c>
      <c r="T237">
        <f t="shared" si="61"/>
        <v>107.49102040816324</v>
      </c>
      <c r="U237">
        <f t="shared" si="61"/>
        <v>152.21938775510205</v>
      </c>
      <c r="V237">
        <f t="shared" si="61"/>
        <v>123.7222448979592</v>
      </c>
      <c r="W237">
        <f t="shared" si="61"/>
        <v>139.55591836734695</v>
      </c>
      <c r="Y237" s="15">
        <f t="shared" si="57"/>
        <v>2085.6888888888884</v>
      </c>
      <c r="Z237">
        <f t="shared" si="58"/>
        <v>345.55305311570777</v>
      </c>
    </row>
    <row r="238" spans="1:26" x14ac:dyDescent="0.25">
      <c r="A238" t="s">
        <v>47</v>
      </c>
      <c r="D238">
        <f t="shared" ref="D238:W238" si="62">D6*D64</f>
        <v>187.52448979591838</v>
      </c>
      <c r="E238">
        <f t="shared" si="62"/>
        <v>158.03265306122449</v>
      </c>
      <c r="F238">
        <f t="shared" si="62"/>
        <v>138.5204081632653</v>
      </c>
      <c r="G238">
        <f t="shared" si="62"/>
        <v>122.37244897959185</v>
      </c>
      <c r="H238">
        <f t="shared" si="62"/>
        <v>130.27775510204083</v>
      </c>
      <c r="I238">
        <f t="shared" si="62"/>
        <v>107.0457142857143</v>
      </c>
      <c r="J238">
        <f t="shared" si="62"/>
        <v>100.83122448979594</v>
      </c>
      <c r="K238">
        <f t="shared" si="62"/>
        <v>119.39448979591837</v>
      </c>
      <c r="L238">
        <f t="shared" si="62"/>
        <v>103.27597222222221</v>
      </c>
      <c r="M238">
        <f t="shared" si="62"/>
        <v>117.59448979591838</v>
      </c>
      <c r="N238">
        <f t="shared" si="62"/>
        <v>87.62081632653063</v>
      </c>
      <c r="O238">
        <f t="shared" si="62"/>
        <v>94.459591836734688</v>
      </c>
      <c r="P238">
        <f t="shared" si="62"/>
        <v>101.55918367346938</v>
      </c>
      <c r="Q238">
        <f t="shared" si="62"/>
        <v>97.502857142857152</v>
      </c>
      <c r="R238">
        <f t="shared" si="62"/>
        <v>98.758367346938783</v>
      </c>
      <c r="S238">
        <f t="shared" si="62"/>
        <v>102.84897959183675</v>
      </c>
      <c r="T238">
        <f t="shared" si="62"/>
        <v>135.8795918367347</v>
      </c>
      <c r="U238">
        <f t="shared" si="62"/>
        <v>139.79877551020405</v>
      </c>
      <c r="V238">
        <f t="shared" si="62"/>
        <v>126.98061224489798</v>
      </c>
      <c r="W238">
        <f t="shared" si="62"/>
        <v>125.3142857142857</v>
      </c>
      <c r="Y238" s="15">
        <f t="shared" si="57"/>
        <v>2395.5927069161003</v>
      </c>
      <c r="Z238">
        <f t="shared" si="58"/>
        <v>450.61676085055706</v>
      </c>
    </row>
    <row r="239" spans="1:26" x14ac:dyDescent="0.25">
      <c r="A239" t="s">
        <v>48</v>
      </c>
      <c r="D239">
        <f t="shared" ref="D239:W239" si="63">D7*D65</f>
        <v>197.16734693877552</v>
      </c>
      <c r="E239">
        <f t="shared" si="63"/>
        <v>171.54775510204081</v>
      </c>
      <c r="F239">
        <f t="shared" si="63"/>
        <v>150.84428571428572</v>
      </c>
      <c r="G239">
        <f t="shared" si="63"/>
        <v>134.96326530612245</v>
      </c>
      <c r="H239">
        <f t="shared" si="63"/>
        <v>129.2885714285714</v>
      </c>
      <c r="I239">
        <f t="shared" si="63"/>
        <v>99.585306122448984</v>
      </c>
      <c r="J239">
        <f t="shared" si="63"/>
        <v>99.022040816326552</v>
      </c>
      <c r="K239">
        <f t="shared" si="63"/>
        <v>120.55510204081632</v>
      </c>
      <c r="L239">
        <f t="shared" si="63"/>
        <v>94.251666666666679</v>
      </c>
      <c r="M239">
        <f t="shared" si="63"/>
        <v>122.76000000000002</v>
      </c>
      <c r="N239">
        <f t="shared" si="63"/>
        <v>125.98448979591836</v>
      </c>
      <c r="O239">
        <f t="shared" si="63"/>
        <v>87.555306122448968</v>
      </c>
      <c r="P239">
        <f t="shared" si="63"/>
        <v>94.395102040816312</v>
      </c>
      <c r="Q239">
        <f t="shared" si="63"/>
        <v>116.32653061224489</v>
      </c>
      <c r="R239">
        <f t="shared" si="63"/>
        <v>116.87755102040818</v>
      </c>
      <c r="S239">
        <f t="shared" si="63"/>
        <v>128.27020408163267</v>
      </c>
      <c r="T239">
        <f t="shared" si="63"/>
        <v>125.77714285714286</v>
      </c>
      <c r="U239">
        <f t="shared" si="63"/>
        <v>122.77224489795917</v>
      </c>
      <c r="V239">
        <f t="shared" si="63"/>
        <v>163.46653061224492</v>
      </c>
      <c r="W239">
        <f t="shared" si="63"/>
        <v>162.47387755102039</v>
      </c>
      <c r="Y239" s="15">
        <f t="shared" si="57"/>
        <v>2563.8843197278911</v>
      </c>
      <c r="Z239">
        <f t="shared" si="58"/>
        <v>472.10999091234299</v>
      </c>
    </row>
    <row r="240" spans="1:26" x14ac:dyDescent="0.25">
      <c r="A240" t="s">
        <v>49</v>
      </c>
      <c r="D240">
        <f t="shared" ref="D240:W240" si="64">D8*D66</f>
        <v>171.99306122448982</v>
      </c>
      <c r="E240">
        <f t="shared" si="64"/>
        <v>172.95306122448983</v>
      </c>
      <c r="F240">
        <f t="shared" si="64"/>
        <v>123.31836734693877</v>
      </c>
      <c r="G240">
        <f t="shared" si="64"/>
        <v>121.03224489795915</v>
      </c>
      <c r="H240">
        <f t="shared" si="64"/>
        <v>87.999999999999986</v>
      </c>
      <c r="I240">
        <f t="shared" si="64"/>
        <v>94.485102040816315</v>
      </c>
      <c r="J240">
        <f t="shared" si="64"/>
        <v>94.722857142857137</v>
      </c>
      <c r="K240">
        <f t="shared" si="64"/>
        <v>86.092857142857142</v>
      </c>
      <c r="L240">
        <f t="shared" si="64"/>
        <v>60.20000000000001</v>
      </c>
      <c r="M240">
        <f t="shared" si="64"/>
        <v>78.322448979591826</v>
      </c>
      <c r="N240">
        <f t="shared" si="64"/>
        <v>93.252244897959159</v>
      </c>
      <c r="O240">
        <f t="shared" si="64"/>
        <v>108.14693877551019</v>
      </c>
      <c r="P240">
        <f t="shared" si="64"/>
        <v>102.48632653061223</v>
      </c>
      <c r="Q240">
        <f t="shared" si="64"/>
        <v>101.21142857142858</v>
      </c>
      <c r="R240">
        <f t="shared" si="64"/>
        <v>119.37857142857143</v>
      </c>
      <c r="S240">
        <f t="shared" si="64"/>
        <v>157.89102040816326</v>
      </c>
      <c r="T240">
        <f t="shared" si="64"/>
        <v>163.37387755102043</v>
      </c>
      <c r="U240">
        <f t="shared" si="64"/>
        <v>180.88877551020408</v>
      </c>
      <c r="V240">
        <f t="shared" si="64"/>
        <v>168.26632653061225</v>
      </c>
      <c r="W240">
        <f t="shared" si="64"/>
        <v>142.56367346938774</v>
      </c>
      <c r="Y240" s="15">
        <f t="shared" si="57"/>
        <v>2428.5791836734693</v>
      </c>
      <c r="Z240">
        <f t="shared" si="58"/>
        <v>391.79561995809024</v>
      </c>
    </row>
    <row r="241" spans="1:26" x14ac:dyDescent="0.25">
      <c r="A241" t="s">
        <v>50</v>
      </c>
      <c r="D241">
        <f t="shared" ref="D241:W241" si="65">D9*D67</f>
        <v>159.42408163265304</v>
      </c>
      <c r="E241">
        <f t="shared" si="65"/>
        <v>147.89020408163267</v>
      </c>
      <c r="F241">
        <f t="shared" si="65"/>
        <v>133.22040816326529</v>
      </c>
      <c r="G241">
        <f t="shared" si="65"/>
        <v>124.35795918367349</v>
      </c>
      <c r="H241">
        <f t="shared" si="65"/>
        <v>125.22857142857144</v>
      </c>
      <c r="I241">
        <f t="shared" si="65"/>
        <v>105.24163265306123</v>
      </c>
      <c r="J241">
        <f t="shared" si="65"/>
        <v>142.81591836734697</v>
      </c>
      <c r="K241">
        <f t="shared" si="65"/>
        <v>82.535918367346952</v>
      </c>
      <c r="L241">
        <f t="shared" si="65"/>
        <v>74.341666666666683</v>
      </c>
      <c r="M241">
        <f t="shared" si="65"/>
        <v>82.932244897959194</v>
      </c>
      <c r="N241">
        <f t="shared" si="65"/>
        <v>89.342857142857142</v>
      </c>
      <c r="O241">
        <f t="shared" si="65"/>
        <v>96.321428571428569</v>
      </c>
      <c r="P241">
        <f t="shared" si="65"/>
        <v>106.56836734693877</v>
      </c>
      <c r="Q241">
        <f t="shared" si="65"/>
        <v>103.66367346938777</v>
      </c>
      <c r="R241">
        <f t="shared" si="65"/>
        <v>93.70693877551021</v>
      </c>
      <c r="S241">
        <f t="shared" si="65"/>
        <v>111.08632653061224</v>
      </c>
      <c r="T241">
        <f t="shared" si="65"/>
        <v>131.14285714285714</v>
      </c>
      <c r="U241">
        <f t="shared" si="65"/>
        <v>131.3534693877551</v>
      </c>
      <c r="V241">
        <f t="shared" si="65"/>
        <v>123</v>
      </c>
      <c r="W241">
        <f t="shared" si="65"/>
        <v>148.69836734693882</v>
      </c>
      <c r="Y241" s="15">
        <f t="shared" si="57"/>
        <v>2312.8728911564631</v>
      </c>
      <c r="Z241">
        <f t="shared" si="58"/>
        <v>414.68799207681934</v>
      </c>
    </row>
    <row r="242" spans="1:26" x14ac:dyDescent="0.25">
      <c r="A242" t="s">
        <v>51</v>
      </c>
      <c r="D242">
        <f t="shared" ref="D242:W242" si="66">D10*D68</f>
        <v>163.9004081632653</v>
      </c>
      <c r="E242">
        <f t="shared" si="66"/>
        <v>153.36040816326533</v>
      </c>
      <c r="F242">
        <f t="shared" si="66"/>
        <v>156.49999999999997</v>
      </c>
      <c r="G242">
        <f t="shared" si="66"/>
        <v>157.45408163265307</v>
      </c>
      <c r="H242">
        <f t="shared" si="66"/>
        <v>136.65306122448982</v>
      </c>
      <c r="I242">
        <f t="shared" si="66"/>
        <v>85.458775510204077</v>
      </c>
      <c r="J242">
        <f t="shared" si="66"/>
        <v>93.775306122448953</v>
      </c>
      <c r="K242">
        <f t="shared" si="66"/>
        <v>98.3269387755102</v>
      </c>
      <c r="L242">
        <f t="shared" si="66"/>
        <v>89.359166666666667</v>
      </c>
      <c r="M242">
        <f t="shared" si="66"/>
        <v>90.137755102040828</v>
      </c>
      <c r="N242">
        <f t="shared" si="66"/>
        <v>97.987142857142857</v>
      </c>
      <c r="O242">
        <f t="shared" si="66"/>
        <v>116.85224489795918</v>
      </c>
      <c r="P242">
        <f t="shared" si="66"/>
        <v>79.846530612244905</v>
      </c>
      <c r="Q242">
        <f t="shared" si="66"/>
        <v>94.007142857142853</v>
      </c>
      <c r="R242">
        <f t="shared" si="66"/>
        <v>80.460408163265285</v>
      </c>
      <c r="S242">
        <f t="shared" si="66"/>
        <v>97.578163265306145</v>
      </c>
      <c r="T242">
        <f t="shared" si="66"/>
        <v>122.91285714285716</v>
      </c>
      <c r="U242">
        <f t="shared" si="66"/>
        <v>140.13836734693876</v>
      </c>
      <c r="V242">
        <f t="shared" si="66"/>
        <v>147.93122448979594</v>
      </c>
      <c r="W242">
        <f t="shared" si="66"/>
        <v>187.98244897959185</v>
      </c>
      <c r="Y242" s="15">
        <f t="shared" si="57"/>
        <v>2390.6224319727889</v>
      </c>
      <c r="Z242">
        <f t="shared" si="58"/>
        <v>418.157233788008</v>
      </c>
    </row>
    <row r="243" spans="1:26" x14ac:dyDescent="0.25">
      <c r="A243" t="s">
        <v>52</v>
      </c>
      <c r="D243">
        <f t="shared" ref="D243:W243" si="67">D11*D69</f>
        <v>179.80857142857144</v>
      </c>
      <c r="E243">
        <f t="shared" si="67"/>
        <v>161.60530612244901</v>
      </c>
      <c r="F243">
        <f t="shared" si="67"/>
        <v>144.49489795918367</v>
      </c>
      <c r="G243">
        <f t="shared" si="67"/>
        <v>127.98367346938775</v>
      </c>
      <c r="H243">
        <f t="shared" si="67"/>
        <v>95.201632653061239</v>
      </c>
      <c r="I243">
        <f t="shared" si="67"/>
        <v>88.648979591836721</v>
      </c>
      <c r="J243">
        <f t="shared" si="67"/>
        <v>111.31346938775511</v>
      </c>
      <c r="K243">
        <f t="shared" si="67"/>
        <v>90.749387755102063</v>
      </c>
      <c r="L243">
        <f t="shared" si="67"/>
        <v>78.745679012345676</v>
      </c>
      <c r="M243">
        <f t="shared" si="67"/>
        <v>91.04</v>
      </c>
      <c r="N243">
        <f t="shared" si="67"/>
        <v>89.4</v>
      </c>
      <c r="O243">
        <f t="shared" si="67"/>
        <v>81.289795918367332</v>
      </c>
      <c r="P243">
        <f t="shared" si="67"/>
        <v>75.257959183673478</v>
      </c>
      <c r="Q243">
        <f t="shared" si="67"/>
        <v>86.15469387755104</v>
      </c>
      <c r="R243">
        <f t="shared" si="67"/>
        <v>68.870816326530615</v>
      </c>
      <c r="S243">
        <f t="shared" si="67"/>
        <v>124.04285714285716</v>
      </c>
      <c r="T243">
        <f t="shared" si="67"/>
        <v>146.68653061224489</v>
      </c>
      <c r="U243">
        <f t="shared" si="67"/>
        <v>140.92714285714288</v>
      </c>
      <c r="V243">
        <f t="shared" si="67"/>
        <v>127.64938775510204</v>
      </c>
      <c r="W243">
        <f t="shared" si="67"/>
        <v>136.01530612244898</v>
      </c>
      <c r="Y243" s="15">
        <f t="shared" si="57"/>
        <v>2245.8860871756115</v>
      </c>
      <c r="Z243">
        <f t="shared" si="58"/>
        <v>394.28498340413347</v>
      </c>
    </row>
    <row r="244" spans="1:26" x14ac:dyDescent="0.25">
      <c r="A244" t="s">
        <v>53</v>
      </c>
      <c r="D244">
        <f t="shared" ref="D244:W244" si="68">D12*D70</f>
        <v>152.71530612244899</v>
      </c>
      <c r="E244">
        <f t="shared" si="68"/>
        <v>136.63551020408164</v>
      </c>
      <c r="F244">
        <f t="shared" si="68"/>
        <v>121.28775510204082</v>
      </c>
      <c r="G244">
        <f t="shared" si="68"/>
        <v>99.085714285714275</v>
      </c>
      <c r="H244">
        <f t="shared" si="68"/>
        <v>112.96285714285715</v>
      </c>
      <c r="I244">
        <f t="shared" si="68"/>
        <v>104.25510204081633</v>
      </c>
      <c r="J244">
        <f t="shared" si="68"/>
        <v>105.83265306122449</v>
      </c>
      <c r="K244">
        <f t="shared" si="68"/>
        <v>98.644897959183666</v>
      </c>
      <c r="L244">
        <f t="shared" si="68"/>
        <v>72.722222222222229</v>
      </c>
      <c r="M244">
        <f t="shared" si="68"/>
        <v>110.81632653061224</v>
      </c>
      <c r="N244">
        <f t="shared" si="68"/>
        <v>130.94489795918366</v>
      </c>
      <c r="O244">
        <f t="shared" si="68"/>
        <v>104.21938775510205</v>
      </c>
      <c r="P244">
        <f t="shared" si="68"/>
        <v>106.47714285714284</v>
      </c>
      <c r="Q244">
        <f t="shared" si="68"/>
        <v>111.69489795918369</v>
      </c>
      <c r="R244">
        <f t="shared" si="68"/>
        <v>139.92040816326531</v>
      </c>
      <c r="S244">
        <f t="shared" si="68"/>
        <v>105.08</v>
      </c>
      <c r="T244">
        <f t="shared" si="68"/>
        <v>138.13163265306119</v>
      </c>
      <c r="U244">
        <f t="shared" si="68"/>
        <v>155.59387755102046</v>
      </c>
      <c r="V244">
        <f t="shared" si="68"/>
        <v>132.52469387755099</v>
      </c>
      <c r="W244">
        <f t="shared" si="68"/>
        <v>134.77551020408163</v>
      </c>
      <c r="Y244" s="15">
        <f t="shared" si="57"/>
        <v>2374.3207936507933</v>
      </c>
      <c r="Z244">
        <f t="shared" si="58"/>
        <v>424.27837725566832</v>
      </c>
    </row>
    <row r="245" spans="1:26" x14ac:dyDescent="0.25">
      <c r="A245" t="s">
        <v>54</v>
      </c>
      <c r="D245">
        <f t="shared" ref="D245:W245" si="69">D13*D71</f>
        <v>176.91428571428577</v>
      </c>
      <c r="E245">
        <f t="shared" si="69"/>
        <v>174.17040816326528</v>
      </c>
      <c r="F245">
        <f t="shared" si="69"/>
        <v>154.62857142857143</v>
      </c>
      <c r="G245">
        <f t="shared" si="69"/>
        <v>141.58571428571426</v>
      </c>
      <c r="H245">
        <f t="shared" si="69"/>
        <v>150.1322448979592</v>
      </c>
      <c r="I245">
        <f t="shared" si="69"/>
        <v>150.83163265306118</v>
      </c>
      <c r="J245">
        <f t="shared" si="69"/>
        <v>115.25877551020409</v>
      </c>
      <c r="K245">
        <f t="shared" si="69"/>
        <v>113.40408163265305</v>
      </c>
      <c r="L245">
        <f t="shared" si="69"/>
        <v>83.687283950617285</v>
      </c>
      <c r="M245">
        <f t="shared" si="69"/>
        <v>99.201428571428579</v>
      </c>
      <c r="N245">
        <f t="shared" si="69"/>
        <v>84.682857142857117</v>
      </c>
      <c r="O245">
        <f t="shared" si="69"/>
        <v>87.722448979591846</v>
      </c>
      <c r="P245">
        <f t="shared" si="69"/>
        <v>100.48163265306123</v>
      </c>
      <c r="Q245">
        <f t="shared" si="69"/>
        <v>114.07</v>
      </c>
      <c r="R245">
        <f t="shared" si="69"/>
        <v>103.30918367346941</v>
      </c>
      <c r="S245">
        <f t="shared" si="69"/>
        <v>129.82040816326531</v>
      </c>
      <c r="T245">
        <f t="shared" si="69"/>
        <v>127.16632653061224</v>
      </c>
      <c r="U245">
        <f t="shared" si="69"/>
        <v>153.1481632653061</v>
      </c>
      <c r="V245">
        <f t="shared" si="69"/>
        <v>134.47836734693877</v>
      </c>
      <c r="W245">
        <f t="shared" si="69"/>
        <v>161.50000000000003</v>
      </c>
      <c r="Y245" s="15">
        <f t="shared" si="57"/>
        <v>2556.1938145628624</v>
      </c>
      <c r="Z245">
        <f t="shared" si="58"/>
        <v>471.09806938384605</v>
      </c>
    </row>
    <row r="246" spans="1:26" x14ac:dyDescent="0.25">
      <c r="A246" t="s">
        <v>55</v>
      </c>
      <c r="D246">
        <f t="shared" ref="D246:W246" si="70">D14*D72</f>
        <v>152.43061224489793</v>
      </c>
      <c r="E246">
        <f t="shared" si="70"/>
        <v>114.14285714285712</v>
      </c>
      <c r="F246">
        <f t="shared" si="70"/>
        <v>190.09959183673473</v>
      </c>
      <c r="G246">
        <f t="shared" si="70"/>
        <v>150.81428571428569</v>
      </c>
      <c r="H246">
        <f t="shared" si="70"/>
        <v>139.25306122448976</v>
      </c>
      <c r="I246">
        <f t="shared" si="70"/>
        <v>115.14734693877548</v>
      </c>
      <c r="J246">
        <f t="shared" si="70"/>
        <v>99.947755102040801</v>
      </c>
      <c r="K246">
        <f t="shared" si="70"/>
        <v>110.60489795918366</v>
      </c>
      <c r="L246">
        <f t="shared" si="70"/>
        <v>102.78888888888889</v>
      </c>
      <c r="M246">
        <f t="shared" si="70"/>
        <v>85.054693877551031</v>
      </c>
      <c r="N246">
        <f t="shared" si="70"/>
        <v>94.819591836734674</v>
      </c>
      <c r="O246">
        <f t="shared" si="70"/>
        <v>77.632653061224502</v>
      </c>
      <c r="P246">
        <f t="shared" si="70"/>
        <v>57</v>
      </c>
      <c r="Q246">
        <f t="shared" si="70"/>
        <v>98.920408163265321</v>
      </c>
      <c r="R246">
        <f t="shared" si="70"/>
        <v>127.11489795918365</v>
      </c>
      <c r="S246">
        <f t="shared" si="70"/>
        <v>124.58020408163263</v>
      </c>
      <c r="T246">
        <f t="shared" si="70"/>
        <v>93.295102040816317</v>
      </c>
      <c r="U246">
        <f t="shared" si="70"/>
        <v>140.43367346938774</v>
      </c>
      <c r="V246">
        <f t="shared" si="70"/>
        <v>146.28571428571428</v>
      </c>
      <c r="W246">
        <f t="shared" si="70"/>
        <v>166.71591836734694</v>
      </c>
      <c r="Y246" s="15">
        <f t="shared" si="57"/>
        <v>2387.0821541950113</v>
      </c>
      <c r="Z246">
        <f t="shared" si="58"/>
        <v>400.89701148391464</v>
      </c>
    </row>
    <row r="247" spans="1:26" x14ac:dyDescent="0.25">
      <c r="A247" t="s">
        <v>56</v>
      </c>
      <c r="D247">
        <f t="shared" ref="D247:W247" si="71">D15*D73</f>
        <v>157.59183673469389</v>
      </c>
      <c r="E247">
        <f t="shared" si="71"/>
        <v>136.33224489795919</v>
      </c>
      <c r="F247">
        <f t="shared" si="71"/>
        <v>131.89591836734692</v>
      </c>
      <c r="G247">
        <f t="shared" si="71"/>
        <v>127.88</v>
      </c>
      <c r="H247">
        <f t="shared" si="71"/>
        <v>140.9815873015873</v>
      </c>
      <c r="I247">
        <f t="shared" si="71"/>
        <v>138.06882086167803</v>
      </c>
      <c r="J247">
        <f t="shared" si="71"/>
        <v>144.63129251700681</v>
      </c>
      <c r="K247">
        <f t="shared" si="71"/>
        <v>126.40634920634919</v>
      </c>
      <c r="L247">
        <f t="shared" si="71"/>
        <v>112.01310515873017</v>
      </c>
      <c r="M247">
        <f t="shared" si="71"/>
        <v>80.536734693877534</v>
      </c>
      <c r="N247">
        <f t="shared" si="71"/>
        <v>97.65306122448979</v>
      </c>
      <c r="O247">
        <f t="shared" si="71"/>
        <v>97.671428571428578</v>
      </c>
      <c r="P247">
        <f t="shared" si="71"/>
        <v>98.64489795918368</v>
      </c>
      <c r="Q247">
        <f t="shared" si="71"/>
        <v>111.73979591836735</v>
      </c>
      <c r="R247">
        <f t="shared" si="71"/>
        <v>155.01734693877552</v>
      </c>
      <c r="S247">
        <f t="shared" si="71"/>
        <v>143.91428571428574</v>
      </c>
      <c r="T247">
        <f t="shared" si="71"/>
        <v>166.38061224489795</v>
      </c>
      <c r="U247">
        <f t="shared" si="71"/>
        <v>181.26122448979592</v>
      </c>
      <c r="V247">
        <f t="shared" si="71"/>
        <v>131.80408163265307</v>
      </c>
      <c r="W247">
        <f t="shared" si="71"/>
        <v>153.0612244897959</v>
      </c>
      <c r="Y247" s="15">
        <f t="shared" si="57"/>
        <v>2633.4858489229027</v>
      </c>
      <c r="Z247">
        <f t="shared" si="58"/>
        <v>431.74591953768004</v>
      </c>
    </row>
    <row r="248" spans="1:26" x14ac:dyDescent="0.25">
      <c r="A248" t="s">
        <v>57</v>
      </c>
      <c r="D248">
        <f t="shared" ref="D248:W248" si="72">D16*D74</f>
        <v>158.79591836734693</v>
      </c>
      <c r="E248">
        <f t="shared" si="72"/>
        <v>148.37551020408165</v>
      </c>
      <c r="F248">
        <f t="shared" si="72"/>
        <v>136.80000000000001</v>
      </c>
      <c r="G248">
        <f t="shared" si="72"/>
        <v>138.11734693877548</v>
      </c>
      <c r="H248">
        <f t="shared" si="72"/>
        <v>145.78653061224489</v>
      </c>
      <c r="I248">
        <f t="shared" si="72"/>
        <v>113.93333333333335</v>
      </c>
      <c r="J248">
        <f t="shared" si="72"/>
        <v>127.2969387755102</v>
      </c>
      <c r="K248">
        <f t="shared" si="72"/>
        <v>120.36428571428576</v>
      </c>
      <c r="L248">
        <f t="shared" si="72"/>
        <v>107.32905612244899</v>
      </c>
      <c r="M248">
        <f t="shared" si="72"/>
        <v>81.860884353741511</v>
      </c>
      <c r="N248">
        <f t="shared" si="72"/>
        <v>94.287528344671159</v>
      </c>
      <c r="O248">
        <f t="shared" si="72"/>
        <v>91.821258503401367</v>
      </c>
      <c r="P248">
        <f t="shared" si="72"/>
        <v>81.233142857142852</v>
      </c>
      <c r="Q248">
        <f t="shared" si="72"/>
        <v>104.53095238095237</v>
      </c>
      <c r="R248">
        <f t="shared" si="72"/>
        <v>80.731626984126962</v>
      </c>
      <c r="S248">
        <f t="shared" si="72"/>
        <v>124.1404591836735</v>
      </c>
      <c r="T248">
        <f t="shared" si="72"/>
        <v>132.7151020408163</v>
      </c>
      <c r="U248">
        <f t="shared" si="72"/>
        <v>147.06243197278906</v>
      </c>
      <c r="V248">
        <f t="shared" si="72"/>
        <v>138.49916666666667</v>
      </c>
      <c r="W248">
        <f t="shared" si="72"/>
        <v>165.64141156462586</v>
      </c>
      <c r="Y248" s="15">
        <f t="shared" si="57"/>
        <v>2439.3228849206348</v>
      </c>
      <c r="Z248">
        <f t="shared" si="58"/>
        <v>424.85836775688466</v>
      </c>
    </row>
    <row r="249" spans="1:26" x14ac:dyDescent="0.25">
      <c r="A249" t="s">
        <v>58</v>
      </c>
      <c r="D249">
        <f t="shared" ref="D249:W249" si="73">D17*D75</f>
        <v>188.60081632653061</v>
      </c>
      <c r="E249">
        <f t="shared" si="73"/>
        <v>182.02112244897955</v>
      </c>
      <c r="F249">
        <f t="shared" si="73"/>
        <v>147.83163265306123</v>
      </c>
      <c r="G249">
        <f t="shared" si="73"/>
        <v>115.6087755102041</v>
      </c>
      <c r="H249">
        <f t="shared" si="73"/>
        <v>157.4404761904762</v>
      </c>
      <c r="I249">
        <f t="shared" si="73"/>
        <v>112.27585034013606</v>
      </c>
      <c r="J249">
        <f t="shared" si="73"/>
        <v>105.13979591836735</v>
      </c>
      <c r="K249">
        <f t="shared" si="73"/>
        <v>102.12142857142859</v>
      </c>
      <c r="L249">
        <f t="shared" si="73"/>
        <v>94.748058035714308</v>
      </c>
      <c r="M249">
        <f t="shared" si="73"/>
        <v>96.35510204081632</v>
      </c>
      <c r="N249">
        <f t="shared" si="73"/>
        <v>101.33142857142857</v>
      </c>
      <c r="O249">
        <f t="shared" si="73"/>
        <v>101.3877551020408</v>
      </c>
      <c r="P249">
        <f t="shared" si="73"/>
        <v>78.322040816326506</v>
      </c>
      <c r="Q249">
        <f t="shared" si="73"/>
        <v>75.316326530612244</v>
      </c>
      <c r="R249">
        <f t="shared" si="73"/>
        <v>67.540408163265298</v>
      </c>
      <c r="S249">
        <f t="shared" si="73"/>
        <v>131.28163265306119</v>
      </c>
      <c r="T249">
        <f t="shared" si="73"/>
        <v>130.15</v>
      </c>
      <c r="U249">
        <f t="shared" si="73"/>
        <v>136.08156249999999</v>
      </c>
      <c r="V249">
        <f t="shared" si="73"/>
        <v>148.95612244897958</v>
      </c>
      <c r="W249">
        <f t="shared" si="73"/>
        <v>156.9195918367347</v>
      </c>
      <c r="Y249" s="15">
        <f t="shared" si="57"/>
        <v>2429.4299266581629</v>
      </c>
      <c r="Z249">
        <f t="shared" si="58"/>
        <v>462.61542320655258</v>
      </c>
    </row>
    <row r="250" spans="1:26" x14ac:dyDescent="0.25">
      <c r="A250" t="s">
        <v>59</v>
      </c>
      <c r="D250">
        <f t="shared" ref="D250:W250" si="74">D18*D76</f>
        <v>189.64897959183676</v>
      </c>
      <c r="E250">
        <f t="shared" si="74"/>
        <v>155.86020408163262</v>
      </c>
      <c r="F250">
        <f t="shared" si="74"/>
        <v>137.71428571428572</v>
      </c>
      <c r="G250">
        <f t="shared" si="74"/>
        <v>130.28571428571428</v>
      </c>
      <c r="H250">
        <f t="shared" si="74"/>
        <v>116.96122448979592</v>
      </c>
      <c r="I250">
        <f t="shared" si="74"/>
        <v>133.16326530612244</v>
      </c>
      <c r="J250">
        <f t="shared" si="74"/>
        <v>133.45714285714283</v>
      </c>
      <c r="K250">
        <f t="shared" si="74"/>
        <v>173.55</v>
      </c>
      <c r="L250">
        <f t="shared" si="74"/>
        <v>1.8301562500000008</v>
      </c>
      <c r="M250">
        <f t="shared" si="74"/>
        <v>127.98693877551021</v>
      </c>
      <c r="N250">
        <f t="shared" si="74"/>
        <v>138.83571428571426</v>
      </c>
      <c r="O250">
        <f t="shared" si="74"/>
        <v>124.83102040816327</v>
      </c>
      <c r="P250">
        <f t="shared" si="74"/>
        <v>106.71612244897959</v>
      </c>
      <c r="Q250">
        <f t="shared" si="74"/>
        <v>129.17714285714288</v>
      </c>
      <c r="R250">
        <f t="shared" si="74"/>
        <v>141.99285714285713</v>
      </c>
      <c r="S250">
        <f t="shared" si="74"/>
        <v>160.16000000000003</v>
      </c>
      <c r="T250">
        <f t="shared" si="74"/>
        <v>177.56</v>
      </c>
      <c r="U250">
        <f t="shared" si="74"/>
        <v>193.55918367346936</v>
      </c>
      <c r="V250">
        <f t="shared" si="74"/>
        <v>185.12</v>
      </c>
      <c r="W250">
        <f t="shared" si="74"/>
        <v>202.11734693877551</v>
      </c>
      <c r="Y250" s="15">
        <f t="shared" si="57"/>
        <v>2860.5272991071424</v>
      </c>
      <c r="Z250">
        <f t="shared" si="58"/>
        <v>462.51078409852727</v>
      </c>
    </row>
    <row r="251" spans="1:26" x14ac:dyDescent="0.25">
      <c r="A251" t="s">
        <v>60</v>
      </c>
      <c r="D251">
        <f t="shared" ref="D251:W251" si="75">D19*D77</f>
        <v>164.10510204081632</v>
      </c>
      <c r="E251">
        <f t="shared" si="75"/>
        <v>148.44408163265305</v>
      </c>
      <c r="F251">
        <f t="shared" si="75"/>
        <v>68.55</v>
      </c>
      <c r="G251">
        <f t="shared" si="75"/>
        <v>157.96591836734697</v>
      </c>
      <c r="H251">
        <f t="shared" si="75"/>
        <v>138.99285714285713</v>
      </c>
      <c r="I251">
        <f t="shared" si="75"/>
        <v>124.37306122448979</v>
      </c>
      <c r="J251">
        <f t="shared" si="75"/>
        <v>129.03000000000003</v>
      </c>
      <c r="K251">
        <f t="shared" si="75"/>
        <v>92.24081632653062</v>
      </c>
      <c r="L251">
        <f t="shared" si="75"/>
        <v>137.19306122448981</v>
      </c>
      <c r="M251">
        <f t="shared" si="75"/>
        <v>136.71</v>
      </c>
      <c r="N251">
        <f t="shared" si="75"/>
        <v>121.69224489795918</v>
      </c>
      <c r="O251">
        <f t="shared" si="75"/>
        <v>118.16571428571429</v>
      </c>
      <c r="P251">
        <f t="shared" si="75"/>
        <v>126.37061224489796</v>
      </c>
      <c r="Q251">
        <f t="shared" si="75"/>
        <v>120.05040816326529</v>
      </c>
      <c r="R251">
        <f t="shared" si="75"/>
        <v>141.40285714285713</v>
      </c>
      <c r="S251">
        <f t="shared" si="75"/>
        <v>107.01877551020407</v>
      </c>
      <c r="T251">
        <f t="shared" si="75"/>
        <v>145.13428571428568</v>
      </c>
      <c r="U251">
        <f t="shared" si="75"/>
        <v>161.455306122449</v>
      </c>
      <c r="V251">
        <f t="shared" si="75"/>
        <v>195.85836734693876</v>
      </c>
      <c r="W251">
        <f t="shared" si="75"/>
        <v>194.73326530612241</v>
      </c>
      <c r="Y251" s="15">
        <f t="shared" si="57"/>
        <v>2729.4867346938781</v>
      </c>
      <c r="Z251">
        <f t="shared" si="58"/>
        <v>478.98303710045974</v>
      </c>
    </row>
    <row r="252" spans="1:26" x14ac:dyDescent="0.25">
      <c r="A252" t="s">
        <v>61</v>
      </c>
      <c r="D252">
        <f t="shared" ref="D252:W252" si="76">D20*D78</f>
        <v>184.91836734693879</v>
      </c>
      <c r="E252">
        <f t="shared" si="76"/>
        <v>159.65816326530611</v>
      </c>
      <c r="F252">
        <f t="shared" si="76"/>
        <v>135.02551020408163</v>
      </c>
      <c r="G252">
        <f t="shared" si="76"/>
        <v>92.008163265306123</v>
      </c>
      <c r="H252">
        <f t="shared" si="76"/>
        <v>160.12734693877553</v>
      </c>
      <c r="I252">
        <f t="shared" si="76"/>
        <v>149.89469387755102</v>
      </c>
      <c r="J252">
        <f t="shared" si="76"/>
        <v>91.780000000000015</v>
      </c>
      <c r="K252">
        <f t="shared" si="76"/>
        <v>82.932244897959194</v>
      </c>
      <c r="L252">
        <f t="shared" si="76"/>
        <v>107.43999999999998</v>
      </c>
      <c r="M252">
        <f t="shared" si="76"/>
        <v>102.79346938775511</v>
      </c>
      <c r="N252">
        <f t="shared" si="76"/>
        <v>83.204081632653057</v>
      </c>
      <c r="O252">
        <f t="shared" si="76"/>
        <v>96.704081632653057</v>
      </c>
      <c r="P252">
        <f t="shared" si="76"/>
        <v>122.2</v>
      </c>
      <c r="Q252">
        <f t="shared" si="76"/>
        <v>121.14897959183671</v>
      </c>
      <c r="R252">
        <f t="shared" si="76"/>
        <v>132.19408163265305</v>
      </c>
      <c r="S252">
        <f t="shared" si="76"/>
        <v>156.07918367346937</v>
      </c>
      <c r="T252">
        <f t="shared" si="76"/>
        <v>157.07755102040815</v>
      </c>
      <c r="U252">
        <f t="shared" si="76"/>
        <v>164.94714285714289</v>
      </c>
      <c r="V252">
        <f t="shared" si="76"/>
        <v>167.09551020408165</v>
      </c>
      <c r="W252">
        <f t="shared" si="76"/>
        <v>170.42244897959185</v>
      </c>
      <c r="Y252" s="15">
        <f t="shared" si="57"/>
        <v>2637.6510204081633</v>
      </c>
      <c r="Z252">
        <f t="shared" si="58"/>
        <v>487.26896292249961</v>
      </c>
    </row>
    <row r="253" spans="1:26" x14ac:dyDescent="0.25">
      <c r="A253" t="s">
        <v>62</v>
      </c>
      <c r="D253">
        <f t="shared" ref="D253:W253" si="77">D21*D79</f>
        <v>164.54551020408164</v>
      </c>
      <c r="E253">
        <f t="shared" si="77"/>
        <v>175.45551020408161</v>
      </c>
      <c r="F253">
        <f t="shared" si="77"/>
        <v>136.95244897959174</v>
      </c>
      <c r="G253">
        <f t="shared" si="77"/>
        <v>115.03285714285714</v>
      </c>
      <c r="H253">
        <f t="shared" si="77"/>
        <v>137.75020408163269</v>
      </c>
      <c r="I253">
        <f t="shared" si="77"/>
        <v>145.67959183673474</v>
      </c>
      <c r="J253">
        <f t="shared" si="77"/>
        <v>132.90612244897957</v>
      </c>
      <c r="K253">
        <f t="shared" si="77"/>
        <v>126.58285714285714</v>
      </c>
      <c r="L253">
        <f t="shared" si="77"/>
        <v>83.681785714285667</v>
      </c>
      <c r="M253">
        <f t="shared" si="77"/>
        <v>103.11673469387756</v>
      </c>
      <c r="N253">
        <f t="shared" si="77"/>
        <v>87.020408163265301</v>
      </c>
      <c r="O253">
        <f t="shared" si="77"/>
        <v>88.088367346938753</v>
      </c>
      <c r="P253">
        <f t="shared" si="77"/>
        <v>108.42857142857143</v>
      </c>
      <c r="Q253">
        <f t="shared" si="77"/>
        <v>117.95510204081633</v>
      </c>
      <c r="R253">
        <f t="shared" si="77"/>
        <v>96.738775510204093</v>
      </c>
      <c r="S253">
        <f t="shared" si="77"/>
        <v>114.15306122448979</v>
      </c>
      <c r="T253">
        <f t="shared" si="77"/>
        <v>129.6887755102041</v>
      </c>
      <c r="U253">
        <f t="shared" si="77"/>
        <v>125.76306122448979</v>
      </c>
      <c r="V253">
        <f t="shared" si="77"/>
        <v>109.90714285714287</v>
      </c>
      <c r="W253">
        <f t="shared" si="77"/>
        <v>199.64000000000001</v>
      </c>
      <c r="Y253" s="15">
        <f t="shared" si="57"/>
        <v>2499.086887755102</v>
      </c>
      <c r="Z253">
        <f t="shared" si="58"/>
        <v>462.40841490141423</v>
      </c>
    </row>
    <row r="254" spans="1:26" x14ac:dyDescent="0.25">
      <c r="Y254" s="15"/>
    </row>
    <row r="255" spans="1:26" x14ac:dyDescent="0.25">
      <c r="A255" t="s">
        <v>63</v>
      </c>
      <c r="D255">
        <f t="shared" ref="D255:W255" si="78">D23*D81</f>
        <v>163.28326530612244</v>
      </c>
      <c r="E255">
        <f t="shared" si="78"/>
        <v>118.44775510204082</v>
      </c>
      <c r="F255">
        <f t="shared" si="78"/>
        <v>136.00714285714287</v>
      </c>
      <c r="G255">
        <f t="shared" si="78"/>
        <v>93.257142857142853</v>
      </c>
      <c r="H255">
        <f t="shared" si="78"/>
        <v>96.708367346938772</v>
      </c>
      <c r="I255">
        <f t="shared" si="78"/>
        <v>102.38464285714286</v>
      </c>
      <c r="J255">
        <f t="shared" si="78"/>
        <v>97.402959183673474</v>
      </c>
      <c r="K255">
        <f t="shared" si="78"/>
        <v>100.78530612244896</v>
      </c>
      <c r="L255">
        <f t="shared" si="78"/>
        <v>73.791666666666686</v>
      </c>
      <c r="M255">
        <f t="shared" si="78"/>
        <v>96.059678416821285</v>
      </c>
      <c r="N255">
        <f t="shared" si="78"/>
        <v>104.50657184085753</v>
      </c>
      <c r="O255">
        <f t="shared" si="78"/>
        <v>129.77045918367298</v>
      </c>
      <c r="P255">
        <f t="shared" si="78"/>
        <v>90.138239538239532</v>
      </c>
      <c r="Q255">
        <f t="shared" si="78"/>
        <v>88.390249433106604</v>
      </c>
      <c r="R255">
        <f t="shared" si="78"/>
        <v>107.95855957534528</v>
      </c>
      <c r="S255">
        <f t="shared" si="78"/>
        <v>101.07487012987015</v>
      </c>
      <c r="T255">
        <f t="shared" si="78"/>
        <v>139.66630010681956</v>
      </c>
      <c r="U255">
        <f t="shared" si="78"/>
        <v>170.68434092783059</v>
      </c>
      <c r="V255">
        <f t="shared" si="78"/>
        <v>144.40064293210401</v>
      </c>
      <c r="W255">
        <f t="shared" si="78"/>
        <v>159.94545271827741</v>
      </c>
      <c r="Y255" s="15">
        <f t="shared" si="57"/>
        <v>2314.6636131022651</v>
      </c>
      <c r="Z255">
        <f>SUMPRODUCT($D$259:$S$259,D255:S255)</f>
        <v>390.59908929922864</v>
      </c>
    </row>
    <row r="256" spans="1:26" x14ac:dyDescent="0.25">
      <c r="A256" t="s">
        <v>307</v>
      </c>
      <c r="D256">
        <f t="shared" ref="D256:W256" si="79">D24*D82</f>
        <v>150.71999999999997</v>
      </c>
      <c r="E256">
        <f t="shared" si="79"/>
        <v>184.19285714285715</v>
      </c>
      <c r="F256">
        <f t="shared" si="79"/>
        <v>149.79857142857145</v>
      </c>
      <c r="G256">
        <f t="shared" si="79"/>
        <v>118.5</v>
      </c>
      <c r="H256">
        <f t="shared" si="79"/>
        <v>150.9061224489796</v>
      </c>
      <c r="I256">
        <f t="shared" si="79"/>
        <v>115.0473469387755</v>
      </c>
      <c r="J256">
        <f t="shared" si="79"/>
        <v>70.948571428571441</v>
      </c>
      <c r="K256">
        <f t="shared" si="79"/>
        <v>88.071836734693903</v>
      </c>
      <c r="L256">
        <f t="shared" si="79"/>
        <v>48.408749999999998</v>
      </c>
      <c r="M256">
        <f t="shared" si="79"/>
        <v>66.031836734693883</v>
      </c>
      <c r="N256">
        <f t="shared" si="79"/>
        <v>77.715918367346958</v>
      </c>
      <c r="O256">
        <f t="shared" si="79"/>
        <v>88.160000000000011</v>
      </c>
      <c r="P256">
        <f t="shared" si="79"/>
        <v>82.149999999999991</v>
      </c>
      <c r="Q256">
        <f t="shared" si="79"/>
        <v>81.84</v>
      </c>
      <c r="R256">
        <f t="shared" si="79"/>
        <v>123.48</v>
      </c>
      <c r="S256">
        <f t="shared" si="79"/>
        <v>52.48</v>
      </c>
      <c r="T256">
        <f t="shared" si="79"/>
        <v>132.30000000000001</v>
      </c>
      <c r="U256">
        <f t="shared" si="79"/>
        <v>167.2</v>
      </c>
      <c r="V256">
        <f t="shared" si="79"/>
        <v>123.24000000000001</v>
      </c>
      <c r="W256">
        <f t="shared" si="79"/>
        <v>144.18</v>
      </c>
      <c r="Y256" s="15">
        <f t="shared" si="57"/>
        <v>2215.3718112244901</v>
      </c>
      <c r="Z256">
        <f>SUMPRODUCT($D$259:$S$259,D256:S256)</f>
        <v>414.24891289234262</v>
      </c>
    </row>
    <row r="257" spans="1:26" x14ac:dyDescent="0.25">
      <c r="A257" t="s">
        <v>308</v>
      </c>
      <c r="D257">
        <f t="shared" ref="D257:W257" si="80">D25*D83</f>
        <v>131.05007421150282</v>
      </c>
      <c r="E257">
        <f t="shared" si="80"/>
        <v>139.84</v>
      </c>
      <c r="F257">
        <f t="shared" si="80"/>
        <v>113.89714285714288</v>
      </c>
      <c r="G257">
        <f t="shared" si="80"/>
        <v>129.92571428571429</v>
      </c>
      <c r="H257">
        <f t="shared" si="80"/>
        <v>137.26285714285714</v>
      </c>
      <c r="I257">
        <f t="shared" si="80"/>
        <v>118.30857142857144</v>
      </c>
      <c r="J257">
        <f t="shared" si="80"/>
        <v>93.467142857142846</v>
      </c>
      <c r="K257">
        <f t="shared" si="80"/>
        <v>85.152857142857144</v>
      </c>
      <c r="L257">
        <f t="shared" si="80"/>
        <v>85.064999999999998</v>
      </c>
      <c r="M257">
        <f t="shared" si="80"/>
        <v>90.28</v>
      </c>
      <c r="N257">
        <f t="shared" si="80"/>
        <v>83.52</v>
      </c>
      <c r="O257">
        <f t="shared" si="80"/>
        <v>100.86</v>
      </c>
      <c r="P257">
        <f t="shared" si="80"/>
        <v>97.064622335600916</v>
      </c>
      <c r="Q257">
        <f t="shared" si="80"/>
        <v>108.44486394557822</v>
      </c>
      <c r="R257">
        <f t="shared" si="80"/>
        <v>116.05015306122448</v>
      </c>
      <c r="S257">
        <f t="shared" si="80"/>
        <v>135.17330867346939</v>
      </c>
      <c r="T257">
        <f t="shared" si="80"/>
        <v>149.48820861678004</v>
      </c>
      <c r="U257">
        <f t="shared" si="80"/>
        <v>164.53730158730156</v>
      </c>
      <c r="V257">
        <f t="shared" si="80"/>
        <v>164.27857879818592</v>
      </c>
      <c r="W257">
        <f t="shared" si="80"/>
        <v>176.91988860544214</v>
      </c>
      <c r="Y257" s="15">
        <f t="shared" si="57"/>
        <v>2420.586285549371</v>
      </c>
      <c r="Z257">
        <f>SUMPRODUCT($D$259:$S$259,D257:S257)</f>
        <v>403.3345893092478</v>
      </c>
    </row>
    <row r="258" spans="1:26" x14ac:dyDescent="0.25">
      <c r="A258" t="s">
        <v>670</v>
      </c>
      <c r="D258">
        <f t="shared" ref="D258:W258" si="81">D26*D84</f>
        <v>188.95867346938775</v>
      </c>
      <c r="E258">
        <f t="shared" si="81"/>
        <v>163.95749999999995</v>
      </c>
      <c r="F258">
        <f t="shared" si="81"/>
        <v>144.9854591836735</v>
      </c>
      <c r="G258">
        <f t="shared" si="81"/>
        <v>160.26499999999999</v>
      </c>
      <c r="H258">
        <f t="shared" si="81"/>
        <v>162.4185714285714</v>
      </c>
      <c r="I258">
        <f t="shared" si="81"/>
        <v>117.45178571428572</v>
      </c>
      <c r="J258">
        <f t="shared" si="81"/>
        <v>104.08974489795918</v>
      </c>
      <c r="K258">
        <f t="shared" si="81"/>
        <v>97.373714285714257</v>
      </c>
      <c r="L258">
        <f t="shared" si="81"/>
        <v>80.839355654761903</v>
      </c>
      <c r="M258">
        <f t="shared" si="81"/>
        <v>99.51109034863947</v>
      </c>
      <c r="N258">
        <f t="shared" si="81"/>
        <v>106.47184778911561</v>
      </c>
      <c r="O258">
        <f t="shared" si="81"/>
        <v>100.72668898809526</v>
      </c>
      <c r="P258">
        <f t="shared" si="81"/>
        <v>81.260239455782312</v>
      </c>
      <c r="Q258">
        <f t="shared" si="81"/>
        <v>103.51672222222224</v>
      </c>
      <c r="R258">
        <f t="shared" si="81"/>
        <v>117.22893967791198</v>
      </c>
      <c r="S258">
        <f t="shared" si="81"/>
        <v>131.54951895043735</v>
      </c>
      <c r="T258">
        <f t="shared" si="81"/>
        <v>139.50255220143612</v>
      </c>
      <c r="U258">
        <f t="shared" si="81"/>
        <v>157.41717007983749</v>
      </c>
      <c r="V258">
        <f t="shared" si="81"/>
        <v>151.75520555791763</v>
      </c>
      <c r="W258">
        <f t="shared" si="81"/>
        <v>163.99520963246414</v>
      </c>
      <c r="Y258" s="15">
        <f t="shared" ref="Y258" si="82">SUM(D258:W258)</f>
        <v>2573.274989538213</v>
      </c>
      <c r="Z258">
        <f>SUMPRODUCT($D$259:$S$259,D258:S258)</f>
        <v>465.12104567788202</v>
      </c>
    </row>
    <row r="259" spans="1:26" x14ac:dyDescent="0.25">
      <c r="A259" s="2" t="s">
        <v>64</v>
      </c>
      <c r="D259" s="3">
        <f>CORREL($B$2:$B$21,D234:D253)</f>
        <v>0.48140493101827708</v>
      </c>
      <c r="E259" s="3">
        <f t="shared" ref="E259:W259" si="83">CORREL($B$2:$B$21,E234:E253)</f>
        <v>0.41460362513713034</v>
      </c>
      <c r="F259" s="3">
        <f t="shared" si="83"/>
        <v>0.16265527890868794</v>
      </c>
      <c r="G259" s="3">
        <f t="shared" si="83"/>
        <v>-6.0066966844260362E-2</v>
      </c>
      <c r="H259" s="3">
        <f t="shared" si="83"/>
        <v>0.6040166046854063</v>
      </c>
      <c r="I259" s="3">
        <f t="shared" si="83"/>
        <v>0.37199719536112291</v>
      </c>
      <c r="J259" s="3">
        <f t="shared" si="83"/>
        <v>7.7063486877303203E-2</v>
      </c>
      <c r="K259" s="3">
        <f t="shared" si="83"/>
        <v>-8.059293683080522E-2</v>
      </c>
      <c r="L259" s="3">
        <f t="shared" si="83"/>
        <v>0.17727890314919992</v>
      </c>
      <c r="M259" s="3">
        <f t="shared" si="83"/>
        <v>0.51723053790859863</v>
      </c>
      <c r="N259" s="3">
        <f t="shared" si="83"/>
        <v>0.32232242112425086</v>
      </c>
      <c r="O259" s="3">
        <f t="shared" si="83"/>
        <v>0.11406334997517184</v>
      </c>
      <c r="P259" s="3">
        <f t="shared" si="83"/>
        <v>0.27585299322233742</v>
      </c>
      <c r="Q259" s="3">
        <f t="shared" si="83"/>
        <v>0.25875887088930249</v>
      </c>
      <c r="R259" s="3">
        <f t="shared" si="83"/>
        <v>-2.2251521864774935E-2</v>
      </c>
      <c r="S259" s="3">
        <f t="shared" si="83"/>
        <v>-6.0426825226284418E-2</v>
      </c>
      <c r="T259" s="3">
        <f t="shared" si="83"/>
        <v>0.12591308016435088</v>
      </c>
      <c r="U259" s="3">
        <f t="shared" si="83"/>
        <v>-0.18963643918794174</v>
      </c>
      <c r="V259" s="3">
        <f t="shared" si="83"/>
        <v>8.2411644462707823E-2</v>
      </c>
      <c r="W259" s="3">
        <f t="shared" si="83"/>
        <v>0.23144207961089119</v>
      </c>
    </row>
    <row r="262" spans="1:26" x14ac:dyDescent="0.25">
      <c r="D262" t="s">
        <v>113</v>
      </c>
      <c r="E262" t="s">
        <v>114</v>
      </c>
      <c r="F262" t="s">
        <v>115</v>
      </c>
      <c r="G262" t="s">
        <v>116</v>
      </c>
      <c r="H262" t="s">
        <v>117</v>
      </c>
      <c r="I262" t="s">
        <v>118</v>
      </c>
      <c r="J262" t="s">
        <v>119</v>
      </c>
      <c r="K262" t="s">
        <v>120</v>
      </c>
      <c r="L262" t="s">
        <v>342</v>
      </c>
      <c r="M262" t="s">
        <v>388</v>
      </c>
      <c r="N262" t="s">
        <v>389</v>
      </c>
      <c r="O262" t="s">
        <v>390</v>
      </c>
      <c r="P262" t="s">
        <v>482</v>
      </c>
      <c r="Q262" t="s">
        <v>483</v>
      </c>
      <c r="R262" t="s">
        <v>484</v>
      </c>
      <c r="S262" t="s">
        <v>485</v>
      </c>
      <c r="T262" t="s">
        <v>594</v>
      </c>
      <c r="U262" t="s">
        <v>595</v>
      </c>
      <c r="V262" t="s">
        <v>596</v>
      </c>
      <c r="W262" t="s">
        <v>597</v>
      </c>
      <c r="Y262" t="s">
        <v>121</v>
      </c>
      <c r="Z262" t="s">
        <v>122</v>
      </c>
    </row>
    <row r="263" spans="1:26" x14ac:dyDescent="0.25">
      <c r="A263" t="s">
        <v>43</v>
      </c>
      <c r="D263">
        <f t="shared" ref="D263:W263" si="84">D2*D89</f>
        <v>672.96000000000015</v>
      </c>
      <c r="E263">
        <f t="shared" si="84"/>
        <v>645.61224489795927</v>
      </c>
      <c r="F263">
        <f t="shared" si="84"/>
        <v>656.6857142857142</v>
      </c>
      <c r="G263">
        <f t="shared" si="84"/>
        <v>752.05714285714271</v>
      </c>
      <c r="H263">
        <f t="shared" si="84"/>
        <v>689.11875437123138</v>
      </c>
      <c r="I263">
        <f t="shared" si="84"/>
        <v>649.99999338764599</v>
      </c>
      <c r="J263">
        <f t="shared" si="84"/>
        <v>740.1268271767799</v>
      </c>
      <c r="K263">
        <f t="shared" si="84"/>
        <v>752.42788419284636</v>
      </c>
      <c r="L263">
        <f t="shared" si="84"/>
        <v>837.18217678100325</v>
      </c>
      <c r="M263">
        <f t="shared" si="84"/>
        <v>713.63096844521067</v>
      </c>
      <c r="N263">
        <f t="shared" si="84"/>
        <v>633.59629138848175</v>
      </c>
      <c r="O263">
        <f t="shared" si="84"/>
        <v>707.55698691614919</v>
      </c>
      <c r="P263">
        <f t="shared" si="84"/>
        <v>663.85936615220305</v>
      </c>
      <c r="Q263">
        <f t="shared" si="84"/>
        <v>555.52600227826599</v>
      </c>
      <c r="R263">
        <f t="shared" si="84"/>
        <v>644.33668037961615</v>
      </c>
      <c r="S263">
        <f t="shared" si="84"/>
        <v>643.70906441774491</v>
      </c>
      <c r="T263">
        <f t="shared" si="84"/>
        <v>673.32500526061244</v>
      </c>
      <c r="U263">
        <f t="shared" si="84"/>
        <v>662.00557163155497</v>
      </c>
      <c r="V263">
        <f t="shared" si="84"/>
        <v>723.88787343088234</v>
      </c>
      <c r="W263">
        <f t="shared" si="84"/>
        <v>775.45125055283665</v>
      </c>
      <c r="Y263" s="15">
        <f t="shared" ref="Y263:Y286" si="85">SUM(D263:W263)</f>
        <v>13793.05579880388</v>
      </c>
      <c r="Z263">
        <f t="shared" ref="Z263:Z282" si="86">SUMPRODUCT($D$288:$S$288,D263:S263)</f>
        <v>-1783.6991507150906</v>
      </c>
    </row>
    <row r="264" spans="1:26" x14ac:dyDescent="0.25">
      <c r="A264" t="s">
        <v>44</v>
      </c>
      <c r="D264">
        <f t="shared" ref="D264:W264" si="87">D3*D90</f>
        <v>786.14693877551008</v>
      </c>
      <c r="E264">
        <f t="shared" si="87"/>
        <v>794.2285714285714</v>
      </c>
      <c r="F264">
        <f t="shared" si="87"/>
        <v>452.34897959183672</v>
      </c>
      <c r="G264">
        <f t="shared" si="87"/>
        <v>783.03673469387763</v>
      </c>
      <c r="H264">
        <f t="shared" si="87"/>
        <v>712.8636447802013</v>
      </c>
      <c r="I264">
        <f t="shared" si="87"/>
        <v>705.2800246056479</v>
      </c>
      <c r="J264">
        <f t="shared" si="87"/>
        <v>664.3231184319842</v>
      </c>
      <c r="K264">
        <f t="shared" si="87"/>
        <v>630.55652169849157</v>
      </c>
      <c r="L264">
        <f t="shared" si="87"/>
        <v>631.86298178305844</v>
      </c>
      <c r="M264">
        <f t="shared" si="87"/>
        <v>587.63532689147144</v>
      </c>
      <c r="N264">
        <f t="shared" si="87"/>
        <v>503.35976195917408</v>
      </c>
      <c r="O264">
        <f t="shared" si="87"/>
        <v>614.48200091893727</v>
      </c>
      <c r="P264">
        <f t="shared" si="87"/>
        <v>628.33558857470587</v>
      </c>
      <c r="Q264">
        <f t="shared" si="87"/>
        <v>641.63514993777858</v>
      </c>
      <c r="R264">
        <f t="shared" si="87"/>
        <v>717.12445960171419</v>
      </c>
      <c r="S264">
        <f t="shared" si="87"/>
        <v>585.18020849410459</v>
      </c>
      <c r="T264">
        <f t="shared" si="87"/>
        <v>635.00741626293063</v>
      </c>
      <c r="U264">
        <f t="shared" si="87"/>
        <v>528.04636152985802</v>
      </c>
      <c r="V264">
        <f t="shared" si="87"/>
        <v>618.19422998447294</v>
      </c>
      <c r="W264">
        <f t="shared" si="87"/>
        <v>655.78916363519977</v>
      </c>
      <c r="Y264" s="15">
        <f t="shared" si="85"/>
        <v>12875.437183579525</v>
      </c>
      <c r="Z264">
        <f t="shared" si="86"/>
        <v>-1842.9548305270271</v>
      </c>
    </row>
    <row r="265" spans="1:26" x14ac:dyDescent="0.25">
      <c r="A265" t="s">
        <v>45</v>
      </c>
      <c r="D265">
        <f t="shared" ref="D265:W265" si="88">D4*D91</f>
        <v>741.72609434350602</v>
      </c>
      <c r="E265">
        <f t="shared" si="88"/>
        <v>471.69795918367345</v>
      </c>
      <c r="F265">
        <f t="shared" si="88"/>
        <v>659.56122448979613</v>
      </c>
      <c r="G265">
        <f t="shared" si="88"/>
        <v>603.96734693877556</v>
      </c>
      <c r="H265">
        <f t="shared" si="88"/>
        <v>699.92924186062692</v>
      </c>
      <c r="I265">
        <f t="shared" si="88"/>
        <v>656.69749762344748</v>
      </c>
      <c r="J265">
        <f t="shared" si="88"/>
        <v>596.88333526287681</v>
      </c>
      <c r="K265">
        <f t="shared" si="88"/>
        <v>653.22784329632088</v>
      </c>
      <c r="L265">
        <f t="shared" si="88"/>
        <v>636.41365902566338</v>
      </c>
      <c r="M265">
        <f t="shared" si="88"/>
        <v>619.00672228330973</v>
      </c>
      <c r="N265">
        <f t="shared" si="88"/>
        <v>382.21790738837183</v>
      </c>
      <c r="O265">
        <f t="shared" si="88"/>
        <v>532.31574980838207</v>
      </c>
      <c r="P265">
        <f t="shared" si="88"/>
        <v>617.14187919015637</v>
      </c>
      <c r="Q265">
        <f t="shared" si="88"/>
        <v>613.25846495273674</v>
      </c>
      <c r="R265">
        <f t="shared" si="88"/>
        <v>670.10160073999327</v>
      </c>
      <c r="S265">
        <f t="shared" si="88"/>
        <v>579.00580723431085</v>
      </c>
      <c r="T265">
        <f t="shared" si="88"/>
        <v>479.62965806819557</v>
      </c>
      <c r="U265">
        <f t="shared" si="88"/>
        <v>651.2587649525218</v>
      </c>
      <c r="V265">
        <f t="shared" si="88"/>
        <v>580.85090619300024</v>
      </c>
      <c r="W265">
        <f t="shared" si="88"/>
        <v>594.1286426772632</v>
      </c>
      <c r="Y265" s="15">
        <f t="shared" si="85"/>
        <v>12039.020305512928</v>
      </c>
      <c r="Z265">
        <f t="shared" si="86"/>
        <v>-1703.6598815573382</v>
      </c>
    </row>
    <row r="266" spans="1:26" x14ac:dyDescent="0.25">
      <c r="A266" t="s">
        <v>46</v>
      </c>
      <c r="D266">
        <f t="shared" ref="D266:W266" si="89">D5*D92</f>
        <v>680.9357936144188</v>
      </c>
      <c r="E266">
        <f t="shared" si="89"/>
        <v>602.5532666727695</v>
      </c>
      <c r="F266">
        <f t="shared" si="89"/>
        <v>668.5162183707738</v>
      </c>
      <c r="G266">
        <f t="shared" si="89"/>
        <v>678.66791901314127</v>
      </c>
      <c r="H266">
        <f t="shared" si="89"/>
        <v>688.89526375242372</v>
      </c>
      <c r="I266">
        <f t="shared" si="89"/>
        <v>741.01101561613063</v>
      </c>
      <c r="J266">
        <f t="shared" si="89"/>
        <v>698.87018860354249</v>
      </c>
      <c r="K266">
        <f t="shared" si="89"/>
        <v>734.77309268585361</v>
      </c>
      <c r="L266">
        <f t="shared" si="89"/>
        <v>612.21126261844779</v>
      </c>
      <c r="M266">
        <f t="shared" si="89"/>
        <v>721.11411237026209</v>
      </c>
      <c r="N266">
        <f t="shared" si="89"/>
        <v>731.47364963563859</v>
      </c>
      <c r="O266">
        <f t="shared" si="89"/>
        <v>983.91232469103625</v>
      </c>
      <c r="P266">
        <f t="shared" si="89"/>
        <v>1033.3526558925294</v>
      </c>
      <c r="Q266">
        <f t="shared" si="89"/>
        <v>1068.8176779621533</v>
      </c>
      <c r="R266">
        <f t="shared" si="89"/>
        <v>628.74733681426278</v>
      </c>
      <c r="S266">
        <f t="shared" si="89"/>
        <v>637.27871538383431</v>
      </c>
      <c r="T266">
        <f t="shared" si="89"/>
        <v>802.95656826516085</v>
      </c>
      <c r="U266">
        <f t="shared" si="89"/>
        <v>568.97181581108748</v>
      </c>
      <c r="V266">
        <f t="shared" si="89"/>
        <v>665.27721795517425</v>
      </c>
      <c r="W266">
        <f t="shared" si="89"/>
        <v>538.06239152486069</v>
      </c>
      <c r="Y266" s="15">
        <f t="shared" si="85"/>
        <v>14486.398487253504</v>
      </c>
      <c r="Z266">
        <f t="shared" si="86"/>
        <v>-2056.1972580682295</v>
      </c>
    </row>
    <row r="267" spans="1:26" x14ac:dyDescent="0.25">
      <c r="A267" t="s">
        <v>47</v>
      </c>
      <c r="D267">
        <f t="shared" ref="D267:W267" si="90">D6*D93</f>
        <v>828.35109956669294</v>
      </c>
      <c r="E267">
        <f t="shared" si="90"/>
        <v>786.90931771647729</v>
      </c>
      <c r="F267">
        <f t="shared" si="90"/>
        <v>657.21537536118865</v>
      </c>
      <c r="G267">
        <f t="shared" si="90"/>
        <v>757.18991741364084</v>
      </c>
      <c r="H267">
        <f t="shared" si="90"/>
        <v>774.04365117236773</v>
      </c>
      <c r="I267">
        <f t="shared" si="90"/>
        <v>703.5079979490464</v>
      </c>
      <c r="J267">
        <f t="shared" si="90"/>
        <v>658.73765900349224</v>
      </c>
      <c r="K267">
        <f t="shared" si="90"/>
        <v>685.45228715293933</v>
      </c>
      <c r="L267">
        <f t="shared" si="90"/>
        <v>678.44283604626719</v>
      </c>
      <c r="M267">
        <f t="shared" si="90"/>
        <v>641.1620936941722</v>
      </c>
      <c r="N267">
        <f t="shared" si="90"/>
        <v>576.76223544341974</v>
      </c>
      <c r="O267">
        <f t="shared" si="90"/>
        <v>739.10587966900914</v>
      </c>
      <c r="P267">
        <f t="shared" si="90"/>
        <v>764.22683760907648</v>
      </c>
      <c r="Q267">
        <f t="shared" si="90"/>
        <v>714.78865183642063</v>
      </c>
      <c r="R267">
        <f t="shared" si="90"/>
        <v>615.98569699707286</v>
      </c>
      <c r="S267">
        <f t="shared" si="90"/>
        <v>697.649729187616</v>
      </c>
      <c r="T267">
        <f t="shared" si="90"/>
        <v>545.8216400252827</v>
      </c>
      <c r="U267">
        <f t="shared" si="90"/>
        <v>622.07012979353578</v>
      </c>
      <c r="V267">
        <f t="shared" si="90"/>
        <v>482.96751162260199</v>
      </c>
      <c r="W267">
        <f t="shared" si="90"/>
        <v>447.78279389471277</v>
      </c>
      <c r="Y267" s="15">
        <f t="shared" si="85"/>
        <v>13378.173341155032</v>
      </c>
      <c r="Z267">
        <f t="shared" si="86"/>
        <v>-1949.8785246235404</v>
      </c>
    </row>
    <row r="268" spans="1:26" x14ac:dyDescent="0.25">
      <c r="A268" t="s">
        <v>48</v>
      </c>
      <c r="D268">
        <f t="shared" ref="D268:W268" si="91">D7*D94</f>
        <v>614.20193685996344</v>
      </c>
      <c r="E268">
        <f t="shared" si="91"/>
        <v>589.25452101732867</v>
      </c>
      <c r="F268">
        <f t="shared" si="91"/>
        <v>631.39005655092069</v>
      </c>
      <c r="G268">
        <f t="shared" si="91"/>
        <v>544.1817023287291</v>
      </c>
      <c r="H268">
        <f t="shared" si="91"/>
        <v>613.02186744448943</v>
      </c>
      <c r="I268">
        <f t="shared" si="91"/>
        <v>538.3557828179953</v>
      </c>
      <c r="J268">
        <f t="shared" si="91"/>
        <v>645.29247674036287</v>
      </c>
      <c r="K268">
        <f t="shared" si="91"/>
        <v>681.97870629056138</v>
      </c>
      <c r="L268">
        <f t="shared" si="91"/>
        <v>654.75815812653127</v>
      </c>
      <c r="M268">
        <f t="shared" si="91"/>
        <v>612.53712421301225</v>
      </c>
      <c r="N268">
        <f t="shared" si="91"/>
        <v>713.30068547636051</v>
      </c>
      <c r="O268">
        <f t="shared" si="91"/>
        <v>556.51619969626825</v>
      </c>
      <c r="P268">
        <f t="shared" si="91"/>
        <v>696.1289685420769</v>
      </c>
      <c r="Q268">
        <f t="shared" si="91"/>
        <v>605.5183323099111</v>
      </c>
      <c r="R268">
        <f t="shared" si="91"/>
        <v>563.10867763517456</v>
      </c>
      <c r="S268">
        <f t="shared" si="91"/>
        <v>677.45197732541999</v>
      </c>
      <c r="T268">
        <f t="shared" si="91"/>
        <v>517.37969694488902</v>
      </c>
      <c r="U268">
        <f t="shared" si="91"/>
        <v>542.33760161677651</v>
      </c>
      <c r="V268">
        <f t="shared" si="91"/>
        <v>536.86832176249868</v>
      </c>
      <c r="W268">
        <f t="shared" si="91"/>
        <v>619.00642705858991</v>
      </c>
      <c r="Y268" s="15">
        <f t="shared" si="85"/>
        <v>12152.58922075786</v>
      </c>
      <c r="Z268">
        <f t="shared" si="86"/>
        <v>-1493.1407483054122</v>
      </c>
    </row>
    <row r="269" spans="1:26" x14ac:dyDescent="0.25">
      <c r="A269" t="s">
        <v>49</v>
      </c>
      <c r="D269">
        <f t="shared" ref="D269:W269" si="92">D8*D95</f>
        <v>707.83537598268026</v>
      </c>
      <c r="E269">
        <f t="shared" si="92"/>
        <v>659.60525548755231</v>
      </c>
      <c r="F269">
        <f t="shared" si="92"/>
        <v>611.01084877549533</v>
      </c>
      <c r="G269">
        <f t="shared" si="92"/>
        <v>693.13147247916515</v>
      </c>
      <c r="H269">
        <f t="shared" si="92"/>
        <v>662.09308405359184</v>
      </c>
      <c r="I269">
        <f t="shared" si="92"/>
        <v>731.0250493133608</v>
      </c>
      <c r="J269">
        <f t="shared" si="92"/>
        <v>627.41036340318601</v>
      </c>
      <c r="K269">
        <f t="shared" si="92"/>
        <v>785.44306684934122</v>
      </c>
      <c r="L269">
        <f t="shared" si="92"/>
        <v>634.07616930884103</v>
      </c>
      <c r="M269">
        <f t="shared" si="92"/>
        <v>757.50223033716497</v>
      </c>
      <c r="N269">
        <f t="shared" si="92"/>
        <v>705.95364060994279</v>
      </c>
      <c r="O269">
        <f t="shared" si="92"/>
        <v>794.3166770027135</v>
      </c>
      <c r="P269">
        <f t="shared" si="92"/>
        <v>674.55181870223942</v>
      </c>
      <c r="Q269">
        <f t="shared" si="92"/>
        <v>637.28580415385784</v>
      </c>
      <c r="R269">
        <f t="shared" si="92"/>
        <v>709.09185055459864</v>
      </c>
      <c r="S269">
        <f t="shared" si="92"/>
        <v>705.18884462744415</v>
      </c>
      <c r="T269">
        <f t="shared" si="92"/>
        <v>661.90067931594399</v>
      </c>
      <c r="U269">
        <f t="shared" si="92"/>
        <v>670.4296363008898</v>
      </c>
      <c r="V269">
        <f t="shared" si="92"/>
        <v>653.46921210301366</v>
      </c>
      <c r="W269">
        <f t="shared" si="92"/>
        <v>579.72842907039558</v>
      </c>
      <c r="Y269" s="15">
        <f t="shared" si="85"/>
        <v>13661.049508431415</v>
      </c>
      <c r="Z269">
        <f t="shared" si="86"/>
        <v>-1822.7007670271496</v>
      </c>
    </row>
    <row r="270" spans="1:26" x14ac:dyDescent="0.25">
      <c r="A270" t="s">
        <v>50</v>
      </c>
      <c r="D270">
        <f t="shared" ref="D270:W270" si="93">D9*D96</f>
        <v>728.943306162922</v>
      </c>
      <c r="E270">
        <f t="shared" si="93"/>
        <v>758.21224489795929</v>
      </c>
      <c r="F270">
        <f t="shared" si="93"/>
        <v>730.89795918367338</v>
      </c>
      <c r="G270">
        <f t="shared" si="93"/>
        <v>643.76326530612255</v>
      </c>
      <c r="H270">
        <f t="shared" si="93"/>
        <v>892.53556134956852</v>
      </c>
      <c r="I270">
        <f t="shared" si="93"/>
        <v>716.3310044614841</v>
      </c>
      <c r="J270">
        <f t="shared" si="93"/>
        <v>946.63968804792171</v>
      </c>
      <c r="K270">
        <f t="shared" si="93"/>
        <v>517.83327603720386</v>
      </c>
      <c r="L270">
        <f t="shared" si="93"/>
        <v>632.68045083440052</v>
      </c>
      <c r="M270">
        <f t="shared" si="93"/>
        <v>431.56608966172143</v>
      </c>
      <c r="N270">
        <f t="shared" si="93"/>
        <v>631.86178912519927</v>
      </c>
      <c r="O270">
        <f t="shared" si="93"/>
        <v>584.56115514525038</v>
      </c>
      <c r="P270">
        <f t="shared" si="93"/>
        <v>513.56061245474916</v>
      </c>
      <c r="Q270">
        <f t="shared" si="93"/>
        <v>656.61815576670438</v>
      </c>
      <c r="R270">
        <f t="shared" si="93"/>
        <v>696.41582911484727</v>
      </c>
      <c r="S270">
        <f t="shared" si="93"/>
        <v>573.52156164600763</v>
      </c>
      <c r="T270">
        <f t="shared" si="93"/>
        <v>420.34921757470102</v>
      </c>
      <c r="U270">
        <f t="shared" si="93"/>
        <v>413.61908731468674</v>
      </c>
      <c r="V270">
        <f t="shared" si="93"/>
        <v>680.66609968851719</v>
      </c>
      <c r="W270">
        <f t="shared" si="93"/>
        <v>744.81277154225029</v>
      </c>
      <c r="Y270" s="15">
        <f t="shared" si="85"/>
        <v>12915.389125315891</v>
      </c>
      <c r="Z270">
        <f t="shared" si="86"/>
        <v>-1748.3958590066716</v>
      </c>
    </row>
    <row r="271" spans="1:26" x14ac:dyDescent="0.25">
      <c r="A271" t="s">
        <v>51</v>
      </c>
      <c r="D271">
        <f t="shared" ref="D271:W271" si="94">D10*D97</f>
        <v>648.36343784135602</v>
      </c>
      <c r="E271">
        <f t="shared" si="94"/>
        <v>600.24104031879745</v>
      </c>
      <c r="F271">
        <f t="shared" si="94"/>
        <v>751.8531758188509</v>
      </c>
      <c r="G271">
        <f t="shared" si="94"/>
        <v>658.538023842347</v>
      </c>
      <c r="H271">
        <f t="shared" si="94"/>
        <v>614.19074013101294</v>
      </c>
      <c r="I271">
        <f t="shared" si="94"/>
        <v>426.65178133746377</v>
      </c>
      <c r="J271">
        <f t="shared" si="94"/>
        <v>748.51571309463873</v>
      </c>
      <c r="K271">
        <f t="shared" si="94"/>
        <v>603.89125797022416</v>
      </c>
      <c r="L271">
        <f t="shared" si="94"/>
        <v>595.35277012990912</v>
      </c>
      <c r="M271">
        <f t="shared" si="94"/>
        <v>619.86657428008436</v>
      </c>
      <c r="N271">
        <f t="shared" si="94"/>
        <v>534.06892664341649</v>
      </c>
      <c r="O271">
        <f t="shared" si="94"/>
        <v>578.0173953715431</v>
      </c>
      <c r="P271">
        <f t="shared" si="94"/>
        <v>502.60942107617427</v>
      </c>
      <c r="Q271">
        <f t="shared" si="94"/>
        <v>486.30151577545837</v>
      </c>
      <c r="R271">
        <f t="shared" si="94"/>
        <v>670.48618419927038</v>
      </c>
      <c r="S271">
        <f t="shared" si="94"/>
        <v>592.14237546617051</v>
      </c>
      <c r="T271">
        <f t="shared" si="94"/>
        <v>800.29622680081195</v>
      </c>
      <c r="U271">
        <f t="shared" si="94"/>
        <v>390.92004536180684</v>
      </c>
      <c r="V271">
        <f t="shared" si="94"/>
        <v>565.08432551222359</v>
      </c>
      <c r="W271">
        <f t="shared" si="94"/>
        <v>634.70045962384052</v>
      </c>
      <c r="Y271" s="15">
        <f t="shared" si="85"/>
        <v>12022.0913905954</v>
      </c>
      <c r="Z271">
        <f t="shared" si="86"/>
        <v>-1561.1620097397176</v>
      </c>
    </row>
    <row r="272" spans="1:26" x14ac:dyDescent="0.25">
      <c r="A272" t="s">
        <v>52</v>
      </c>
      <c r="D272">
        <f t="shared" ref="D272:W272" si="95">D11*D98</f>
        <v>743.88588067049932</v>
      </c>
      <c r="E272">
        <f t="shared" si="95"/>
        <v>508.5993469360547</v>
      </c>
      <c r="F272">
        <f t="shared" si="95"/>
        <v>649.89336539017233</v>
      </c>
      <c r="G272">
        <f t="shared" si="95"/>
        <v>638.19251166488789</v>
      </c>
      <c r="H272">
        <f t="shared" si="95"/>
        <v>652.83924641183341</v>
      </c>
      <c r="I272">
        <f t="shared" si="95"/>
        <v>837.88334231832607</v>
      </c>
      <c r="J272">
        <f t="shared" si="95"/>
        <v>457.86239335516217</v>
      </c>
      <c r="K272">
        <f t="shared" si="95"/>
        <v>623.77450315365661</v>
      </c>
      <c r="L272">
        <f t="shared" si="95"/>
        <v>510.77094145850646</v>
      </c>
      <c r="M272">
        <f t="shared" si="95"/>
        <v>556.41900297698976</v>
      </c>
      <c r="N272">
        <f t="shared" si="95"/>
        <v>598.5308414210748</v>
      </c>
      <c r="O272">
        <f t="shared" si="95"/>
        <v>566.51421297048887</v>
      </c>
      <c r="P272">
        <f t="shared" si="95"/>
        <v>653.60181555321299</v>
      </c>
      <c r="Q272">
        <f t="shared" si="95"/>
        <v>600.24956486707595</v>
      </c>
      <c r="R272">
        <f t="shared" si="95"/>
        <v>511.14878853443525</v>
      </c>
      <c r="S272">
        <f t="shared" si="95"/>
        <v>550.54193017715113</v>
      </c>
      <c r="T272">
        <f t="shared" si="95"/>
        <v>693.7760085916218</v>
      </c>
      <c r="U272">
        <f t="shared" si="95"/>
        <v>650.19480964354477</v>
      </c>
      <c r="V272">
        <f t="shared" si="95"/>
        <v>511.64026911581283</v>
      </c>
      <c r="W272">
        <f t="shared" si="95"/>
        <v>394.63393966094435</v>
      </c>
      <c r="Y272" s="15">
        <f t="shared" si="85"/>
        <v>11910.952714871451</v>
      </c>
      <c r="Z272">
        <f t="shared" si="86"/>
        <v>-1752.0683233613474</v>
      </c>
    </row>
    <row r="273" spans="1:26" x14ac:dyDescent="0.25">
      <c r="A273" t="s">
        <v>53</v>
      </c>
      <c r="D273">
        <f t="shared" ref="D273:W273" si="96">D12*D99</f>
        <v>609.30891742565098</v>
      </c>
      <c r="E273">
        <f t="shared" si="96"/>
        <v>610.70500264572001</v>
      </c>
      <c r="F273">
        <f t="shared" si="96"/>
        <v>646.57928518425581</v>
      </c>
      <c r="G273">
        <f t="shared" si="96"/>
        <v>525.98872629021071</v>
      </c>
      <c r="H273">
        <f t="shared" si="96"/>
        <v>613.9762415887925</v>
      </c>
      <c r="I273">
        <f t="shared" si="96"/>
        <v>576.06931289843078</v>
      </c>
      <c r="J273">
        <f t="shared" si="96"/>
        <v>507.13649233839237</v>
      </c>
      <c r="K273">
        <f t="shared" si="96"/>
        <v>675.57413657354209</v>
      </c>
      <c r="L273">
        <f t="shared" si="96"/>
        <v>590.91734626739139</v>
      </c>
      <c r="M273">
        <f t="shared" si="96"/>
        <v>711.3597618844982</v>
      </c>
      <c r="N273">
        <f t="shared" si="96"/>
        <v>726.4719526388119</v>
      </c>
      <c r="O273">
        <f t="shared" si="96"/>
        <v>571.67760427524797</v>
      </c>
      <c r="P273">
        <f t="shared" si="96"/>
        <v>722.38629168712566</v>
      </c>
      <c r="Q273">
        <f t="shared" si="96"/>
        <v>576.50999274881542</v>
      </c>
      <c r="R273">
        <f t="shared" si="96"/>
        <v>761.71572426256751</v>
      </c>
      <c r="S273">
        <f t="shared" si="96"/>
        <v>516.28808269623312</v>
      </c>
      <c r="T273">
        <f t="shared" si="96"/>
        <v>610.74303841231335</v>
      </c>
      <c r="U273">
        <f t="shared" si="96"/>
        <v>519.30315503191889</v>
      </c>
      <c r="V273">
        <f t="shared" si="96"/>
        <v>808.77688116733975</v>
      </c>
      <c r="W273">
        <f t="shared" si="96"/>
        <v>751.09264221167371</v>
      </c>
      <c r="Y273" s="15">
        <f t="shared" si="85"/>
        <v>12632.580588228931</v>
      </c>
      <c r="Z273">
        <f t="shared" si="86"/>
        <v>-1606.7759876626758</v>
      </c>
    </row>
    <row r="274" spans="1:26" x14ac:dyDescent="0.25">
      <c r="A274" t="s">
        <v>54</v>
      </c>
      <c r="D274">
        <f t="shared" ref="D274:W274" si="97">D13*D100</f>
        <v>778.134893261858</v>
      </c>
      <c r="E274">
        <f t="shared" si="97"/>
        <v>753.05946363250098</v>
      </c>
      <c r="F274">
        <f t="shared" si="97"/>
        <v>762.40771057569589</v>
      </c>
      <c r="G274">
        <f t="shared" si="97"/>
        <v>611.03443933152801</v>
      </c>
      <c r="H274">
        <f t="shared" si="97"/>
        <v>699.33843565374559</v>
      </c>
      <c r="I274">
        <f t="shared" si="97"/>
        <v>758.34927759127902</v>
      </c>
      <c r="J274">
        <f t="shared" si="97"/>
        <v>669.76030849519293</v>
      </c>
      <c r="K274">
        <f t="shared" si="97"/>
        <v>583.18509775404448</v>
      </c>
      <c r="L274">
        <f t="shared" si="97"/>
        <v>572.19351495198339</v>
      </c>
      <c r="M274">
        <f t="shared" si="97"/>
        <v>631.53484983120052</v>
      </c>
      <c r="N274">
        <f t="shared" si="97"/>
        <v>638.1944983013376</v>
      </c>
      <c r="O274">
        <f t="shared" si="97"/>
        <v>612.08166478923476</v>
      </c>
      <c r="P274">
        <f t="shared" si="97"/>
        <v>720.76889770806292</v>
      </c>
      <c r="Q274">
        <f t="shared" si="97"/>
        <v>762.72615148863531</v>
      </c>
      <c r="R274">
        <f t="shared" si="97"/>
        <v>617.33559694250209</v>
      </c>
      <c r="S274">
        <f t="shared" si="97"/>
        <v>750.58670519022883</v>
      </c>
      <c r="T274">
        <f t="shared" si="97"/>
        <v>774.44214099871647</v>
      </c>
      <c r="U274">
        <f t="shared" si="97"/>
        <v>626.24614796495166</v>
      </c>
      <c r="V274">
        <f t="shared" si="97"/>
        <v>353.08671680370765</v>
      </c>
      <c r="W274">
        <f t="shared" si="97"/>
        <v>526.67571883621702</v>
      </c>
      <c r="Y274" s="15">
        <f t="shared" si="85"/>
        <v>13201.142230102625</v>
      </c>
      <c r="Z274">
        <f t="shared" si="86"/>
        <v>-1817.7513757064944</v>
      </c>
    </row>
    <row r="275" spans="1:26" x14ac:dyDescent="0.25">
      <c r="A275" t="s">
        <v>55</v>
      </c>
      <c r="D275">
        <f t="shared" ref="D275:W275" si="98">D14*D101</f>
        <v>574.33535309099045</v>
      </c>
      <c r="E275">
        <f t="shared" si="98"/>
        <v>457.19394728182101</v>
      </c>
      <c r="F275">
        <f t="shared" si="98"/>
        <v>712.82510737809775</v>
      </c>
      <c r="G275">
        <f t="shared" si="98"/>
        <v>735.3600112994319</v>
      </c>
      <c r="H275">
        <f t="shared" si="98"/>
        <v>702.93204874440755</v>
      </c>
      <c r="I275">
        <f t="shared" si="98"/>
        <v>566.62711074068523</v>
      </c>
      <c r="J275">
        <f t="shared" si="98"/>
        <v>675.77847645229474</v>
      </c>
      <c r="K275">
        <f t="shared" si="98"/>
        <v>689.10580748598795</v>
      </c>
      <c r="L275">
        <f t="shared" si="98"/>
        <v>506.03850376551509</v>
      </c>
      <c r="M275">
        <f t="shared" si="98"/>
        <v>624.70847641215153</v>
      </c>
      <c r="N275">
        <f t="shared" si="98"/>
        <v>841.13981547657261</v>
      </c>
      <c r="O275">
        <f t="shared" si="98"/>
        <v>592.74359393389454</v>
      </c>
      <c r="P275">
        <f t="shared" si="98"/>
        <v>461.91252733651959</v>
      </c>
      <c r="Q275">
        <f t="shared" si="98"/>
        <v>797.91423760952466</v>
      </c>
      <c r="R275">
        <f t="shared" si="98"/>
        <v>686.46592644462385</v>
      </c>
      <c r="S275">
        <f t="shared" si="98"/>
        <v>680.61194201597846</v>
      </c>
      <c r="T275">
        <f t="shared" si="98"/>
        <v>582.23767524365974</v>
      </c>
      <c r="U275">
        <f t="shared" si="98"/>
        <v>567.1659139869256</v>
      </c>
      <c r="V275">
        <f t="shared" si="98"/>
        <v>630.00464174610283</v>
      </c>
      <c r="W275">
        <f t="shared" si="98"/>
        <v>573.53895918111789</v>
      </c>
      <c r="Y275" s="15">
        <f t="shared" si="85"/>
        <v>12658.640075626303</v>
      </c>
      <c r="Z275">
        <f t="shared" si="86"/>
        <v>-1648.1121573173621</v>
      </c>
    </row>
    <row r="276" spans="1:26" x14ac:dyDescent="0.25">
      <c r="A276" t="s">
        <v>56</v>
      </c>
      <c r="D276">
        <f t="shared" ref="D276:W276" si="99">D15*D102</f>
        <v>817.49149250039318</v>
      </c>
      <c r="E276">
        <f t="shared" si="99"/>
        <v>734.97551020408162</v>
      </c>
      <c r="F276">
        <f t="shared" si="99"/>
        <v>791.11224489795916</v>
      </c>
      <c r="G276">
        <f t="shared" si="99"/>
        <v>770.17142857142846</v>
      </c>
      <c r="H276">
        <f t="shared" si="99"/>
        <v>668.85814092280702</v>
      </c>
      <c r="I276">
        <f t="shared" si="99"/>
        <v>671.72985945711844</v>
      </c>
      <c r="J276">
        <f t="shared" si="99"/>
        <v>729.29107021938489</v>
      </c>
      <c r="K276">
        <f t="shared" si="99"/>
        <v>676.31794692012295</v>
      </c>
      <c r="L276">
        <f t="shared" si="99"/>
        <v>821.90824160054115</v>
      </c>
      <c r="M276">
        <f t="shared" si="99"/>
        <v>703.43618516132688</v>
      </c>
      <c r="N276">
        <f t="shared" si="99"/>
        <v>704.70555332409492</v>
      </c>
      <c r="O276">
        <f t="shared" si="99"/>
        <v>661.68585774764279</v>
      </c>
      <c r="P276">
        <f t="shared" si="99"/>
        <v>734.88582063989475</v>
      </c>
      <c r="Q276">
        <f t="shared" si="99"/>
        <v>578.05108099316362</v>
      </c>
      <c r="R276">
        <f t="shared" si="99"/>
        <v>648.30356493084537</v>
      </c>
      <c r="S276">
        <f t="shared" si="99"/>
        <v>718.44073111647833</v>
      </c>
      <c r="T276">
        <f t="shared" si="99"/>
        <v>785.47633481503442</v>
      </c>
      <c r="U276">
        <f t="shared" si="99"/>
        <v>688.26627008830701</v>
      </c>
      <c r="V276">
        <f t="shared" si="99"/>
        <v>498.84356114407137</v>
      </c>
      <c r="W276">
        <f t="shared" si="99"/>
        <v>619.78845509217899</v>
      </c>
      <c r="Y276" s="15">
        <f t="shared" si="85"/>
        <v>14023.739350346874</v>
      </c>
      <c r="Z276">
        <f t="shared" si="86"/>
        <v>-1882.7805286145294</v>
      </c>
    </row>
    <row r="277" spans="1:26" x14ac:dyDescent="0.25">
      <c r="A277" t="s">
        <v>57</v>
      </c>
      <c r="D277">
        <f t="shared" ref="D277:W277" si="100">D16*D103</f>
        <v>638.9795918367347</v>
      </c>
      <c r="E277">
        <f t="shared" si="100"/>
        <v>657.25714285714298</v>
      </c>
      <c r="F277">
        <f t="shared" si="100"/>
        <v>699.12244897959181</v>
      </c>
      <c r="G277">
        <f t="shared" si="100"/>
        <v>742.80612244897952</v>
      </c>
      <c r="H277">
        <f t="shared" si="100"/>
        <v>669.3295412743762</v>
      </c>
      <c r="I277">
        <f t="shared" si="100"/>
        <v>542.78831132022447</v>
      </c>
      <c r="J277">
        <f t="shared" si="100"/>
        <v>674.01871761000405</v>
      </c>
      <c r="K277">
        <f t="shared" si="100"/>
        <v>716.95300799788811</v>
      </c>
      <c r="L277">
        <f t="shared" si="100"/>
        <v>793.83668439160203</v>
      </c>
      <c r="M277">
        <f t="shared" si="100"/>
        <v>541.1659716530479</v>
      </c>
      <c r="N277">
        <f t="shared" si="100"/>
        <v>636.22001423666438</v>
      </c>
      <c r="O277">
        <f t="shared" si="100"/>
        <v>645.00679213229739</v>
      </c>
      <c r="P277">
        <f t="shared" si="100"/>
        <v>593.27510577317287</v>
      </c>
      <c r="Q277">
        <f t="shared" si="100"/>
        <v>692.33262846849811</v>
      </c>
      <c r="R277">
        <f t="shared" si="100"/>
        <v>523.23388622547895</v>
      </c>
      <c r="S277">
        <f t="shared" si="100"/>
        <v>651.4361483930835</v>
      </c>
      <c r="T277">
        <f t="shared" si="100"/>
        <v>617.54939191886581</v>
      </c>
      <c r="U277">
        <f t="shared" si="100"/>
        <v>594.54107322130358</v>
      </c>
      <c r="V277">
        <f t="shared" si="100"/>
        <v>582.74823804004438</v>
      </c>
      <c r="W277">
        <f t="shared" si="100"/>
        <v>634.70372969920982</v>
      </c>
      <c r="Y277" s="15">
        <f t="shared" si="85"/>
        <v>12847.304548478211</v>
      </c>
      <c r="Z277">
        <f t="shared" si="86"/>
        <v>-1684.3570871716142</v>
      </c>
    </row>
    <row r="278" spans="1:26" x14ac:dyDescent="0.25">
      <c r="A278" t="s">
        <v>58</v>
      </c>
      <c r="D278">
        <f t="shared" ref="D278:W278" si="101">D17*D104</f>
        <v>654.5632653061225</v>
      </c>
      <c r="E278">
        <f t="shared" si="101"/>
        <v>813.71020408163247</v>
      </c>
      <c r="F278">
        <f t="shared" si="101"/>
        <v>701.53061224489795</v>
      </c>
      <c r="G278">
        <f t="shared" si="101"/>
        <v>696.80204081632667</v>
      </c>
      <c r="H278">
        <f t="shared" si="101"/>
        <v>729.52232280895646</v>
      </c>
      <c r="I278">
        <f t="shared" si="101"/>
        <v>544.97215684431433</v>
      </c>
      <c r="J278">
        <f t="shared" si="101"/>
        <v>569.20922068475375</v>
      </c>
      <c r="K278">
        <f t="shared" si="101"/>
        <v>687.66227185729781</v>
      </c>
      <c r="L278">
        <f t="shared" si="101"/>
        <v>534.62425985892207</v>
      </c>
      <c r="M278">
        <f t="shared" si="101"/>
        <v>496.37684127285138</v>
      </c>
      <c r="N278">
        <f t="shared" si="101"/>
        <v>499.7778586600308</v>
      </c>
      <c r="O278">
        <f t="shared" si="101"/>
        <v>594.87880380878971</v>
      </c>
      <c r="P278">
        <f t="shared" si="101"/>
        <v>630.47061069307597</v>
      </c>
      <c r="Q278">
        <f t="shared" si="101"/>
        <v>602.10820882203518</v>
      </c>
      <c r="R278">
        <f t="shared" si="101"/>
        <v>670.04062214002681</v>
      </c>
      <c r="S278">
        <f t="shared" si="101"/>
        <v>687.17313547368576</v>
      </c>
      <c r="T278">
        <f t="shared" si="101"/>
        <v>668.16841206504751</v>
      </c>
      <c r="U278">
        <f t="shared" si="101"/>
        <v>651.65991524944002</v>
      </c>
      <c r="V278">
        <f t="shared" si="101"/>
        <v>540.00416463570866</v>
      </c>
      <c r="W278">
        <f t="shared" si="101"/>
        <v>452.83843867576059</v>
      </c>
      <c r="Y278" s="15">
        <f t="shared" si="85"/>
        <v>12426.093365999677</v>
      </c>
      <c r="Z278">
        <f t="shared" si="86"/>
        <v>-1673.8839334074851</v>
      </c>
    </row>
    <row r="279" spans="1:26" x14ac:dyDescent="0.25">
      <c r="A279" t="s">
        <v>59</v>
      </c>
      <c r="D279">
        <f t="shared" ref="D279:W279" si="102">D18*D105</f>
        <v>741.96184517424786</v>
      </c>
      <c r="E279">
        <f t="shared" si="102"/>
        <v>668.85714845063262</v>
      </c>
      <c r="F279">
        <f t="shared" si="102"/>
        <v>581.60962286468714</v>
      </c>
      <c r="G279">
        <f t="shared" si="102"/>
        <v>605.72697714749393</v>
      </c>
      <c r="H279">
        <f t="shared" si="102"/>
        <v>539.08243222773797</v>
      </c>
      <c r="I279">
        <f t="shared" si="102"/>
        <v>630.29026986810845</v>
      </c>
      <c r="J279">
        <f t="shared" si="102"/>
        <v>608.41038969704096</v>
      </c>
      <c r="K279">
        <f t="shared" si="102"/>
        <v>611.72328979780548</v>
      </c>
      <c r="L279">
        <f t="shared" si="102"/>
        <v>13.991224100244244</v>
      </c>
      <c r="M279">
        <f t="shared" si="102"/>
        <v>700.73483497124471</v>
      </c>
      <c r="N279">
        <f t="shared" si="102"/>
        <v>685.86406517797445</v>
      </c>
      <c r="O279">
        <f t="shared" si="102"/>
        <v>515.99436373461629</v>
      </c>
      <c r="P279">
        <f t="shared" si="102"/>
        <v>582.013104143894</v>
      </c>
      <c r="Q279">
        <f t="shared" si="102"/>
        <v>715.48966657812014</v>
      </c>
      <c r="R279">
        <f t="shared" si="102"/>
        <v>731.75791450636393</v>
      </c>
      <c r="S279">
        <f t="shared" si="102"/>
        <v>635.9106013093492</v>
      </c>
      <c r="T279">
        <f t="shared" si="102"/>
        <v>527.73928422374422</v>
      </c>
      <c r="U279">
        <f t="shared" si="102"/>
        <v>671.47509905581444</v>
      </c>
      <c r="V279">
        <f t="shared" si="102"/>
        <v>600.7423366504554</v>
      </c>
      <c r="W279">
        <f t="shared" si="102"/>
        <v>490.48128706373762</v>
      </c>
      <c r="Y279" s="15">
        <f t="shared" si="85"/>
        <v>11859.855756743314</v>
      </c>
      <c r="Z279">
        <f t="shared" si="86"/>
        <v>-1656.3023763833767</v>
      </c>
    </row>
    <row r="280" spans="1:26" x14ac:dyDescent="0.25">
      <c r="A280" t="s">
        <v>60</v>
      </c>
      <c r="D280">
        <f t="shared" ref="D280:W280" si="103">D19*D106</f>
        <v>576.36387716877221</v>
      </c>
      <c r="E280">
        <f t="shared" si="103"/>
        <v>550.87225332234311</v>
      </c>
      <c r="F280">
        <f t="shared" si="103"/>
        <v>332.7325245282986</v>
      </c>
      <c r="G280">
        <f t="shared" si="103"/>
        <v>705.86727891303508</v>
      </c>
      <c r="H280">
        <f t="shared" si="103"/>
        <v>718.18610069605381</v>
      </c>
      <c r="I280">
        <f t="shared" si="103"/>
        <v>653.05758627535874</v>
      </c>
      <c r="J280">
        <f t="shared" si="103"/>
        <v>673.71587775052876</v>
      </c>
      <c r="K280">
        <f t="shared" si="103"/>
        <v>575.63146079259388</v>
      </c>
      <c r="L280">
        <f t="shared" si="103"/>
        <v>733.03243597550716</v>
      </c>
      <c r="M280">
        <f t="shared" si="103"/>
        <v>712.29524386351216</v>
      </c>
      <c r="N280">
        <f t="shared" si="103"/>
        <v>628.5135485155231</v>
      </c>
      <c r="O280">
        <f t="shared" si="103"/>
        <v>780.69341180538459</v>
      </c>
      <c r="P280">
        <f t="shared" si="103"/>
        <v>772.5956569461265</v>
      </c>
      <c r="Q280">
        <f t="shared" si="103"/>
        <v>572.29987682868364</v>
      </c>
      <c r="R280">
        <f t="shared" si="103"/>
        <v>542.65270503882687</v>
      </c>
      <c r="S280">
        <f t="shared" si="103"/>
        <v>576.54862666297367</v>
      </c>
      <c r="T280">
        <f t="shared" si="103"/>
        <v>526.88871223639478</v>
      </c>
      <c r="U280">
        <f t="shared" si="103"/>
        <v>547.84717763680044</v>
      </c>
      <c r="V280">
        <f t="shared" si="103"/>
        <v>562.40003931145304</v>
      </c>
      <c r="W280">
        <f t="shared" si="103"/>
        <v>668.587841396778</v>
      </c>
      <c r="Y280" s="15">
        <f t="shared" si="85"/>
        <v>12410.782235664949</v>
      </c>
      <c r="Z280">
        <f t="shared" si="86"/>
        <v>-1683.1688622543932</v>
      </c>
    </row>
    <row r="281" spans="1:26" x14ac:dyDescent="0.25">
      <c r="A281" t="s">
        <v>61</v>
      </c>
      <c r="D281">
        <f t="shared" ref="D281:W281" si="104">D20*D107</f>
        <v>645.80870236174474</v>
      </c>
      <c r="E281">
        <f t="shared" si="104"/>
        <v>500.32915067333056</v>
      </c>
      <c r="F281">
        <f t="shared" si="104"/>
        <v>458.2878375726475</v>
      </c>
      <c r="G281">
        <f t="shared" si="104"/>
        <v>369.9228846011253</v>
      </c>
      <c r="H281">
        <f t="shared" si="104"/>
        <v>663.17681087988149</v>
      </c>
      <c r="I281">
        <f t="shared" si="104"/>
        <v>674.46959757999616</v>
      </c>
      <c r="J281">
        <f t="shared" si="104"/>
        <v>778.14495201197224</v>
      </c>
      <c r="K281">
        <f t="shared" si="104"/>
        <v>794.29136506541681</v>
      </c>
      <c r="L281">
        <f t="shared" si="104"/>
        <v>658.38485150439226</v>
      </c>
      <c r="M281">
        <f t="shared" si="104"/>
        <v>528.3693763072572</v>
      </c>
      <c r="N281">
        <f t="shared" si="104"/>
        <v>786.37114173008797</v>
      </c>
      <c r="O281">
        <f t="shared" si="104"/>
        <v>770.3358355342516</v>
      </c>
      <c r="P281">
        <f t="shared" si="104"/>
        <v>665.93389970302826</v>
      </c>
      <c r="Q281">
        <f t="shared" si="104"/>
        <v>735.48098278600946</v>
      </c>
      <c r="R281">
        <f t="shared" si="104"/>
        <v>815.76558514082444</v>
      </c>
      <c r="S281">
        <f t="shared" si="104"/>
        <v>815.80169664138054</v>
      </c>
      <c r="T281">
        <f t="shared" si="104"/>
        <v>652.81461245318246</v>
      </c>
      <c r="U281">
        <f t="shared" si="104"/>
        <v>722.86846360521679</v>
      </c>
      <c r="V281">
        <f t="shared" si="104"/>
        <v>752.75424534902788</v>
      </c>
      <c r="W281">
        <f t="shared" si="104"/>
        <v>609.53499072480724</v>
      </c>
      <c r="Y281" s="15">
        <f t="shared" si="85"/>
        <v>13398.846982225581</v>
      </c>
      <c r="Z281">
        <f t="shared" si="86"/>
        <v>-1439.730245824856</v>
      </c>
    </row>
    <row r="282" spans="1:26" x14ac:dyDescent="0.25">
      <c r="A282" t="s">
        <v>62</v>
      </c>
      <c r="D282">
        <f t="shared" ref="D282:W282" si="105">D21*D108</f>
        <v>525.43370741190631</v>
      </c>
      <c r="E282">
        <f t="shared" si="105"/>
        <v>576.25741100530058</v>
      </c>
      <c r="F282">
        <f t="shared" si="105"/>
        <v>453.16564370694914</v>
      </c>
      <c r="G282">
        <f t="shared" si="105"/>
        <v>458.28617224033923</v>
      </c>
      <c r="H282">
        <f t="shared" si="105"/>
        <v>544.96111832997292</v>
      </c>
      <c r="I282">
        <f t="shared" si="105"/>
        <v>655.13707364087634</v>
      </c>
      <c r="J282">
        <f t="shared" si="105"/>
        <v>645.4094148284654</v>
      </c>
      <c r="K282">
        <f t="shared" si="105"/>
        <v>774.70781513749819</v>
      </c>
      <c r="L282">
        <f t="shared" si="105"/>
        <v>558.63589163598499</v>
      </c>
      <c r="M282">
        <f t="shared" si="105"/>
        <v>689.67025024351335</v>
      </c>
      <c r="N282">
        <f t="shared" si="105"/>
        <v>612.43340062806021</v>
      </c>
      <c r="O282">
        <f t="shared" si="105"/>
        <v>616.53012827746727</v>
      </c>
      <c r="P282">
        <f t="shared" si="105"/>
        <v>612.03118846059249</v>
      </c>
      <c r="Q282">
        <f t="shared" si="105"/>
        <v>589.63126071089584</v>
      </c>
      <c r="R282">
        <f t="shared" si="105"/>
        <v>536.11318656767526</v>
      </c>
      <c r="S282">
        <f t="shared" si="105"/>
        <v>626.34763705587693</v>
      </c>
      <c r="T282">
        <f t="shared" si="105"/>
        <v>694.36421862181965</v>
      </c>
      <c r="U282">
        <f t="shared" si="105"/>
        <v>748.80867869323845</v>
      </c>
      <c r="V282">
        <f t="shared" si="105"/>
        <v>754.50233817125616</v>
      </c>
      <c r="W282">
        <f t="shared" si="105"/>
        <v>690.64495957870918</v>
      </c>
      <c r="Y282" s="15">
        <f t="shared" si="85"/>
        <v>12363.071494946398</v>
      </c>
      <c r="Z282">
        <f t="shared" si="86"/>
        <v>-1422.5038156186308</v>
      </c>
    </row>
    <row r="283" spans="1:26" x14ac:dyDescent="0.25">
      <c r="Y283" s="15"/>
    </row>
    <row r="284" spans="1:26" x14ac:dyDescent="0.25">
      <c r="A284" t="s">
        <v>63</v>
      </c>
      <c r="D284">
        <f t="shared" ref="D284:W284" si="106">D23*D110</f>
        <v>595.09047586284601</v>
      </c>
      <c r="E284">
        <f t="shared" si="106"/>
        <v>519.72624737894216</v>
      </c>
      <c r="F284">
        <f t="shared" si="106"/>
        <v>433.85575418512957</v>
      </c>
      <c r="G284">
        <f t="shared" si="106"/>
        <v>447.71653775486408</v>
      </c>
      <c r="H284">
        <f t="shared" si="106"/>
        <v>656.40632808982252</v>
      </c>
      <c r="I284">
        <f t="shared" si="106"/>
        <v>692.77415819199314</v>
      </c>
      <c r="J284">
        <f t="shared" si="106"/>
        <v>645.52794077926183</v>
      </c>
      <c r="K284">
        <f t="shared" si="106"/>
        <v>686.80967445388092</v>
      </c>
      <c r="L284">
        <f t="shared" si="106"/>
        <v>589.9962487395112</v>
      </c>
      <c r="M284">
        <f t="shared" si="106"/>
        <v>633.95486078578301</v>
      </c>
      <c r="N284">
        <f t="shared" si="106"/>
        <v>672.59204097754821</v>
      </c>
      <c r="O284">
        <f t="shared" si="106"/>
        <v>796.25082359758505</v>
      </c>
      <c r="P284">
        <f t="shared" si="106"/>
        <v>617.6286225253267</v>
      </c>
      <c r="Q284">
        <f t="shared" si="106"/>
        <v>555.12259979260887</v>
      </c>
      <c r="R284">
        <f t="shared" si="106"/>
        <v>666.47394907462763</v>
      </c>
      <c r="S284">
        <f t="shared" si="106"/>
        <v>507.22315532090562</v>
      </c>
      <c r="T284">
        <f t="shared" si="106"/>
        <v>647.45910669442503</v>
      </c>
      <c r="U284">
        <f t="shared" si="106"/>
        <v>645.30898012344107</v>
      </c>
      <c r="V284">
        <f t="shared" si="106"/>
        <v>585.85106116290285</v>
      </c>
      <c r="W284">
        <f t="shared" si="106"/>
        <v>582.41921928443094</v>
      </c>
      <c r="Y284" s="15">
        <f t="shared" si="85"/>
        <v>12178.187784775837</v>
      </c>
      <c r="Z284">
        <f>SUMPRODUCT($D$288:$S$288,D284:S284)</f>
        <v>-1540.0288797798976</v>
      </c>
    </row>
    <row r="285" spans="1:26" x14ac:dyDescent="0.25">
      <c r="A285" t="s">
        <v>307</v>
      </c>
      <c r="D285">
        <f t="shared" ref="D285:W285" si="107">D24*D111</f>
        <v>788.40000000000009</v>
      </c>
      <c r="E285">
        <f t="shared" si="107"/>
        <v>737.53571428571433</v>
      </c>
      <c r="F285">
        <f t="shared" si="107"/>
        <v>528.79714285714283</v>
      </c>
      <c r="G285">
        <f t="shared" si="107"/>
        <v>516.66000000000008</v>
      </c>
      <c r="H285">
        <f t="shared" si="107"/>
        <v>710.67755102040815</v>
      </c>
      <c r="I285">
        <f t="shared" si="107"/>
        <v>771.36734693877531</v>
      </c>
      <c r="J285">
        <f t="shared" si="107"/>
        <v>605.25714285714287</v>
      </c>
      <c r="K285">
        <f t="shared" si="107"/>
        <v>833.17959183673474</v>
      </c>
      <c r="L285">
        <f t="shared" si="107"/>
        <v>294.9375</v>
      </c>
      <c r="M285">
        <f t="shared" si="107"/>
        <v>478.26122448979589</v>
      </c>
      <c r="N285">
        <f t="shared" si="107"/>
        <v>642.61224489795927</v>
      </c>
      <c r="O285">
        <f t="shared" si="107"/>
        <v>733.16734693877561</v>
      </c>
      <c r="P285">
        <f t="shared" si="107"/>
        <v>514.1</v>
      </c>
      <c r="Q285">
        <f t="shared" si="107"/>
        <v>576.6</v>
      </c>
      <c r="R285">
        <f t="shared" si="107"/>
        <v>852.6</v>
      </c>
      <c r="S285">
        <f t="shared" si="107"/>
        <v>352.59999999999997</v>
      </c>
      <c r="T285">
        <f t="shared" si="107"/>
        <v>695.80000000000007</v>
      </c>
      <c r="U285">
        <f t="shared" si="107"/>
        <v>682</v>
      </c>
      <c r="V285">
        <f t="shared" si="107"/>
        <v>515.57999999999993</v>
      </c>
      <c r="W285">
        <f t="shared" si="107"/>
        <v>535.41</v>
      </c>
      <c r="Y285" s="15">
        <f t="shared" si="85"/>
        <v>12365.54280612245</v>
      </c>
      <c r="Z285">
        <f>SUMPRODUCT($D$288:$S$288,D285:S285)</f>
        <v>-1748.7045341830599</v>
      </c>
    </row>
    <row r="286" spans="1:26" x14ac:dyDescent="0.25">
      <c r="A286" t="s">
        <v>308</v>
      </c>
      <c r="D286">
        <f t="shared" ref="D286:W286" si="108">D25*D112</f>
        <v>520.1757864104718</v>
      </c>
      <c r="E286">
        <f t="shared" si="108"/>
        <v>787.5200000000001</v>
      </c>
      <c r="F286">
        <f t="shared" si="108"/>
        <v>406.40571428571434</v>
      </c>
      <c r="G286">
        <f t="shared" si="108"/>
        <v>593.29714285714283</v>
      </c>
      <c r="H286">
        <f t="shared" si="108"/>
        <v>696.18285714285707</v>
      </c>
      <c r="I286">
        <f t="shared" si="108"/>
        <v>781.9457142857143</v>
      </c>
      <c r="J286">
        <f t="shared" si="108"/>
        <v>614.56714285714281</v>
      </c>
      <c r="K286">
        <f t="shared" si="108"/>
        <v>615.24857142857149</v>
      </c>
      <c r="L286">
        <f t="shared" si="108"/>
        <v>622.74</v>
      </c>
      <c r="M286">
        <f t="shared" si="108"/>
        <v>613.46</v>
      </c>
      <c r="N286">
        <f t="shared" si="108"/>
        <v>593.28000000000009</v>
      </c>
      <c r="O286">
        <f t="shared" si="108"/>
        <v>642.05999999999995</v>
      </c>
      <c r="P286">
        <f t="shared" si="108"/>
        <v>643.65447130370706</v>
      </c>
      <c r="Q286">
        <f t="shared" si="108"/>
        <v>646.57110686131841</v>
      </c>
      <c r="R286">
        <f t="shared" si="108"/>
        <v>616.50384186306485</v>
      </c>
      <c r="S286">
        <f t="shared" si="108"/>
        <v>637.95667198726687</v>
      </c>
      <c r="T286">
        <f t="shared" si="108"/>
        <v>584.45828319022382</v>
      </c>
      <c r="U286">
        <f t="shared" si="108"/>
        <v>615.44912984130769</v>
      </c>
      <c r="V286">
        <f t="shared" si="108"/>
        <v>573.96243299045636</v>
      </c>
      <c r="W286">
        <f t="shared" si="108"/>
        <v>562.42155416650451</v>
      </c>
      <c r="Y286" s="15">
        <f t="shared" si="85"/>
        <v>12367.860421471465</v>
      </c>
      <c r="Z286">
        <f>SUMPRODUCT($D$288:$S$288,D286:S286)</f>
        <v>-1611.7926527914267</v>
      </c>
    </row>
    <row r="287" spans="1:26" x14ac:dyDescent="0.25">
      <c r="A287" t="s">
        <v>670</v>
      </c>
      <c r="D287">
        <f t="shared" ref="D287:W287" si="109">D26*D113</f>
        <v>568.50263088017175</v>
      </c>
      <c r="E287">
        <f t="shared" si="109"/>
        <v>510.88853541703384</v>
      </c>
      <c r="F287">
        <f t="shared" si="109"/>
        <v>478.1788790852404</v>
      </c>
      <c r="G287">
        <f t="shared" si="109"/>
        <v>543.88209335337399</v>
      </c>
      <c r="H287">
        <f t="shared" si="109"/>
        <v>547.49304983441937</v>
      </c>
      <c r="I287">
        <f t="shared" si="109"/>
        <v>490.60620175957695</v>
      </c>
      <c r="J287">
        <f t="shared" si="109"/>
        <v>473.37548777575307</v>
      </c>
      <c r="K287">
        <f t="shared" si="109"/>
        <v>489.33082390644137</v>
      </c>
      <c r="L287">
        <f t="shared" si="109"/>
        <v>382.63670634552699</v>
      </c>
      <c r="M287">
        <f t="shared" si="109"/>
        <v>618.42302381813954</v>
      </c>
      <c r="N287">
        <f t="shared" si="109"/>
        <v>654.41080368174289</v>
      </c>
      <c r="O287">
        <f t="shared" si="109"/>
        <v>610.29632145281039</v>
      </c>
      <c r="P287">
        <f t="shared" si="109"/>
        <v>642.76048761808011</v>
      </c>
      <c r="Q287">
        <f t="shared" si="109"/>
        <v>703.02920388430925</v>
      </c>
      <c r="R287">
        <f t="shared" si="109"/>
        <v>651.60263578014587</v>
      </c>
      <c r="S287">
        <f t="shared" si="109"/>
        <v>684.10526290203552</v>
      </c>
      <c r="T287">
        <f t="shared" si="109"/>
        <v>647.99711804328888</v>
      </c>
      <c r="U287">
        <f t="shared" si="109"/>
        <v>593.62407263447164</v>
      </c>
      <c r="V287">
        <f t="shared" si="109"/>
        <v>573.00864125986402</v>
      </c>
      <c r="W287">
        <f t="shared" si="109"/>
        <v>565.36227976365274</v>
      </c>
      <c r="Y287" s="15">
        <f t="shared" ref="Y287" si="110">SUM(D287:W287)</f>
        <v>11429.514259196081</v>
      </c>
      <c r="Z287">
        <f>SUMPRODUCT($D$288:$S$288,D287:S287)</f>
        <v>-1455.2363322796518</v>
      </c>
    </row>
    <row r="288" spans="1:26" x14ac:dyDescent="0.25">
      <c r="A288" s="2" t="s">
        <v>64</v>
      </c>
      <c r="D288" s="3">
        <f>CORREL($B$2:$B$21,D263:D282)</f>
        <v>-0.42637114850648811</v>
      </c>
      <c r="E288" s="3">
        <f t="shared" ref="E288:W288" si="111">CORREL($B$2:$B$21,E263:E282)</f>
        <v>-0.1185532142886207</v>
      </c>
      <c r="F288" s="3">
        <f t="shared" si="111"/>
        <v>-0.26778820236479151</v>
      </c>
      <c r="G288" s="3">
        <f t="shared" si="111"/>
        <v>-0.59978940787480151</v>
      </c>
      <c r="H288" s="3">
        <f t="shared" si="111"/>
        <v>-0.19134502678188137</v>
      </c>
      <c r="I288" s="3">
        <f t="shared" si="111"/>
        <v>-0.36551207643807726</v>
      </c>
      <c r="J288" s="3">
        <f t="shared" si="111"/>
        <v>6.2688240152950561E-2</v>
      </c>
      <c r="K288" s="3">
        <f t="shared" si="111"/>
        <v>2.4697265523940439E-2</v>
      </c>
      <c r="L288" s="3">
        <f t="shared" si="111"/>
        <v>-1.4241948974739066E-2</v>
      </c>
      <c r="M288" s="3">
        <f t="shared" si="111"/>
        <v>-0.27810226418678141</v>
      </c>
      <c r="N288" s="3">
        <f t="shared" si="111"/>
        <v>0.11254966733965753</v>
      </c>
      <c r="O288" s="3">
        <f t="shared" si="111"/>
        <v>-0.269787972907444</v>
      </c>
      <c r="P288" s="3">
        <f t="shared" si="111"/>
        <v>-0.17521388107755903</v>
      </c>
      <c r="Q288" s="3">
        <f t="shared" si="111"/>
        <v>-0.29514211227446457</v>
      </c>
      <c r="R288" s="3">
        <f t="shared" si="111"/>
        <v>-0.11563601602539771</v>
      </c>
      <c r="S288" s="3">
        <f t="shared" si="111"/>
        <v>0.30434796160594163</v>
      </c>
      <c r="T288" s="3">
        <f t="shared" si="111"/>
        <v>-0.25792494100223079</v>
      </c>
      <c r="U288" s="3">
        <f t="shared" si="111"/>
        <v>5.4388029326299742E-2</v>
      </c>
      <c r="V288" s="3">
        <f t="shared" si="111"/>
        <v>-6.3047583394128734E-2</v>
      </c>
      <c r="W288" s="3">
        <f t="shared" si="111"/>
        <v>4.5138252153338769E-2</v>
      </c>
    </row>
    <row r="291" spans="1:26" x14ac:dyDescent="0.25">
      <c r="D291" t="s">
        <v>123</v>
      </c>
      <c r="E291" t="s">
        <v>124</v>
      </c>
      <c r="F291" t="s">
        <v>125</v>
      </c>
      <c r="G291" t="s">
        <v>126</v>
      </c>
      <c r="H291" t="s">
        <v>127</v>
      </c>
      <c r="I291" t="s">
        <v>128</v>
      </c>
      <c r="J291" t="s">
        <v>129</v>
      </c>
      <c r="K291" t="s">
        <v>130</v>
      </c>
      <c r="L291" t="s">
        <v>343</v>
      </c>
      <c r="M291" t="s">
        <v>391</v>
      </c>
      <c r="N291" t="s">
        <v>392</v>
      </c>
      <c r="O291" t="s">
        <v>393</v>
      </c>
      <c r="P291" t="s">
        <v>486</v>
      </c>
      <c r="Q291" t="s">
        <v>487</v>
      </c>
      <c r="R291" t="s">
        <v>488</v>
      </c>
      <c r="S291" t="s">
        <v>489</v>
      </c>
      <c r="T291" t="s">
        <v>598</v>
      </c>
      <c r="U291" t="s">
        <v>599</v>
      </c>
      <c r="V291" t="s">
        <v>600</v>
      </c>
      <c r="W291" t="s">
        <v>601</v>
      </c>
      <c r="Y291" t="s">
        <v>131</v>
      </c>
      <c r="Z291" t="s">
        <v>132</v>
      </c>
    </row>
    <row r="292" spans="1:26" x14ac:dyDescent="0.25">
      <c r="A292" t="s">
        <v>43</v>
      </c>
      <c r="D292">
        <f t="shared" ref="D292:W292" si="112">D2*D118</f>
        <v>550.78571428571433</v>
      </c>
      <c r="E292">
        <f t="shared" si="112"/>
        <v>212.33469387755102</v>
      </c>
      <c r="F292">
        <f t="shared" si="112"/>
        <v>304.88979591836733</v>
      </c>
      <c r="G292">
        <f t="shared" si="112"/>
        <v>352.44489795918361</v>
      </c>
      <c r="H292">
        <f t="shared" si="112"/>
        <v>465.32643106489218</v>
      </c>
      <c r="I292">
        <f t="shared" si="112"/>
        <v>444.38244929276402</v>
      </c>
      <c r="J292">
        <f t="shared" si="112"/>
        <v>439.68620919246018</v>
      </c>
      <c r="K292">
        <f t="shared" si="112"/>
        <v>461.13821619818987</v>
      </c>
      <c r="L292">
        <f t="shared" si="112"/>
        <v>419.22565133467191</v>
      </c>
      <c r="M292">
        <f t="shared" si="112"/>
        <v>378.25592204132442</v>
      </c>
      <c r="N292">
        <f t="shared" si="112"/>
        <v>360.33543774624178</v>
      </c>
      <c r="O292">
        <f t="shared" si="112"/>
        <v>404.04588067557648</v>
      </c>
      <c r="P292">
        <f t="shared" si="112"/>
        <v>362.02185954881833</v>
      </c>
      <c r="Q292">
        <f t="shared" si="112"/>
        <v>327.70870081041687</v>
      </c>
      <c r="R292">
        <f t="shared" si="112"/>
        <v>288.91301758643226</v>
      </c>
      <c r="S292">
        <f t="shared" si="112"/>
        <v>176.72165771629969</v>
      </c>
      <c r="T292">
        <f t="shared" si="112"/>
        <v>304.24898100796247</v>
      </c>
      <c r="U292">
        <f t="shared" si="112"/>
        <v>313.53772316438324</v>
      </c>
      <c r="V292">
        <f t="shared" si="112"/>
        <v>234.81746312171009</v>
      </c>
      <c r="W292">
        <f t="shared" si="112"/>
        <v>385.56027504039031</v>
      </c>
      <c r="Y292" s="15">
        <f t="shared" ref="Y292:Y315" si="113">SUM(D292:W292)</f>
        <v>7186.3809775833515</v>
      </c>
      <c r="Z292">
        <f t="shared" ref="Z292:Z311" si="114">SUMPRODUCT($D$317:$S$317,D292:S292)</f>
        <v>-965.08023295363341</v>
      </c>
    </row>
    <row r="293" spans="1:26" x14ac:dyDescent="0.25">
      <c r="A293" t="s">
        <v>44</v>
      </c>
      <c r="D293">
        <f t="shared" ref="D293:W293" si="115">D3*D119</f>
        <v>306.65306122448976</v>
      </c>
      <c r="E293">
        <f t="shared" si="115"/>
        <v>293.33877551020407</v>
      </c>
      <c r="F293">
        <f t="shared" si="115"/>
        <v>249.68979591836737</v>
      </c>
      <c r="G293">
        <f t="shared" si="115"/>
        <v>508.16938775510209</v>
      </c>
      <c r="H293">
        <f t="shared" si="115"/>
        <v>418.69043568115842</v>
      </c>
      <c r="I293">
        <f t="shared" si="115"/>
        <v>421.74735202037903</v>
      </c>
      <c r="J293">
        <f t="shared" si="115"/>
        <v>393.74083560497309</v>
      </c>
      <c r="K293">
        <f t="shared" si="115"/>
        <v>352.27789852729728</v>
      </c>
      <c r="L293">
        <f t="shared" si="115"/>
        <v>322.75486582856871</v>
      </c>
      <c r="M293">
        <f t="shared" si="115"/>
        <v>173.29806736923092</v>
      </c>
      <c r="N293">
        <f t="shared" si="115"/>
        <v>175.58941810223843</v>
      </c>
      <c r="O293">
        <f t="shared" si="115"/>
        <v>284.01248364421912</v>
      </c>
      <c r="P293">
        <f t="shared" si="115"/>
        <v>263.40615861568909</v>
      </c>
      <c r="Q293">
        <f t="shared" si="115"/>
        <v>443.50403545931766</v>
      </c>
      <c r="R293">
        <f t="shared" si="115"/>
        <v>310.36496454581118</v>
      </c>
      <c r="S293">
        <f t="shared" si="115"/>
        <v>184.72943560589647</v>
      </c>
      <c r="T293">
        <f t="shared" si="115"/>
        <v>214.72675051983566</v>
      </c>
      <c r="U293">
        <f t="shared" si="115"/>
        <v>241.04418770066863</v>
      </c>
      <c r="V293">
        <f t="shared" si="115"/>
        <v>239.92952647039615</v>
      </c>
      <c r="W293">
        <f t="shared" si="115"/>
        <v>145.83610315147948</v>
      </c>
      <c r="Y293" s="15">
        <f t="shared" si="113"/>
        <v>5943.5035392553227</v>
      </c>
      <c r="Z293">
        <f t="shared" si="114"/>
        <v>-721.8112505476081</v>
      </c>
    </row>
    <row r="294" spans="1:26" x14ac:dyDescent="0.25">
      <c r="A294" t="s">
        <v>45</v>
      </c>
      <c r="D294">
        <f t="shared" ref="D294:W294" si="116">D4*D120</f>
        <v>347.88190409970923</v>
      </c>
      <c r="E294">
        <f t="shared" si="116"/>
        <v>211.80612244897958</v>
      </c>
      <c r="F294">
        <f t="shared" si="116"/>
        <v>283.18775510204091</v>
      </c>
      <c r="G294">
        <f t="shared" si="116"/>
        <v>246.96122448979594</v>
      </c>
      <c r="H294">
        <f t="shared" si="116"/>
        <v>439.70270289662932</v>
      </c>
      <c r="I294">
        <f t="shared" si="116"/>
        <v>410.56438777867368</v>
      </c>
      <c r="J294">
        <f t="shared" si="116"/>
        <v>449.57310915594167</v>
      </c>
      <c r="K294">
        <f t="shared" si="116"/>
        <v>351.83407773688475</v>
      </c>
      <c r="L294">
        <f t="shared" si="116"/>
        <v>413.25901943966534</v>
      </c>
      <c r="M294">
        <f t="shared" si="116"/>
        <v>342.86033605352719</v>
      </c>
      <c r="N294">
        <f t="shared" si="116"/>
        <v>198.85946590186529</v>
      </c>
      <c r="O294">
        <f t="shared" si="116"/>
        <v>312.76912272817941</v>
      </c>
      <c r="P294">
        <f t="shared" si="116"/>
        <v>278.21950780093511</v>
      </c>
      <c r="Q294">
        <f t="shared" si="116"/>
        <v>280.39171217731558</v>
      </c>
      <c r="R294">
        <f t="shared" si="116"/>
        <v>296.46457778892909</v>
      </c>
      <c r="S294">
        <f t="shared" si="116"/>
        <v>251.10752463409881</v>
      </c>
      <c r="T294">
        <f t="shared" si="116"/>
        <v>115.10094198116191</v>
      </c>
      <c r="U294">
        <f t="shared" si="116"/>
        <v>613.91862942840453</v>
      </c>
      <c r="V294">
        <f t="shared" si="116"/>
        <v>269.10465921463322</v>
      </c>
      <c r="W294">
        <f t="shared" si="116"/>
        <v>279.5214541468265</v>
      </c>
      <c r="Y294" s="15">
        <f t="shared" si="113"/>
        <v>6393.0882350041975</v>
      </c>
      <c r="Z294">
        <f t="shared" si="114"/>
        <v>-769.38870703942337</v>
      </c>
    </row>
    <row r="295" spans="1:26" x14ac:dyDescent="0.25">
      <c r="A295" t="s">
        <v>46</v>
      </c>
      <c r="D295">
        <f t="shared" ref="D295:W295" si="117">D5*D121</f>
        <v>431.83532062128785</v>
      </c>
      <c r="E295">
        <f t="shared" si="117"/>
        <v>389.69439106805748</v>
      </c>
      <c r="F295">
        <f t="shared" si="117"/>
        <v>275.04773569078532</v>
      </c>
      <c r="G295">
        <f t="shared" si="117"/>
        <v>184.34007726370874</v>
      </c>
      <c r="H295">
        <f t="shared" si="117"/>
        <v>341.72998672743313</v>
      </c>
      <c r="I295">
        <f t="shared" si="117"/>
        <v>208.78668057850209</v>
      </c>
      <c r="J295">
        <f t="shared" si="117"/>
        <v>452.72698796489544</v>
      </c>
      <c r="K295">
        <f t="shared" si="117"/>
        <v>359.81411183745939</v>
      </c>
      <c r="L295">
        <f t="shared" si="117"/>
        <v>552.442939809878</v>
      </c>
      <c r="M295">
        <f t="shared" si="117"/>
        <v>556.07943297620363</v>
      </c>
      <c r="N295">
        <f t="shared" si="117"/>
        <v>431.9130265648169</v>
      </c>
      <c r="O295">
        <f t="shared" si="117"/>
        <v>468.95763893433582</v>
      </c>
      <c r="P295">
        <f t="shared" si="117"/>
        <v>284.20307688770509</v>
      </c>
      <c r="Q295">
        <f t="shared" si="117"/>
        <v>152.97054931147844</v>
      </c>
      <c r="R295">
        <f t="shared" si="117"/>
        <v>215.23240400867232</v>
      </c>
      <c r="S295">
        <f t="shared" si="117"/>
        <v>131.4630054800005</v>
      </c>
      <c r="T295">
        <f t="shared" si="117"/>
        <v>243.42390624026194</v>
      </c>
      <c r="U295">
        <f t="shared" si="117"/>
        <v>222.56680550073534</v>
      </c>
      <c r="V295">
        <f t="shared" si="117"/>
        <v>266.97033124740165</v>
      </c>
      <c r="W295">
        <f t="shared" si="117"/>
        <v>265.92640397187029</v>
      </c>
      <c r="Y295" s="15">
        <f t="shared" si="113"/>
        <v>6436.1248126854907</v>
      </c>
      <c r="Z295">
        <f t="shared" si="114"/>
        <v>-923.62014961467844</v>
      </c>
    </row>
    <row r="296" spans="1:26" x14ac:dyDescent="0.25">
      <c r="A296" t="s">
        <v>47</v>
      </c>
      <c r="D296">
        <f t="shared" ref="D296:W296" si="118">D6*D122</f>
        <v>354.53973549957567</v>
      </c>
      <c r="E296">
        <f t="shared" si="118"/>
        <v>286.96640816562996</v>
      </c>
      <c r="F296">
        <f t="shared" si="118"/>
        <v>269.05927370817528</v>
      </c>
      <c r="G296">
        <f t="shared" si="118"/>
        <v>231.70952664612074</v>
      </c>
      <c r="H296">
        <f t="shared" si="118"/>
        <v>217.83502282456587</v>
      </c>
      <c r="I296">
        <f t="shared" si="118"/>
        <v>228.74025383813586</v>
      </c>
      <c r="J296">
        <f t="shared" si="118"/>
        <v>199.84107060406578</v>
      </c>
      <c r="K296">
        <f t="shared" si="118"/>
        <v>146.25472053272523</v>
      </c>
      <c r="L296">
        <f t="shared" si="118"/>
        <v>222.48668599467146</v>
      </c>
      <c r="M296">
        <f t="shared" si="118"/>
        <v>306.71102087675575</v>
      </c>
      <c r="N296">
        <f t="shared" si="118"/>
        <v>264.81735717361448</v>
      </c>
      <c r="O296">
        <f t="shared" si="118"/>
        <v>279.43749659040935</v>
      </c>
      <c r="P296">
        <f t="shared" si="118"/>
        <v>276.6097297124312</v>
      </c>
      <c r="Q296">
        <f t="shared" si="118"/>
        <v>288.61109674025107</v>
      </c>
      <c r="R296">
        <f t="shared" si="118"/>
        <v>188.04168561829522</v>
      </c>
      <c r="S296">
        <f t="shared" si="118"/>
        <v>250.51400954891537</v>
      </c>
      <c r="T296">
        <f t="shared" si="118"/>
        <v>337.41623590677096</v>
      </c>
      <c r="U296">
        <f t="shared" si="118"/>
        <v>222.60797059052757</v>
      </c>
      <c r="V296">
        <f t="shared" si="118"/>
        <v>195.93573214813705</v>
      </c>
      <c r="W296">
        <f t="shared" si="118"/>
        <v>202.59659475115947</v>
      </c>
      <c r="Y296" s="15">
        <f t="shared" si="113"/>
        <v>4970.7316274709337</v>
      </c>
      <c r="Z296">
        <f t="shared" si="114"/>
        <v>-561.15824726694245</v>
      </c>
    </row>
    <row r="297" spans="1:26" x14ac:dyDescent="0.25">
      <c r="A297" t="s">
        <v>48</v>
      </c>
      <c r="D297">
        <f t="shared" ref="D297:W297" si="119">D7*D123</f>
        <v>312.58336144104624</v>
      </c>
      <c r="E297">
        <f t="shared" si="119"/>
        <v>259.40198846666686</v>
      </c>
      <c r="F297">
        <f t="shared" si="119"/>
        <v>229.54118420799395</v>
      </c>
      <c r="G297">
        <f t="shared" si="119"/>
        <v>240.05579115023065</v>
      </c>
      <c r="H297">
        <f t="shared" si="119"/>
        <v>344.00017756722076</v>
      </c>
      <c r="I297">
        <f t="shared" si="119"/>
        <v>251.6572698330686</v>
      </c>
      <c r="J297">
        <f t="shared" si="119"/>
        <v>196.70225067599361</v>
      </c>
      <c r="K297">
        <f t="shared" si="119"/>
        <v>317.76045678490868</v>
      </c>
      <c r="L297">
        <f t="shared" si="119"/>
        <v>272.90124368500233</v>
      </c>
      <c r="M297">
        <f t="shared" si="119"/>
        <v>198.99770631900677</v>
      </c>
      <c r="N297">
        <f t="shared" si="119"/>
        <v>225.72152165704324</v>
      </c>
      <c r="O297">
        <f t="shared" si="119"/>
        <v>233.70793847459802</v>
      </c>
      <c r="P297">
        <f t="shared" si="119"/>
        <v>270.32154225215641</v>
      </c>
      <c r="Q297">
        <f t="shared" si="119"/>
        <v>177.26628973053167</v>
      </c>
      <c r="R297">
        <f t="shared" si="119"/>
        <v>166.99712023486111</v>
      </c>
      <c r="S297">
        <f t="shared" si="119"/>
        <v>184.52270630402563</v>
      </c>
      <c r="T297">
        <f t="shared" si="119"/>
        <v>203.62077897689352</v>
      </c>
      <c r="U297">
        <f t="shared" si="119"/>
        <v>228.54755129912741</v>
      </c>
      <c r="V297">
        <f t="shared" si="119"/>
        <v>175.50837292641626</v>
      </c>
      <c r="W297">
        <f t="shared" si="119"/>
        <v>224.87243054315326</v>
      </c>
      <c r="Y297" s="15">
        <f t="shared" si="113"/>
        <v>4714.6876825299451</v>
      </c>
      <c r="Z297">
        <f t="shared" si="114"/>
        <v>-527.07069964694335</v>
      </c>
    </row>
    <row r="298" spans="1:26" x14ac:dyDescent="0.25">
      <c r="A298" t="s">
        <v>49</v>
      </c>
      <c r="D298">
        <f t="shared" ref="D298:W298" si="120">D8*D124</f>
        <v>405.92695393087854</v>
      </c>
      <c r="E298">
        <f t="shared" si="120"/>
        <v>274.68457962677388</v>
      </c>
      <c r="F298">
        <f t="shared" si="120"/>
        <v>296.5360564056104</v>
      </c>
      <c r="G298">
        <f t="shared" si="120"/>
        <v>360.97648582613562</v>
      </c>
      <c r="H298">
        <f t="shared" si="120"/>
        <v>254.5275182553971</v>
      </c>
      <c r="I298">
        <f t="shared" si="120"/>
        <v>357.56242998785302</v>
      </c>
      <c r="J298">
        <f t="shared" si="120"/>
        <v>321.50868126415457</v>
      </c>
      <c r="K298">
        <f t="shared" si="120"/>
        <v>414.41967175795759</v>
      </c>
      <c r="L298">
        <f t="shared" si="120"/>
        <v>325.24781321554798</v>
      </c>
      <c r="M298">
        <f t="shared" si="120"/>
        <v>345.10152215026807</v>
      </c>
      <c r="N298">
        <f t="shared" si="120"/>
        <v>274.93058223682675</v>
      </c>
      <c r="O298">
        <f t="shared" si="120"/>
        <v>322.96433637077075</v>
      </c>
      <c r="P298">
        <f t="shared" si="120"/>
        <v>402.85288993335098</v>
      </c>
      <c r="Q298">
        <f t="shared" si="120"/>
        <v>411.8838929968793</v>
      </c>
      <c r="R298">
        <f t="shared" si="120"/>
        <v>307.60865157191739</v>
      </c>
      <c r="S298">
        <f t="shared" si="120"/>
        <v>366.39655381605348</v>
      </c>
      <c r="T298">
        <f t="shared" si="120"/>
        <v>372.87413124956419</v>
      </c>
      <c r="U298">
        <f t="shared" si="120"/>
        <v>307.567628432758</v>
      </c>
      <c r="V298">
        <f t="shared" si="120"/>
        <v>349.76916484608233</v>
      </c>
      <c r="W298">
        <f t="shared" si="120"/>
        <v>273.5313145154787</v>
      </c>
      <c r="Y298" s="15">
        <f t="shared" si="113"/>
        <v>6746.870858390258</v>
      </c>
      <c r="Z298">
        <f t="shared" si="114"/>
        <v>-744.88391800351189</v>
      </c>
    </row>
    <row r="299" spans="1:26" x14ac:dyDescent="0.25">
      <c r="A299" t="s">
        <v>50</v>
      </c>
      <c r="D299">
        <f t="shared" ref="D299:W299" si="121">D9*D125</f>
        <v>342.00573809812778</v>
      </c>
      <c r="E299">
        <f t="shared" si="121"/>
        <v>238.07346938775513</v>
      </c>
      <c r="F299">
        <f t="shared" si="121"/>
        <v>211.234693877551</v>
      </c>
      <c r="G299">
        <f t="shared" si="121"/>
        <v>250.61632653061227</v>
      </c>
      <c r="H299">
        <f t="shared" si="121"/>
        <v>788.33656326208325</v>
      </c>
      <c r="I299">
        <f t="shared" si="121"/>
        <v>123.88109380266465</v>
      </c>
      <c r="J299">
        <f t="shared" si="121"/>
        <v>509.19363766372021</v>
      </c>
      <c r="K299">
        <f t="shared" si="121"/>
        <v>302.15127559454669</v>
      </c>
      <c r="L299">
        <f t="shared" si="121"/>
        <v>153.48613104457957</v>
      </c>
      <c r="M299">
        <f t="shared" si="121"/>
        <v>162.07208630224272</v>
      </c>
      <c r="N299">
        <f t="shared" si="121"/>
        <v>161.05363639943894</v>
      </c>
      <c r="O299">
        <f t="shared" si="121"/>
        <v>172.5108381658595</v>
      </c>
      <c r="P299">
        <f t="shared" si="121"/>
        <v>161.74461732706354</v>
      </c>
      <c r="Q299">
        <f t="shared" si="121"/>
        <v>179.16443370065366</v>
      </c>
      <c r="R299">
        <f t="shared" si="121"/>
        <v>160.7050170607227</v>
      </c>
      <c r="S299">
        <f t="shared" si="121"/>
        <v>217.93768359518407</v>
      </c>
      <c r="T299">
        <f t="shared" si="121"/>
        <v>274.13363459285904</v>
      </c>
      <c r="U299">
        <f t="shared" si="121"/>
        <v>236.81933995258251</v>
      </c>
      <c r="V299">
        <f t="shared" si="121"/>
        <v>118.37255644081796</v>
      </c>
      <c r="W299">
        <f t="shared" si="121"/>
        <v>257.94220309501225</v>
      </c>
      <c r="Y299" s="15">
        <f t="shared" si="113"/>
        <v>5021.4349758940771</v>
      </c>
      <c r="Z299">
        <f t="shared" si="114"/>
        <v>-567.34497602509214</v>
      </c>
    </row>
    <row r="300" spans="1:26" x14ac:dyDescent="0.25">
      <c r="A300" t="s">
        <v>51</v>
      </c>
      <c r="D300">
        <f t="shared" ref="D300:W300" si="122">D10*D126</f>
        <v>165.86566936109739</v>
      </c>
      <c r="E300">
        <f t="shared" si="122"/>
        <v>195.70161355033866</v>
      </c>
      <c r="F300">
        <f t="shared" si="122"/>
        <v>249.20937887859228</v>
      </c>
      <c r="G300">
        <f t="shared" si="122"/>
        <v>162.49731064328483</v>
      </c>
      <c r="H300">
        <f t="shared" si="122"/>
        <v>372.73631887863149</v>
      </c>
      <c r="I300">
        <f t="shared" si="122"/>
        <v>347.17647206885101</v>
      </c>
      <c r="J300">
        <f t="shared" si="122"/>
        <v>369.27292679981252</v>
      </c>
      <c r="K300">
        <f t="shared" si="122"/>
        <v>321.64725617293931</v>
      </c>
      <c r="L300">
        <f t="shared" si="122"/>
        <v>389.97943555370171</v>
      </c>
      <c r="M300">
        <f t="shared" si="122"/>
        <v>326.1960869340374</v>
      </c>
      <c r="N300">
        <f t="shared" si="122"/>
        <v>360.15760488145685</v>
      </c>
      <c r="O300">
        <f t="shared" si="122"/>
        <v>382.54904202339384</v>
      </c>
      <c r="P300">
        <f t="shared" si="122"/>
        <v>300.94475291220914</v>
      </c>
      <c r="Q300">
        <f t="shared" si="122"/>
        <v>275.0253636188981</v>
      </c>
      <c r="R300">
        <f t="shared" si="122"/>
        <v>317.06133047815894</v>
      </c>
      <c r="S300">
        <f t="shared" si="122"/>
        <v>301.11686329350499</v>
      </c>
      <c r="T300">
        <f t="shared" si="122"/>
        <v>271.91709014075116</v>
      </c>
      <c r="U300">
        <f t="shared" si="122"/>
        <v>264.57913770845857</v>
      </c>
      <c r="V300">
        <f t="shared" si="122"/>
        <v>287.38315815278975</v>
      </c>
      <c r="W300">
        <f t="shared" si="122"/>
        <v>204.40068167367968</v>
      </c>
      <c r="Y300" s="15">
        <f t="shared" si="113"/>
        <v>5865.417493724588</v>
      </c>
      <c r="Z300">
        <f t="shared" si="114"/>
        <v>-654.59452088728506</v>
      </c>
    </row>
    <row r="301" spans="1:26" x14ac:dyDescent="0.25">
      <c r="A301" t="s">
        <v>52</v>
      </c>
      <c r="D301">
        <f t="shared" ref="D301:W301" si="123">D11*D127</f>
        <v>247.56053654642645</v>
      </c>
      <c r="E301">
        <f t="shared" si="123"/>
        <v>166.72339490165638</v>
      </c>
      <c r="F301">
        <f t="shared" si="123"/>
        <v>186.74980519947081</v>
      </c>
      <c r="G301">
        <f t="shared" si="123"/>
        <v>120.54800128285861</v>
      </c>
      <c r="H301">
        <f t="shared" si="123"/>
        <v>350.02417329091134</v>
      </c>
      <c r="I301">
        <f t="shared" si="123"/>
        <v>310.02731867341328</v>
      </c>
      <c r="J301">
        <f t="shared" si="123"/>
        <v>305.33052553844607</v>
      </c>
      <c r="K301">
        <f t="shared" si="123"/>
        <v>299.93763446034552</v>
      </c>
      <c r="L301">
        <f t="shared" si="123"/>
        <v>323.31408459120473</v>
      </c>
      <c r="M301">
        <f t="shared" si="123"/>
        <v>323.33875393014165</v>
      </c>
      <c r="N301">
        <f t="shared" si="123"/>
        <v>330.30849001127058</v>
      </c>
      <c r="O301">
        <f t="shared" si="123"/>
        <v>306.72888705470774</v>
      </c>
      <c r="P301">
        <f t="shared" si="123"/>
        <v>276.73220990158075</v>
      </c>
      <c r="Q301">
        <f t="shared" si="123"/>
        <v>289.26612336605365</v>
      </c>
      <c r="R301">
        <f t="shared" si="123"/>
        <v>234.55656629272983</v>
      </c>
      <c r="S301">
        <f t="shared" si="123"/>
        <v>304.5426119632852</v>
      </c>
      <c r="T301">
        <f t="shared" si="123"/>
        <v>259.13427576343378</v>
      </c>
      <c r="U301">
        <f t="shared" si="123"/>
        <v>282.76125343076114</v>
      </c>
      <c r="V301">
        <f t="shared" si="123"/>
        <v>233.05438182698126</v>
      </c>
      <c r="W301">
        <f t="shared" si="123"/>
        <v>107.50269734489086</v>
      </c>
      <c r="Y301" s="15">
        <f t="shared" si="113"/>
        <v>5258.1417253705704</v>
      </c>
      <c r="Z301">
        <f t="shared" si="114"/>
        <v>-598.08426100558529</v>
      </c>
    </row>
    <row r="302" spans="1:26" x14ac:dyDescent="0.25">
      <c r="A302" t="s">
        <v>53</v>
      </c>
      <c r="D302">
        <f t="shared" ref="D302:W302" si="124">D12*D128</f>
        <v>256.52005191901026</v>
      </c>
      <c r="E302">
        <f t="shared" si="124"/>
        <v>239.50475527259994</v>
      </c>
      <c r="F302">
        <f t="shared" si="124"/>
        <v>174.94255373537246</v>
      </c>
      <c r="G302">
        <f t="shared" si="124"/>
        <v>78.1625819554598</v>
      </c>
      <c r="H302">
        <f t="shared" si="124"/>
        <v>317.98404726996517</v>
      </c>
      <c r="I302">
        <f t="shared" si="124"/>
        <v>304.76553375035661</v>
      </c>
      <c r="J302">
        <f t="shared" si="124"/>
        <v>323.2736744869743</v>
      </c>
      <c r="K302">
        <f t="shared" si="124"/>
        <v>331.00623499543673</v>
      </c>
      <c r="L302">
        <f t="shared" si="124"/>
        <v>335.19341664667314</v>
      </c>
      <c r="M302">
        <f t="shared" si="124"/>
        <v>318.08467570363786</v>
      </c>
      <c r="N302">
        <f t="shared" si="124"/>
        <v>384.0953981350404</v>
      </c>
      <c r="O302">
        <f t="shared" si="124"/>
        <v>340.45182012865138</v>
      </c>
      <c r="P302">
        <f t="shared" si="124"/>
        <v>262.68021964207048</v>
      </c>
      <c r="Q302">
        <f t="shared" si="124"/>
        <v>211.92353388971384</v>
      </c>
      <c r="R302">
        <f t="shared" si="124"/>
        <v>255.01276888676864</v>
      </c>
      <c r="S302">
        <f t="shared" si="124"/>
        <v>197.26298563932082</v>
      </c>
      <c r="T302">
        <f t="shared" si="124"/>
        <v>206.77259688302027</v>
      </c>
      <c r="U302">
        <f t="shared" si="124"/>
        <v>245.46244242269117</v>
      </c>
      <c r="V302">
        <f t="shared" si="124"/>
        <v>296.38972315554179</v>
      </c>
      <c r="W302">
        <f t="shared" si="124"/>
        <v>64.276859857546341</v>
      </c>
      <c r="Y302" s="15">
        <f t="shared" si="113"/>
        <v>5143.7658743758511</v>
      </c>
      <c r="Z302">
        <f t="shared" si="114"/>
        <v>-632.551470247574</v>
      </c>
    </row>
    <row r="303" spans="1:26" x14ac:dyDescent="0.25">
      <c r="A303" t="s">
        <v>54</v>
      </c>
      <c r="D303">
        <f t="shared" ref="D303:W303" si="125">D13*D129</f>
        <v>234.98131653506104</v>
      </c>
      <c r="E303">
        <f t="shared" si="125"/>
        <v>300.95132287051695</v>
      </c>
      <c r="F303">
        <f t="shared" si="125"/>
        <v>248.76838006918132</v>
      </c>
      <c r="G303">
        <f t="shared" si="125"/>
        <v>227.82192210730949</v>
      </c>
      <c r="H303">
        <f t="shared" si="125"/>
        <v>205.1570610569556</v>
      </c>
      <c r="I303">
        <f t="shared" si="125"/>
        <v>228.17526129979134</v>
      </c>
      <c r="J303">
        <f t="shared" si="125"/>
        <v>117.06372632363875</v>
      </c>
      <c r="K303">
        <f t="shared" si="125"/>
        <v>93.589505802053495</v>
      </c>
      <c r="L303">
        <f t="shared" si="125"/>
        <v>187.55132223601507</v>
      </c>
      <c r="M303">
        <f t="shared" si="125"/>
        <v>101.96304493884874</v>
      </c>
      <c r="N303">
        <f t="shared" si="125"/>
        <v>345.92410862250097</v>
      </c>
      <c r="O303">
        <f t="shared" si="125"/>
        <v>309.08815302822177</v>
      </c>
      <c r="P303">
        <f t="shared" si="125"/>
        <v>294.99294642375907</v>
      </c>
      <c r="Q303">
        <f t="shared" si="125"/>
        <v>311.06458601649024</v>
      </c>
      <c r="R303">
        <f t="shared" si="125"/>
        <v>268.57403884459421</v>
      </c>
      <c r="S303">
        <f t="shared" si="125"/>
        <v>169.70049976317381</v>
      </c>
      <c r="T303">
        <f t="shared" si="125"/>
        <v>79.68623578453979</v>
      </c>
      <c r="U303">
        <f t="shared" si="125"/>
        <v>105.70566169632914</v>
      </c>
      <c r="V303">
        <f t="shared" si="125"/>
        <v>256.5480553466964</v>
      </c>
      <c r="W303">
        <f t="shared" si="125"/>
        <v>62.817187552256058</v>
      </c>
      <c r="Y303" s="15">
        <f t="shared" si="113"/>
        <v>4150.1243363179337</v>
      </c>
      <c r="Z303">
        <f t="shared" si="114"/>
        <v>-455.18028687003834</v>
      </c>
    </row>
    <row r="304" spans="1:26" x14ac:dyDescent="0.25">
      <c r="A304" t="s">
        <v>55</v>
      </c>
      <c r="D304">
        <f t="shared" ref="D304:W304" si="126">D14*D130</f>
        <v>169.82796375288825</v>
      </c>
      <c r="E304">
        <f t="shared" si="126"/>
        <v>158.6790343484823</v>
      </c>
      <c r="F304">
        <f t="shared" si="126"/>
        <v>238.47261493023061</v>
      </c>
      <c r="G304">
        <f t="shared" si="126"/>
        <v>151.70589930643345</v>
      </c>
      <c r="H304">
        <f t="shared" si="126"/>
        <v>120.15253836079245</v>
      </c>
      <c r="I304">
        <f t="shared" si="126"/>
        <v>147.85963696329651</v>
      </c>
      <c r="J304">
        <f t="shared" si="126"/>
        <v>85.695034021364023</v>
      </c>
      <c r="K304">
        <f t="shared" si="126"/>
        <v>55.635631175678078</v>
      </c>
      <c r="L304">
        <f t="shared" si="126"/>
        <v>128.24434126517619</v>
      </c>
      <c r="M304">
        <f t="shared" si="126"/>
        <v>288.40766197227748</v>
      </c>
      <c r="N304">
        <f t="shared" si="126"/>
        <v>342.00419750489874</v>
      </c>
      <c r="O304">
        <f t="shared" si="126"/>
        <v>323.97405242640536</v>
      </c>
      <c r="P304">
        <f t="shared" si="126"/>
        <v>189.7338564971904</v>
      </c>
      <c r="Q304">
        <f t="shared" si="126"/>
        <v>268.61071996838433</v>
      </c>
      <c r="R304">
        <f t="shared" si="126"/>
        <v>178.21253532172256</v>
      </c>
      <c r="S304">
        <f t="shared" si="126"/>
        <v>214.53556592977921</v>
      </c>
      <c r="T304">
        <f t="shared" si="126"/>
        <v>35.503703567556506</v>
      </c>
      <c r="U304">
        <f t="shared" si="126"/>
        <v>170.37756738307556</v>
      </c>
      <c r="V304">
        <f t="shared" si="126"/>
        <v>204.007702985663</v>
      </c>
      <c r="W304">
        <f t="shared" si="126"/>
        <v>272.48389100025793</v>
      </c>
      <c r="Y304" s="15">
        <f t="shared" si="113"/>
        <v>3744.1241486815534</v>
      </c>
      <c r="Z304">
        <f t="shared" si="114"/>
        <v>-413.41826026599597</v>
      </c>
    </row>
    <row r="305" spans="1:26" x14ac:dyDescent="0.25">
      <c r="A305" t="s">
        <v>56</v>
      </c>
      <c r="D305">
        <f t="shared" ref="D305:W305" si="127">D15*D131</f>
        <v>360.20701525050544</v>
      </c>
      <c r="E305">
        <f t="shared" si="127"/>
        <v>328.7714285714286</v>
      </c>
      <c r="F305">
        <f t="shared" si="127"/>
        <v>381.73469387755102</v>
      </c>
      <c r="G305">
        <f t="shared" si="127"/>
        <v>285.2</v>
      </c>
      <c r="H305">
        <f t="shared" si="127"/>
        <v>409.80578025906584</v>
      </c>
      <c r="I305">
        <f t="shared" si="127"/>
        <v>259.51041245844164</v>
      </c>
      <c r="J305">
        <f t="shared" si="127"/>
        <v>312.78533725580758</v>
      </c>
      <c r="K305">
        <f t="shared" si="127"/>
        <v>273.67101307484842</v>
      </c>
      <c r="L305">
        <f t="shared" si="127"/>
        <v>776.31639551344301</v>
      </c>
      <c r="M305">
        <f t="shared" si="127"/>
        <v>192.89677168045364</v>
      </c>
      <c r="N305">
        <f t="shared" si="127"/>
        <v>230.84752461024627</v>
      </c>
      <c r="O305">
        <f t="shared" si="127"/>
        <v>316.26077174566058</v>
      </c>
      <c r="P305">
        <f t="shared" si="127"/>
        <v>263.06447233673629</v>
      </c>
      <c r="Q305">
        <f t="shared" si="127"/>
        <v>223.12615113050441</v>
      </c>
      <c r="R305">
        <f t="shared" si="127"/>
        <v>264.14437379497275</v>
      </c>
      <c r="S305">
        <f t="shared" si="127"/>
        <v>269.84028173313021</v>
      </c>
      <c r="T305">
        <f t="shared" si="127"/>
        <v>276.6331602937417</v>
      </c>
      <c r="U305">
        <f t="shared" si="127"/>
        <v>257.79134089954084</v>
      </c>
      <c r="V305">
        <f t="shared" si="127"/>
        <v>340.76867485274897</v>
      </c>
      <c r="W305">
        <f t="shared" si="127"/>
        <v>468.27876583200037</v>
      </c>
      <c r="Y305" s="15">
        <f t="shared" si="113"/>
        <v>6491.6543651708262</v>
      </c>
      <c r="Z305">
        <f t="shared" si="114"/>
        <v>-754.1829870761826</v>
      </c>
    </row>
    <row r="306" spans="1:26" x14ac:dyDescent="0.25">
      <c r="A306" t="s">
        <v>57</v>
      </c>
      <c r="D306">
        <f t="shared" ref="D306:W306" si="128">D16*D132</f>
        <v>310</v>
      </c>
      <c r="E306">
        <f t="shared" si="128"/>
        <v>311.82040816326537</v>
      </c>
      <c r="F306">
        <f t="shared" si="128"/>
        <v>461.81632653061223</v>
      </c>
      <c r="G306">
        <f t="shared" si="128"/>
        <v>272.24489795918367</v>
      </c>
      <c r="H306">
        <f t="shared" si="128"/>
        <v>273.39473718539745</v>
      </c>
      <c r="I306">
        <f t="shared" si="128"/>
        <v>219.15244866770735</v>
      </c>
      <c r="J306">
        <f t="shared" si="128"/>
        <v>248.16443690759749</v>
      </c>
      <c r="K306">
        <f t="shared" si="128"/>
        <v>227.80545285033196</v>
      </c>
      <c r="L306">
        <f t="shared" si="128"/>
        <v>280.54851542602182</v>
      </c>
      <c r="M306">
        <f t="shared" si="128"/>
        <v>266.61643082583851</v>
      </c>
      <c r="N306">
        <f t="shared" si="128"/>
        <v>286.31141944257615</v>
      </c>
      <c r="O306">
        <f t="shared" si="128"/>
        <v>286.62627853104806</v>
      </c>
      <c r="P306">
        <f t="shared" si="128"/>
        <v>248.46391207610534</v>
      </c>
      <c r="Q306">
        <f t="shared" si="128"/>
        <v>285.38172766289455</v>
      </c>
      <c r="R306">
        <f t="shared" si="128"/>
        <v>191.86574739462722</v>
      </c>
      <c r="S306">
        <f t="shared" si="128"/>
        <v>282.26105409257366</v>
      </c>
      <c r="T306">
        <f t="shared" si="128"/>
        <v>253.08066060272705</v>
      </c>
      <c r="U306">
        <f t="shared" si="128"/>
        <v>321.61430725414817</v>
      </c>
      <c r="V306">
        <f t="shared" si="128"/>
        <v>234.09915828839789</v>
      </c>
      <c r="W306">
        <f t="shared" si="128"/>
        <v>242.15189828725462</v>
      </c>
      <c r="Y306" s="15">
        <f t="shared" si="113"/>
        <v>5503.4198181483089</v>
      </c>
      <c r="Z306">
        <f t="shared" si="114"/>
        <v>-618.97505637784684</v>
      </c>
    </row>
    <row r="307" spans="1:26" x14ac:dyDescent="0.25">
      <c r="A307" t="s">
        <v>58</v>
      </c>
      <c r="D307">
        <f t="shared" ref="D307:W307" si="129">D17*D133</f>
        <v>314.54693877551023</v>
      </c>
      <c r="E307">
        <f t="shared" si="129"/>
        <v>291.18061224489787</v>
      </c>
      <c r="F307">
        <f t="shared" si="129"/>
        <v>220.66326530612247</v>
      </c>
      <c r="G307">
        <f t="shared" si="129"/>
        <v>188.96326530612248</v>
      </c>
      <c r="H307">
        <f t="shared" si="129"/>
        <v>346.84123829620984</v>
      </c>
      <c r="I307">
        <f t="shared" si="129"/>
        <v>241.03507740227755</v>
      </c>
      <c r="J307">
        <f t="shared" si="129"/>
        <v>295.67720505813446</v>
      </c>
      <c r="K307">
        <f t="shared" si="129"/>
        <v>308.39563571683919</v>
      </c>
      <c r="L307">
        <f t="shared" si="129"/>
        <v>276.13172941257034</v>
      </c>
      <c r="M307">
        <f t="shared" si="129"/>
        <v>321.01847444200581</v>
      </c>
      <c r="N307">
        <f t="shared" si="129"/>
        <v>326.60493792327026</v>
      </c>
      <c r="O307">
        <f t="shared" si="129"/>
        <v>333.011375924253</v>
      </c>
      <c r="P307">
        <f t="shared" si="129"/>
        <v>250.59073399424472</v>
      </c>
      <c r="Q307">
        <f t="shared" si="129"/>
        <v>267.09401664399724</v>
      </c>
      <c r="R307">
        <f t="shared" si="129"/>
        <v>269.51354294395799</v>
      </c>
      <c r="S307">
        <f t="shared" si="129"/>
        <v>346.36652174268738</v>
      </c>
      <c r="T307">
        <f t="shared" si="129"/>
        <v>367.60636212157709</v>
      </c>
      <c r="U307">
        <f t="shared" si="129"/>
        <v>443.03375514123593</v>
      </c>
      <c r="V307">
        <f t="shared" si="129"/>
        <v>369.69027500740816</v>
      </c>
      <c r="W307">
        <f t="shared" si="129"/>
        <v>320.69406583217898</v>
      </c>
      <c r="Y307" s="15">
        <f t="shared" si="113"/>
        <v>6098.6590292355013</v>
      </c>
      <c r="Z307">
        <f t="shared" si="114"/>
        <v>-598.96908874904852</v>
      </c>
    </row>
    <row r="308" spans="1:26" x14ac:dyDescent="0.25">
      <c r="A308" t="s">
        <v>59</v>
      </c>
      <c r="D308">
        <f t="shared" ref="D308:W308" si="130">D18*D134</f>
        <v>262.16260159260924</v>
      </c>
      <c r="E308">
        <f t="shared" si="130"/>
        <v>242.2419335307367</v>
      </c>
      <c r="F308">
        <f t="shared" si="130"/>
        <v>287.42921106616529</v>
      </c>
      <c r="G308">
        <f t="shared" si="130"/>
        <v>398.70529312654423</v>
      </c>
      <c r="H308">
        <f t="shared" si="130"/>
        <v>432.75509983891106</v>
      </c>
      <c r="I308">
        <f t="shared" si="130"/>
        <v>546.64919577673709</v>
      </c>
      <c r="J308">
        <f t="shared" si="130"/>
        <v>456.2411867318533</v>
      </c>
      <c r="K308">
        <f t="shared" si="130"/>
        <v>353.86025116040929</v>
      </c>
      <c r="L308">
        <f t="shared" si="130"/>
        <v>5.4047318481092965</v>
      </c>
      <c r="M308">
        <f t="shared" si="130"/>
        <v>353.0816038028691</v>
      </c>
      <c r="N308">
        <f t="shared" si="130"/>
        <v>453.49870384764114</v>
      </c>
      <c r="O308">
        <f t="shared" si="130"/>
        <v>257.79093683206571</v>
      </c>
      <c r="P308">
        <f t="shared" si="130"/>
        <v>280.10729073444287</v>
      </c>
      <c r="Q308">
        <f t="shared" si="130"/>
        <v>263.94044969977932</v>
      </c>
      <c r="R308">
        <f t="shared" si="130"/>
        <v>317.62955918147753</v>
      </c>
      <c r="S308">
        <f t="shared" si="130"/>
        <v>285.79950995520528</v>
      </c>
      <c r="T308">
        <f t="shared" si="130"/>
        <v>215.55062279046194</v>
      </c>
      <c r="U308">
        <f t="shared" si="130"/>
        <v>192.97870310611046</v>
      </c>
      <c r="V308">
        <f t="shared" si="130"/>
        <v>216.45687987516246</v>
      </c>
      <c r="W308">
        <f t="shared" si="130"/>
        <v>181.6998203083516</v>
      </c>
      <c r="Y308" s="15">
        <f t="shared" si="113"/>
        <v>6003.9835848056437</v>
      </c>
      <c r="Z308">
        <f t="shared" si="114"/>
        <v>-710.8726289667203</v>
      </c>
    </row>
    <row r="309" spans="1:26" x14ac:dyDescent="0.25">
      <c r="A309" t="s">
        <v>60</v>
      </c>
      <c r="D309">
        <f t="shared" ref="D309:W309" si="131">D19*D135</f>
        <v>185.44310904873606</v>
      </c>
      <c r="E309">
        <f t="shared" si="131"/>
        <v>308.92297686612545</v>
      </c>
      <c r="F309">
        <f t="shared" si="131"/>
        <v>226.89652621458595</v>
      </c>
      <c r="G309">
        <f t="shared" si="131"/>
        <v>341.23034944403599</v>
      </c>
      <c r="H309">
        <f t="shared" si="131"/>
        <v>354.22426228406147</v>
      </c>
      <c r="I309">
        <f t="shared" si="131"/>
        <v>299.64426252333453</v>
      </c>
      <c r="J309">
        <f t="shared" si="131"/>
        <v>346.27790440526104</v>
      </c>
      <c r="K309">
        <f t="shared" si="131"/>
        <v>369.68014458451159</v>
      </c>
      <c r="L309">
        <f t="shared" si="131"/>
        <v>313.04052192902321</v>
      </c>
      <c r="M309">
        <f t="shared" si="131"/>
        <v>389.67755225796543</v>
      </c>
      <c r="N309">
        <f t="shared" si="131"/>
        <v>305.8754161324307</v>
      </c>
      <c r="O309">
        <f t="shared" si="131"/>
        <v>346.92040911823165</v>
      </c>
      <c r="P309">
        <f t="shared" si="131"/>
        <v>297.81128409382922</v>
      </c>
      <c r="Q309">
        <f t="shared" si="131"/>
        <v>290.17203091097656</v>
      </c>
      <c r="R309">
        <f t="shared" si="131"/>
        <v>316.94387558702135</v>
      </c>
      <c r="S309">
        <f t="shared" si="131"/>
        <v>309.19404093411782</v>
      </c>
      <c r="T309">
        <f t="shared" si="131"/>
        <v>237.66891713138122</v>
      </c>
      <c r="U309">
        <f t="shared" si="131"/>
        <v>219.62927461480493</v>
      </c>
      <c r="V309">
        <f t="shared" si="131"/>
        <v>260.5783421190219</v>
      </c>
      <c r="W309">
        <f t="shared" si="131"/>
        <v>175.17120246265335</v>
      </c>
      <c r="Y309" s="15">
        <f t="shared" si="113"/>
        <v>5895.0024026621095</v>
      </c>
      <c r="Z309">
        <f t="shared" si="114"/>
        <v>-650.33946207961981</v>
      </c>
    </row>
    <row r="310" spans="1:26" x14ac:dyDescent="0.25">
      <c r="A310" t="s">
        <v>61</v>
      </c>
      <c r="D310">
        <f t="shared" ref="D310:W310" si="132">D20*D136</f>
        <v>317.34163880339526</v>
      </c>
      <c r="E310">
        <f t="shared" si="132"/>
        <v>324.83613286018056</v>
      </c>
      <c r="F310">
        <f t="shared" si="132"/>
        <v>285.80262134197687</v>
      </c>
      <c r="G310">
        <f t="shared" si="132"/>
        <v>295.67984502946592</v>
      </c>
      <c r="H310">
        <f t="shared" si="132"/>
        <v>479.87940486989964</v>
      </c>
      <c r="I310">
        <f t="shared" si="132"/>
        <v>409.81203627986946</v>
      </c>
      <c r="J310">
        <f t="shared" si="132"/>
        <v>305.81862196388369</v>
      </c>
      <c r="K310">
        <f t="shared" si="132"/>
        <v>285.23485410783002</v>
      </c>
      <c r="L310">
        <f t="shared" si="132"/>
        <v>310.46752183968999</v>
      </c>
      <c r="M310">
        <f t="shared" si="132"/>
        <v>319.17475489945821</v>
      </c>
      <c r="N310">
        <f t="shared" si="132"/>
        <v>325.15291971990877</v>
      </c>
      <c r="O310">
        <f t="shared" si="132"/>
        <v>564.13144056160797</v>
      </c>
      <c r="P310">
        <f t="shared" si="132"/>
        <v>374.53667845818865</v>
      </c>
      <c r="Q310">
        <f t="shared" si="132"/>
        <v>289.96645027410636</v>
      </c>
      <c r="R310">
        <f t="shared" si="132"/>
        <v>322.99833609407216</v>
      </c>
      <c r="S310">
        <f t="shared" si="132"/>
        <v>360.0440736245074</v>
      </c>
      <c r="T310">
        <f t="shared" si="132"/>
        <v>248.21673093763698</v>
      </c>
      <c r="U310">
        <f t="shared" si="132"/>
        <v>274.88139592345499</v>
      </c>
      <c r="V310">
        <f t="shared" si="132"/>
        <v>231.62140932814674</v>
      </c>
      <c r="W310">
        <f t="shared" si="132"/>
        <v>227.34590310736127</v>
      </c>
      <c r="Y310" s="15">
        <f t="shared" si="113"/>
        <v>6552.9427700246415</v>
      </c>
      <c r="Z310">
        <f t="shared" si="114"/>
        <v>-682.50855517434502</v>
      </c>
    </row>
    <row r="311" spans="1:26" x14ac:dyDescent="0.25">
      <c r="A311" t="s">
        <v>62</v>
      </c>
      <c r="D311">
        <f t="shared" ref="D311:W311" si="133">D21*D137</f>
        <v>226.63242769324106</v>
      </c>
      <c r="E311">
        <f t="shared" si="133"/>
        <v>290.47332399201304</v>
      </c>
      <c r="F311">
        <f t="shared" si="133"/>
        <v>225.93439993269419</v>
      </c>
      <c r="G311">
        <f t="shared" si="133"/>
        <v>203.72652850464678</v>
      </c>
      <c r="H311">
        <f t="shared" si="133"/>
        <v>292.87834230357976</v>
      </c>
      <c r="I311">
        <f t="shared" si="133"/>
        <v>333.49784377819532</v>
      </c>
      <c r="J311">
        <f t="shared" si="133"/>
        <v>323.92203608552211</v>
      </c>
      <c r="K311">
        <f t="shared" si="133"/>
        <v>383.44514978135982</v>
      </c>
      <c r="L311">
        <f t="shared" si="133"/>
        <v>284.63846404535008</v>
      </c>
      <c r="M311">
        <f t="shared" si="133"/>
        <v>347.59583142529124</v>
      </c>
      <c r="N311">
        <f t="shared" si="133"/>
        <v>282.99971793632932</v>
      </c>
      <c r="O311">
        <f t="shared" si="133"/>
        <v>310.17927518866225</v>
      </c>
      <c r="P311">
        <f t="shared" si="133"/>
        <v>306.73118308473346</v>
      </c>
      <c r="Q311">
        <f t="shared" si="133"/>
        <v>374.67954307806394</v>
      </c>
      <c r="R311">
        <f t="shared" si="133"/>
        <v>256.58751815474687</v>
      </c>
      <c r="S311">
        <f t="shared" si="133"/>
        <v>290.30274252446088</v>
      </c>
      <c r="T311">
        <f t="shared" si="133"/>
        <v>222.14111941631603</v>
      </c>
      <c r="U311">
        <f t="shared" si="133"/>
        <v>327.18081873109077</v>
      </c>
      <c r="V311">
        <f t="shared" si="133"/>
        <v>368.20717733932884</v>
      </c>
      <c r="W311">
        <f t="shared" si="133"/>
        <v>346.80746821874965</v>
      </c>
      <c r="Y311" s="15">
        <f t="shared" si="113"/>
        <v>5998.5609112143757</v>
      </c>
      <c r="Z311">
        <f t="shared" si="114"/>
        <v>-628.63189299292685</v>
      </c>
    </row>
    <row r="312" spans="1:26" x14ac:dyDescent="0.25">
      <c r="Y312" s="15"/>
    </row>
    <row r="313" spans="1:26" x14ac:dyDescent="0.25">
      <c r="A313" t="s">
        <v>63</v>
      </c>
      <c r="D313">
        <f t="shared" ref="D313:W313" si="134">D23*D139</f>
        <v>249.32054133998366</v>
      </c>
      <c r="E313">
        <f t="shared" si="134"/>
        <v>202.5881376583238</v>
      </c>
      <c r="F313">
        <f t="shared" si="134"/>
        <v>264.26634539480125</v>
      </c>
      <c r="G313">
        <f t="shared" si="134"/>
        <v>172.54640489381907</v>
      </c>
      <c r="H313">
        <f t="shared" si="134"/>
        <v>412.54790641019878</v>
      </c>
      <c r="I313">
        <f t="shared" si="134"/>
        <v>403.27678808710675</v>
      </c>
      <c r="J313">
        <f t="shared" si="134"/>
        <v>275.19295424092815</v>
      </c>
      <c r="K313">
        <f t="shared" si="134"/>
        <v>327.59195255371554</v>
      </c>
      <c r="L313">
        <f t="shared" si="134"/>
        <v>290.30726170826699</v>
      </c>
      <c r="M313">
        <f t="shared" si="134"/>
        <v>281.15205974086803</v>
      </c>
      <c r="N313">
        <f t="shared" si="134"/>
        <v>329.23189856183546</v>
      </c>
      <c r="O313">
        <f t="shared" si="134"/>
        <v>409.39423965574707</v>
      </c>
      <c r="P313">
        <f t="shared" si="134"/>
        <v>265.61315270034538</v>
      </c>
      <c r="Q313">
        <f t="shared" si="134"/>
        <v>232.83047787721463</v>
      </c>
      <c r="R313">
        <f t="shared" si="134"/>
        <v>254.23944484450203</v>
      </c>
      <c r="S313">
        <f t="shared" si="134"/>
        <v>211.42783166321581</v>
      </c>
      <c r="T313">
        <f t="shared" si="134"/>
        <v>239.26882855141963</v>
      </c>
      <c r="U313">
        <f t="shared" si="134"/>
        <v>283.62504160466659</v>
      </c>
      <c r="V313">
        <f t="shared" si="134"/>
        <v>266.13447444411685</v>
      </c>
      <c r="W313">
        <f t="shared" si="134"/>
        <v>227.40082373629383</v>
      </c>
      <c r="Y313" s="15">
        <f t="shared" si="113"/>
        <v>5597.9565656673703</v>
      </c>
      <c r="Z313">
        <f>SUMPRODUCT($D$317:$S$317,D313:S313)</f>
        <v>-631.18896846779444</v>
      </c>
    </row>
    <row r="314" spans="1:26" x14ac:dyDescent="0.25">
      <c r="A314" t="s">
        <v>307</v>
      </c>
      <c r="D314">
        <f t="shared" ref="D314:W314" si="135">D24*D140</f>
        <v>380.40000000000003</v>
      </c>
      <c r="E314">
        <f t="shared" si="135"/>
        <v>493.7285714285714</v>
      </c>
      <c r="F314">
        <f t="shared" si="135"/>
        <v>298.77857142857147</v>
      </c>
      <c r="G314">
        <f t="shared" si="135"/>
        <v>305.73</v>
      </c>
      <c r="H314">
        <f t="shared" si="135"/>
        <v>377.91020408163263</v>
      </c>
      <c r="I314">
        <f t="shared" si="135"/>
        <v>331.26938775510195</v>
      </c>
      <c r="J314">
        <f t="shared" si="135"/>
        <v>241.37142857142859</v>
      </c>
      <c r="K314">
        <f t="shared" si="135"/>
        <v>346.53265306122449</v>
      </c>
      <c r="L314">
        <f t="shared" si="135"/>
        <v>198.41249999999999</v>
      </c>
      <c r="M314">
        <f t="shared" si="135"/>
        <v>265.13877551020408</v>
      </c>
      <c r="N314">
        <f t="shared" si="135"/>
        <v>345.40408163265312</v>
      </c>
      <c r="O314">
        <f t="shared" si="135"/>
        <v>330.60000000000008</v>
      </c>
      <c r="P314">
        <f t="shared" si="135"/>
        <v>355.09999999999997</v>
      </c>
      <c r="Q314">
        <f t="shared" si="135"/>
        <v>260.40000000000003</v>
      </c>
      <c r="R314">
        <f t="shared" si="135"/>
        <v>415.52000000000004</v>
      </c>
      <c r="S314">
        <f t="shared" si="135"/>
        <v>174.66</v>
      </c>
      <c r="T314">
        <f t="shared" si="135"/>
        <v>255.78000000000003</v>
      </c>
      <c r="U314">
        <f t="shared" si="135"/>
        <v>298.10000000000002</v>
      </c>
      <c r="V314">
        <f t="shared" si="135"/>
        <v>234.78</v>
      </c>
      <c r="W314">
        <f t="shared" si="135"/>
        <v>200.88</v>
      </c>
      <c r="Y314" s="15">
        <f t="shared" si="113"/>
        <v>6110.4961734693879</v>
      </c>
      <c r="Z314">
        <f>SUMPRODUCT($D$317:$S$317,D314:S314)</f>
        <v>-669.99499888662899</v>
      </c>
    </row>
    <row r="315" spans="1:26" x14ac:dyDescent="0.25">
      <c r="A315" t="s">
        <v>308</v>
      </c>
      <c r="D315">
        <f t="shared" ref="D315:W315" si="136">D25*D141</f>
        <v>198.3532963228873</v>
      </c>
      <c r="E315">
        <f t="shared" si="136"/>
        <v>511.5200000000001</v>
      </c>
      <c r="F315">
        <f t="shared" si="136"/>
        <v>276.97714285714289</v>
      </c>
      <c r="G315">
        <f t="shared" si="136"/>
        <v>330.71999999999997</v>
      </c>
      <c r="H315">
        <f t="shared" si="136"/>
        <v>383.97714285714284</v>
      </c>
      <c r="I315">
        <f t="shared" si="136"/>
        <v>317.03000000000003</v>
      </c>
      <c r="J315">
        <f t="shared" si="136"/>
        <v>269.64857142857142</v>
      </c>
      <c r="K315">
        <f t="shared" si="136"/>
        <v>296.88428571428574</v>
      </c>
      <c r="L315">
        <f t="shared" si="136"/>
        <v>335.44499999999999</v>
      </c>
      <c r="M315">
        <f t="shared" si="136"/>
        <v>357.42</v>
      </c>
      <c r="N315">
        <f t="shared" si="136"/>
        <v>308.15999999999997</v>
      </c>
      <c r="O315">
        <f t="shared" si="136"/>
        <v>332.91999999999996</v>
      </c>
      <c r="P315">
        <f t="shared" si="136"/>
        <v>265.89944986690421</v>
      </c>
      <c r="Q315">
        <f t="shared" si="136"/>
        <v>269.58064556584952</v>
      </c>
      <c r="R315">
        <f t="shared" si="136"/>
        <v>269.38140452067205</v>
      </c>
      <c r="S315">
        <f t="shared" si="136"/>
        <v>303.212989226829</v>
      </c>
      <c r="T315">
        <f t="shared" si="136"/>
        <v>267.79338092771644</v>
      </c>
      <c r="U315">
        <f t="shared" si="136"/>
        <v>287.49451492943308</v>
      </c>
      <c r="V315">
        <f t="shared" si="136"/>
        <v>300.36664534310182</v>
      </c>
      <c r="W315">
        <f t="shared" si="136"/>
        <v>292.11120825641638</v>
      </c>
      <c r="Y315" s="15">
        <f t="shared" si="113"/>
        <v>6174.8956778169522</v>
      </c>
      <c r="Z315">
        <f>SUMPRODUCT($D$317:$S$317,D315:S315)</f>
        <v>-602.48927431610502</v>
      </c>
    </row>
    <row r="316" spans="1:26" x14ac:dyDescent="0.25">
      <c r="A316" t="s">
        <v>670</v>
      </c>
      <c r="D316">
        <f t="shared" ref="D316:W316" si="137">D26*D142</f>
        <v>323.91306370024358</v>
      </c>
      <c r="E316">
        <f t="shared" si="137"/>
        <v>320.94678777197453</v>
      </c>
      <c r="F316">
        <f t="shared" si="137"/>
        <v>255.14942548176549</v>
      </c>
      <c r="G316">
        <f t="shared" si="137"/>
        <v>272.96169250095465</v>
      </c>
      <c r="H316">
        <f t="shared" si="137"/>
        <v>280.22247571518767</v>
      </c>
      <c r="I316">
        <f t="shared" si="137"/>
        <v>254.66452597577683</v>
      </c>
      <c r="J316">
        <f t="shared" si="137"/>
        <v>258.47147620907936</v>
      </c>
      <c r="K316">
        <f t="shared" si="137"/>
        <v>258.95753579644878</v>
      </c>
      <c r="L316">
        <f t="shared" si="137"/>
        <v>189.21866803991566</v>
      </c>
      <c r="M316">
        <f t="shared" si="137"/>
        <v>280.69984674283796</v>
      </c>
      <c r="N316">
        <f t="shared" si="137"/>
        <v>333.35005669796556</v>
      </c>
      <c r="O316">
        <f t="shared" si="137"/>
        <v>328.81623482102123</v>
      </c>
      <c r="P316">
        <f t="shared" si="137"/>
        <v>244.77732900786407</v>
      </c>
      <c r="Q316">
        <f t="shared" si="137"/>
        <v>274.76610926941612</v>
      </c>
      <c r="R316">
        <f t="shared" si="137"/>
        <v>261.60780962552684</v>
      </c>
      <c r="S316">
        <f t="shared" si="137"/>
        <v>284.59666734978674</v>
      </c>
      <c r="T316">
        <f t="shared" si="137"/>
        <v>238.90081631396313</v>
      </c>
      <c r="U316">
        <f t="shared" si="137"/>
        <v>256.12627539256579</v>
      </c>
      <c r="V316">
        <f t="shared" si="137"/>
        <v>267.60310086763695</v>
      </c>
      <c r="W316">
        <f t="shared" si="137"/>
        <v>229.70132936377573</v>
      </c>
      <c r="Y316" s="15">
        <f t="shared" ref="Y316" si="138">SUM(D316:W316)</f>
        <v>5415.4512266437068</v>
      </c>
      <c r="Z316">
        <f>SUMPRODUCT($D$317:$S$317,D316:S316)</f>
        <v>-586.34031242320054</v>
      </c>
    </row>
    <row r="317" spans="1:26" x14ac:dyDescent="0.25">
      <c r="A317" s="2" t="s">
        <v>64</v>
      </c>
      <c r="D317" s="3">
        <f>CORREL($B$2:$B$21,D292:D311)</f>
        <v>-0.39272325447084722</v>
      </c>
      <c r="E317" s="3">
        <f t="shared" ref="E317:W317" si="139">CORREL($B$2:$B$21,E292:E311)</f>
        <v>8.0457861049072099E-2</v>
      </c>
      <c r="F317" s="3">
        <f t="shared" si="139"/>
        <v>-0.23675777404192966</v>
      </c>
      <c r="G317" s="3">
        <f t="shared" si="139"/>
        <v>-0.14543459498300015</v>
      </c>
      <c r="H317" s="3">
        <f t="shared" si="139"/>
        <v>-2.6056574113245174E-3</v>
      </c>
      <c r="I317" s="3">
        <f t="shared" si="139"/>
        <v>-0.11371904329424144</v>
      </c>
      <c r="J317" s="3">
        <f t="shared" si="139"/>
        <v>-0.37186706070738729</v>
      </c>
      <c r="K317" s="3">
        <f t="shared" si="139"/>
        <v>-0.11827625347136499</v>
      </c>
      <c r="L317" s="3">
        <f t="shared" si="139"/>
        <v>-0.26106440724991148</v>
      </c>
      <c r="M317" s="3">
        <f t="shared" si="139"/>
        <v>-0.30400374938087127</v>
      </c>
      <c r="N317" s="3">
        <f t="shared" si="139"/>
        <v>-0.2136620666536298</v>
      </c>
      <c r="O317" s="3">
        <f t="shared" si="139"/>
        <v>-8.4443173497654081E-2</v>
      </c>
      <c r="P317" s="3">
        <f t="shared" si="139"/>
        <v>1.1441422811316821E-3</v>
      </c>
      <c r="Q317" s="3">
        <f t="shared" si="139"/>
        <v>-0.16352228394669777</v>
      </c>
      <c r="R317" s="3">
        <f t="shared" si="139"/>
        <v>-0.11802542879061705</v>
      </c>
      <c r="S317" s="3">
        <f t="shared" si="139"/>
        <v>0.28404094315080258</v>
      </c>
      <c r="T317" s="3">
        <f t="shared" si="139"/>
        <v>-5.361079573236105E-2</v>
      </c>
      <c r="U317" s="3">
        <f t="shared" si="139"/>
        <v>-3.448592794634061E-2</v>
      </c>
      <c r="V317" s="3">
        <f t="shared" si="139"/>
        <v>-4.6295005369544992E-2</v>
      </c>
      <c r="W317" s="3">
        <f t="shared" si="139"/>
        <v>-3.7009524267440759E-2</v>
      </c>
    </row>
    <row r="320" spans="1:26" x14ac:dyDescent="0.25">
      <c r="D320" t="s">
        <v>133</v>
      </c>
      <c r="E320" t="s">
        <v>134</v>
      </c>
      <c r="F320" t="s">
        <v>135</v>
      </c>
      <c r="G320" t="s">
        <v>136</v>
      </c>
      <c r="H320" t="s">
        <v>137</v>
      </c>
      <c r="I320" t="s">
        <v>138</v>
      </c>
      <c r="J320" t="s">
        <v>139</v>
      </c>
      <c r="K320" t="s">
        <v>140</v>
      </c>
      <c r="L320" t="s">
        <v>344</v>
      </c>
      <c r="M320" t="s">
        <v>394</v>
      </c>
      <c r="N320" t="s">
        <v>395</v>
      </c>
      <c r="O320" t="s">
        <v>396</v>
      </c>
      <c r="P320" t="s">
        <v>490</v>
      </c>
      <c r="Q320" t="s">
        <v>491</v>
      </c>
      <c r="R320" t="s">
        <v>492</v>
      </c>
      <c r="S320" t="s">
        <v>493</v>
      </c>
      <c r="T320" t="s">
        <v>602</v>
      </c>
      <c r="U320" t="s">
        <v>603</v>
      </c>
      <c r="V320" t="s">
        <v>604</v>
      </c>
      <c r="W320" t="s">
        <v>605</v>
      </c>
      <c r="Y320" t="s">
        <v>141</v>
      </c>
      <c r="Z320" t="s">
        <v>142</v>
      </c>
    </row>
    <row r="321" spans="1:26" x14ac:dyDescent="0.25">
      <c r="A321" t="s">
        <v>43</v>
      </c>
      <c r="D321">
        <f t="shared" ref="D321:W321" si="140">D2*D147</f>
        <v>152.89561267766797</v>
      </c>
      <c r="E321">
        <f t="shared" si="140"/>
        <v>100.57204081632653</v>
      </c>
      <c r="F321">
        <f t="shared" si="140"/>
        <v>107.33224489795917</v>
      </c>
      <c r="G321">
        <f t="shared" si="140"/>
        <v>117.78734693877549</v>
      </c>
      <c r="H321">
        <f t="shared" si="140"/>
        <v>103.57869501307948</v>
      </c>
      <c r="I321">
        <f t="shared" si="140"/>
        <v>109.14373759318539</v>
      </c>
      <c r="J321">
        <f t="shared" si="140"/>
        <v>93.451826893326498</v>
      </c>
      <c r="K321">
        <f t="shared" si="140"/>
        <v>98.381138461645548</v>
      </c>
      <c r="L321">
        <f t="shared" si="140"/>
        <v>94.132006132962445</v>
      </c>
      <c r="M321">
        <f t="shared" si="140"/>
        <v>100.40724718655969</v>
      </c>
      <c r="N321">
        <f t="shared" si="140"/>
        <v>86.147143001282672</v>
      </c>
      <c r="O321">
        <f t="shared" si="140"/>
        <v>85.101020628776311</v>
      </c>
      <c r="P321">
        <f t="shared" si="140"/>
        <v>86.567435042402337</v>
      </c>
      <c r="Q321">
        <f t="shared" si="140"/>
        <v>78.094625728967131</v>
      </c>
      <c r="R321">
        <f t="shared" si="140"/>
        <v>89.030919297776066</v>
      </c>
      <c r="S321">
        <f t="shared" si="140"/>
        <v>107.56059746371865</v>
      </c>
      <c r="T321">
        <f t="shared" si="140"/>
        <v>84.851000667472547</v>
      </c>
      <c r="U321">
        <f t="shared" si="140"/>
        <v>111.3579860779671</v>
      </c>
      <c r="V321">
        <f t="shared" si="140"/>
        <v>146.30582576925488</v>
      </c>
      <c r="W321">
        <f t="shared" si="140"/>
        <v>165.58994138316652</v>
      </c>
      <c r="Y321" s="15">
        <f t="shared" ref="Y321:Y344" si="141">SUM(D321:W321)</f>
        <v>2118.2883916722731</v>
      </c>
      <c r="Z321">
        <f t="shared" ref="Z321:Z340" si="142">SUMPRODUCT($D$346:$S$346,D321:S321)</f>
        <v>-156.91766808945638</v>
      </c>
    </row>
    <row r="322" spans="1:26" x14ac:dyDescent="0.25">
      <c r="A322" t="s">
        <v>44</v>
      </c>
      <c r="D322">
        <f t="shared" ref="D322:W322" si="143">D3*D148</f>
        <v>140.78163265306122</v>
      </c>
      <c r="E322">
        <f t="shared" si="143"/>
        <v>134.21632653061224</v>
      </c>
      <c r="F322">
        <f t="shared" si="143"/>
        <v>87.476938775510206</v>
      </c>
      <c r="G322">
        <f t="shared" si="143"/>
        <v>135.82469387755103</v>
      </c>
      <c r="H322">
        <f t="shared" si="143"/>
        <v>401.98469272703437</v>
      </c>
      <c r="I322">
        <f t="shared" si="143"/>
        <v>380.62521610950461</v>
      </c>
      <c r="J322">
        <f t="shared" si="143"/>
        <v>354.41383518852876</v>
      </c>
      <c r="K322">
        <f t="shared" si="143"/>
        <v>321.84127983891199</v>
      </c>
      <c r="L322">
        <f t="shared" si="143"/>
        <v>375.10824748795784</v>
      </c>
      <c r="M322">
        <f t="shared" si="143"/>
        <v>72.865129488810837</v>
      </c>
      <c r="N322">
        <f t="shared" si="143"/>
        <v>60.266369562000065</v>
      </c>
      <c r="O322">
        <f t="shared" si="143"/>
        <v>79.846106656217714</v>
      </c>
      <c r="P322">
        <f t="shared" si="143"/>
        <v>106.7399298825157</v>
      </c>
      <c r="Q322">
        <f t="shared" si="143"/>
        <v>84.64911232107454</v>
      </c>
      <c r="R322">
        <f t="shared" si="143"/>
        <v>80.965410090133943</v>
      </c>
      <c r="S322">
        <f t="shared" si="143"/>
        <v>84.685558225782145</v>
      </c>
      <c r="T322">
        <f t="shared" si="143"/>
        <v>94.722301818291001</v>
      </c>
      <c r="U322">
        <f t="shared" si="143"/>
        <v>71.777923310233305</v>
      </c>
      <c r="V322">
        <f t="shared" si="143"/>
        <v>100.15160174574557</v>
      </c>
      <c r="W322">
        <f t="shared" si="143"/>
        <v>122.79070031150873</v>
      </c>
      <c r="Y322" s="15">
        <f t="shared" si="141"/>
        <v>3291.7330066009854</v>
      </c>
      <c r="Z322">
        <f t="shared" si="142"/>
        <v>-422.56293096134641</v>
      </c>
    </row>
    <row r="323" spans="1:26" x14ac:dyDescent="0.25">
      <c r="A323" t="s">
        <v>45</v>
      </c>
      <c r="D323">
        <f t="shared" ref="D323:W323" si="144">D4*D149</f>
        <v>144.02218607118215</v>
      </c>
      <c r="E323">
        <f t="shared" si="144"/>
        <v>84.722448979591832</v>
      </c>
      <c r="F323">
        <f t="shared" si="144"/>
        <v>110.12857142857145</v>
      </c>
      <c r="G323">
        <f t="shared" si="144"/>
        <v>83.045510204081637</v>
      </c>
      <c r="H323">
        <f t="shared" si="144"/>
        <v>97.166305113200536</v>
      </c>
      <c r="I323">
        <f t="shared" si="144"/>
        <v>92.265577652104582</v>
      </c>
      <c r="J323">
        <f t="shared" si="144"/>
        <v>70.437209033907152</v>
      </c>
      <c r="K323">
        <f t="shared" si="144"/>
        <v>78.759448632208958</v>
      </c>
      <c r="L323">
        <f t="shared" si="144"/>
        <v>70.749245636162314</v>
      </c>
      <c r="M323">
        <f t="shared" si="144"/>
        <v>37.589880689710185</v>
      </c>
      <c r="N323">
        <f t="shared" si="144"/>
        <v>22.261968175459433</v>
      </c>
      <c r="O323">
        <f t="shared" si="144"/>
        <v>32.298101369314097</v>
      </c>
      <c r="P323">
        <f t="shared" si="144"/>
        <v>37.894005938008817</v>
      </c>
      <c r="Q323">
        <f t="shared" si="144"/>
        <v>38.137306136647716</v>
      </c>
      <c r="R323">
        <f t="shared" si="144"/>
        <v>39.597107328481123</v>
      </c>
      <c r="S323">
        <f t="shared" si="144"/>
        <v>36.799155044133762</v>
      </c>
      <c r="T323">
        <f t="shared" si="144"/>
        <v>30.899125227140416</v>
      </c>
      <c r="U323">
        <f t="shared" si="144"/>
        <v>37.895178168191528</v>
      </c>
      <c r="V323">
        <f t="shared" si="144"/>
        <v>92.741657375033768</v>
      </c>
      <c r="W323">
        <f t="shared" si="144"/>
        <v>123.53187426259102</v>
      </c>
      <c r="Y323" s="15">
        <f t="shared" si="141"/>
        <v>1360.9418624657226</v>
      </c>
      <c r="Z323">
        <f t="shared" si="142"/>
        <v>-116.97060741668955</v>
      </c>
    </row>
    <row r="324" spans="1:26" x14ac:dyDescent="0.25">
      <c r="A324" t="s">
        <v>46</v>
      </c>
      <c r="D324">
        <f t="shared" ref="D324:W324" si="145">D5*D150</f>
        <v>130.85179005574898</v>
      </c>
      <c r="E324">
        <f t="shared" si="145"/>
        <v>128.04404637883829</v>
      </c>
      <c r="F324">
        <f t="shared" si="145"/>
        <v>102.96535045752033</v>
      </c>
      <c r="G324">
        <f t="shared" si="145"/>
        <v>106.08894031628863</v>
      </c>
      <c r="H324">
        <f t="shared" si="145"/>
        <v>103.90017940821099</v>
      </c>
      <c r="I324">
        <f t="shared" si="145"/>
        <v>102.07171358066395</v>
      </c>
      <c r="J324">
        <f t="shared" si="145"/>
        <v>97.000702310657744</v>
      </c>
      <c r="K324">
        <f t="shared" si="145"/>
        <v>93.18497401616743</v>
      </c>
      <c r="L324">
        <f t="shared" si="145"/>
        <v>79.848377285400716</v>
      </c>
      <c r="M324">
        <f t="shared" si="145"/>
        <v>107.0902611007886</v>
      </c>
      <c r="N324">
        <f t="shared" si="145"/>
        <v>101.81491663475353</v>
      </c>
      <c r="O324">
        <f t="shared" si="145"/>
        <v>111.49772446657973</v>
      </c>
      <c r="P324">
        <f t="shared" si="145"/>
        <v>122.31836502040252</v>
      </c>
      <c r="Q324">
        <f t="shared" si="145"/>
        <v>142.7784620155754</v>
      </c>
      <c r="R324">
        <f t="shared" si="145"/>
        <v>93.324940922011734</v>
      </c>
      <c r="S324">
        <f t="shared" si="145"/>
        <v>109.67714917324155</v>
      </c>
      <c r="T324">
        <f t="shared" si="145"/>
        <v>149.32230399225946</v>
      </c>
      <c r="U324">
        <f t="shared" si="145"/>
        <v>100.16011123264185</v>
      </c>
      <c r="V324">
        <f t="shared" si="145"/>
        <v>137.39605674535787</v>
      </c>
      <c r="W324">
        <f t="shared" si="145"/>
        <v>119.16853825288621</v>
      </c>
      <c r="Y324" s="15">
        <f t="shared" si="141"/>
        <v>2238.5049033659957</v>
      </c>
      <c r="Z324">
        <f t="shared" si="142"/>
        <v>-153.44764558594076</v>
      </c>
    </row>
    <row r="325" spans="1:26" x14ac:dyDescent="0.25">
      <c r="A325" t="s">
        <v>47</v>
      </c>
      <c r="D325">
        <f t="shared" ref="D325:W325" si="146">D6*D151</f>
        <v>158.97472767206318</v>
      </c>
      <c r="E325">
        <f t="shared" si="146"/>
        <v>147.2999186778427</v>
      </c>
      <c r="F325">
        <f t="shared" si="146"/>
        <v>126.00663128506794</v>
      </c>
      <c r="G325">
        <f t="shared" si="146"/>
        <v>106.18965350756946</v>
      </c>
      <c r="H325">
        <f t="shared" si="146"/>
        <v>110.02037059550626</v>
      </c>
      <c r="I325">
        <f t="shared" si="146"/>
        <v>85.875792580596368</v>
      </c>
      <c r="J325">
        <f t="shared" si="146"/>
        <v>81.545578470277917</v>
      </c>
      <c r="K325">
        <f t="shared" si="146"/>
        <v>105.68819130785329</v>
      </c>
      <c r="L325">
        <f t="shared" si="146"/>
        <v>91.157217722038865</v>
      </c>
      <c r="M325">
        <f t="shared" si="146"/>
        <v>84.923336071305229</v>
      </c>
      <c r="N325">
        <f t="shared" si="146"/>
        <v>67.897855796492806</v>
      </c>
      <c r="O325">
        <f t="shared" si="146"/>
        <v>82.938256141316259</v>
      </c>
      <c r="P325">
        <f t="shared" si="146"/>
        <v>88.006112654029948</v>
      </c>
      <c r="Q325">
        <f t="shared" si="146"/>
        <v>80.125379922416968</v>
      </c>
      <c r="R325">
        <f t="shared" si="146"/>
        <v>70.875259538312548</v>
      </c>
      <c r="S325">
        <f t="shared" si="146"/>
        <v>91.621339001642994</v>
      </c>
      <c r="T325">
        <f t="shared" si="146"/>
        <v>88.038239841586659</v>
      </c>
      <c r="U325">
        <f t="shared" si="146"/>
        <v>104.32679949898986</v>
      </c>
      <c r="V325">
        <f t="shared" si="146"/>
        <v>89.629514569765306</v>
      </c>
      <c r="W325">
        <f t="shared" si="146"/>
        <v>94.624015432282249</v>
      </c>
      <c r="Y325" s="15">
        <f t="shared" si="141"/>
        <v>1955.7641902869566</v>
      </c>
      <c r="Z325">
        <f t="shared" si="142"/>
        <v>-137.08082973816744</v>
      </c>
    </row>
    <row r="326" spans="1:26" x14ac:dyDescent="0.25">
      <c r="A326" t="s">
        <v>48</v>
      </c>
      <c r="D326">
        <f t="shared" ref="D326:W326" si="147">D7*D152</f>
        <v>151.40656430719415</v>
      </c>
      <c r="E326">
        <f t="shared" si="147"/>
        <v>138.19959513975164</v>
      </c>
      <c r="F326">
        <f t="shared" si="147"/>
        <v>123.33971169277645</v>
      </c>
      <c r="G326">
        <f t="shared" si="147"/>
        <v>107.24460921558921</v>
      </c>
      <c r="H326">
        <f t="shared" si="147"/>
        <v>107.28890940214397</v>
      </c>
      <c r="I326">
        <f t="shared" si="147"/>
        <v>84.003733328975713</v>
      </c>
      <c r="J326">
        <f t="shared" si="147"/>
        <v>83.029272447767553</v>
      </c>
      <c r="K326">
        <f t="shared" si="147"/>
        <v>96.050930344537292</v>
      </c>
      <c r="L326">
        <f t="shared" si="147"/>
        <v>79.958521359442841</v>
      </c>
      <c r="M326">
        <f t="shared" si="147"/>
        <v>94.878696824071412</v>
      </c>
      <c r="N326">
        <f t="shared" si="147"/>
        <v>107.25046959392222</v>
      </c>
      <c r="O326">
        <f t="shared" si="147"/>
        <v>59.468083502289232</v>
      </c>
      <c r="P326">
        <f t="shared" si="147"/>
        <v>88.505818598516058</v>
      </c>
      <c r="Q326">
        <f t="shared" si="147"/>
        <v>89.295791234849517</v>
      </c>
      <c r="R326">
        <f t="shared" si="147"/>
        <v>77.682630802605729</v>
      </c>
      <c r="S326">
        <f t="shared" si="147"/>
        <v>99.346162560664141</v>
      </c>
      <c r="T326">
        <f t="shared" si="147"/>
        <v>70.517700794959609</v>
      </c>
      <c r="U326">
        <f t="shared" si="147"/>
        <v>94.69663648969582</v>
      </c>
      <c r="V326">
        <f t="shared" si="147"/>
        <v>96.208521884581941</v>
      </c>
      <c r="W326">
        <f t="shared" si="147"/>
        <v>116.68249335784618</v>
      </c>
      <c r="Y326" s="15">
        <f t="shared" si="141"/>
        <v>1965.0548528821803</v>
      </c>
      <c r="Z326">
        <f t="shared" si="142"/>
        <v>-123.99931995013407</v>
      </c>
    </row>
    <row r="327" spans="1:26" x14ac:dyDescent="0.25">
      <c r="A327" t="s">
        <v>49</v>
      </c>
      <c r="D327">
        <f t="shared" ref="D327:W327" si="148">D8*D153</f>
        <v>165.50894207719915</v>
      </c>
      <c r="E327">
        <f t="shared" si="148"/>
        <v>137.76668099633301</v>
      </c>
      <c r="F327">
        <f t="shared" si="148"/>
        <v>113.57295207344154</v>
      </c>
      <c r="G327">
        <f t="shared" si="148"/>
        <v>94.92090622321858</v>
      </c>
      <c r="H327">
        <f t="shared" si="148"/>
        <v>86.675544096245275</v>
      </c>
      <c r="I327">
        <f t="shared" si="148"/>
        <v>93.426384035366596</v>
      </c>
      <c r="J327">
        <f t="shared" si="148"/>
        <v>83.82935053055887</v>
      </c>
      <c r="K327">
        <f t="shared" si="148"/>
        <v>85.348108515397143</v>
      </c>
      <c r="L327">
        <f t="shared" si="148"/>
        <v>59.817344426195426</v>
      </c>
      <c r="M327">
        <f t="shared" si="148"/>
        <v>85.627359566693357</v>
      </c>
      <c r="N327">
        <f t="shared" si="148"/>
        <v>80.287213950314126</v>
      </c>
      <c r="O327">
        <f t="shared" si="148"/>
        <v>97.560122433595353</v>
      </c>
      <c r="P327">
        <f t="shared" si="148"/>
        <v>92.421127265405602</v>
      </c>
      <c r="Q327">
        <f t="shared" si="148"/>
        <v>79.170356251529384</v>
      </c>
      <c r="R327">
        <f t="shared" si="148"/>
        <v>105.71323118499402</v>
      </c>
      <c r="S327">
        <f t="shared" si="148"/>
        <v>123.66141440343245</v>
      </c>
      <c r="T327">
        <f t="shared" si="148"/>
        <v>123.3835871864505</v>
      </c>
      <c r="U327">
        <f t="shared" si="148"/>
        <v>135.03970498159282</v>
      </c>
      <c r="V327">
        <f t="shared" si="148"/>
        <v>120.25906375362155</v>
      </c>
      <c r="W327">
        <f t="shared" si="148"/>
        <v>112.84864724739721</v>
      </c>
      <c r="Y327" s="15">
        <f t="shared" si="141"/>
        <v>2076.8380411989824</v>
      </c>
      <c r="Z327">
        <f t="shared" si="142"/>
        <v>-128.2546736652327</v>
      </c>
    </row>
    <row r="328" spans="1:26" x14ac:dyDescent="0.25">
      <c r="A328" t="s">
        <v>50</v>
      </c>
      <c r="D328">
        <f t="shared" ref="D328:W328" si="149">D9*D154</f>
        <v>124.72736386590012</v>
      </c>
      <c r="E328">
        <f t="shared" si="149"/>
        <v>120.33061224489799</v>
      </c>
      <c r="F328">
        <f t="shared" si="149"/>
        <v>106.26530612244898</v>
      </c>
      <c r="G328">
        <f t="shared" si="149"/>
        <v>91.100816326530605</v>
      </c>
      <c r="H328">
        <f t="shared" si="149"/>
        <v>46.876600785362449</v>
      </c>
      <c r="I328">
        <f t="shared" si="149"/>
        <v>85.591995128736741</v>
      </c>
      <c r="J328">
        <f t="shared" si="149"/>
        <v>117.72525451186704</v>
      </c>
      <c r="K328">
        <f t="shared" si="149"/>
        <v>65.851973957030637</v>
      </c>
      <c r="L328">
        <f t="shared" si="149"/>
        <v>71.600814041333336</v>
      </c>
      <c r="M328">
        <f t="shared" si="149"/>
        <v>58.810852400324464</v>
      </c>
      <c r="N328">
        <f t="shared" si="149"/>
        <v>77.742941495847973</v>
      </c>
      <c r="O328">
        <f t="shared" si="149"/>
        <v>77.11245789001191</v>
      </c>
      <c r="P328">
        <f t="shared" si="149"/>
        <v>66.44743399766331</v>
      </c>
      <c r="Q328">
        <f t="shared" si="149"/>
        <v>83.887559846336885</v>
      </c>
      <c r="R328">
        <f t="shared" si="149"/>
        <v>86.70092681040083</v>
      </c>
      <c r="S328">
        <f t="shared" si="149"/>
        <v>77.13137133165678</v>
      </c>
      <c r="T328">
        <f t="shared" si="149"/>
        <v>73.112887540930316</v>
      </c>
      <c r="U328">
        <f t="shared" si="149"/>
        <v>72.753178757651426</v>
      </c>
      <c r="V328">
        <f t="shared" si="149"/>
        <v>103.85796680435786</v>
      </c>
      <c r="W328">
        <f t="shared" si="149"/>
        <v>139.5012817260141</v>
      </c>
      <c r="Y328" s="15">
        <f t="shared" si="141"/>
        <v>1747.1295955853038</v>
      </c>
      <c r="Z328">
        <f t="shared" si="142"/>
        <v>-117.86305730620597</v>
      </c>
    </row>
    <row r="329" spans="1:26" x14ac:dyDescent="0.25">
      <c r="A329" t="s">
        <v>51</v>
      </c>
      <c r="D329">
        <f t="shared" ref="D329:W329" si="150">D10*D155</f>
        <v>130.87386033824768</v>
      </c>
      <c r="E329">
        <f t="shared" si="150"/>
        <v>134.8352575442423</v>
      </c>
      <c r="F329">
        <f t="shared" si="150"/>
        <v>159.88666163514534</v>
      </c>
      <c r="G329">
        <f t="shared" si="150"/>
        <v>116.34803429603043</v>
      </c>
      <c r="H329">
        <f t="shared" si="150"/>
        <v>91.303415745296746</v>
      </c>
      <c r="I329">
        <f t="shared" si="150"/>
        <v>68.535735573059767</v>
      </c>
      <c r="J329">
        <f t="shared" si="150"/>
        <v>85.960067102868067</v>
      </c>
      <c r="K329">
        <f t="shared" si="150"/>
        <v>80.705050457628474</v>
      </c>
      <c r="L329">
        <f t="shared" si="150"/>
        <v>75.869993631747164</v>
      </c>
      <c r="M329">
        <f t="shared" si="150"/>
        <v>72.951294483919582</v>
      </c>
      <c r="N329">
        <f t="shared" si="150"/>
        <v>67.248277726490358</v>
      </c>
      <c r="O329">
        <f t="shared" si="150"/>
        <v>82.386797118471634</v>
      </c>
      <c r="P329">
        <f t="shared" si="150"/>
        <v>62.081208654668785</v>
      </c>
      <c r="Q329">
        <f t="shared" si="150"/>
        <v>62.700398100867389</v>
      </c>
      <c r="R329">
        <f t="shared" si="150"/>
        <v>68.832037844589678</v>
      </c>
      <c r="S329">
        <f t="shared" si="150"/>
        <v>78.610544672243222</v>
      </c>
      <c r="T329">
        <f t="shared" si="150"/>
        <v>118.03810434363598</v>
      </c>
      <c r="U329">
        <f t="shared" si="150"/>
        <v>71.810260267800388</v>
      </c>
      <c r="V329">
        <f t="shared" si="150"/>
        <v>102.3441130160646</v>
      </c>
      <c r="W329">
        <f t="shared" si="150"/>
        <v>135.29603001668599</v>
      </c>
      <c r="Y329" s="15">
        <f t="shared" si="141"/>
        <v>1866.6171425697034</v>
      </c>
      <c r="Z329">
        <f t="shared" si="142"/>
        <v>-120.92949346449964</v>
      </c>
    </row>
    <row r="330" spans="1:26" x14ac:dyDescent="0.25">
      <c r="A330" t="s">
        <v>52</v>
      </c>
      <c r="D330">
        <f t="shared" ref="D330:W330" si="151">D11*D156</f>
        <v>158.15718611604234</v>
      </c>
      <c r="E330">
        <f t="shared" si="151"/>
        <v>110.90087793504495</v>
      </c>
      <c r="F330">
        <f t="shared" si="151"/>
        <v>128.45450382047952</v>
      </c>
      <c r="G330">
        <f t="shared" si="151"/>
        <v>102.4716707024706</v>
      </c>
      <c r="H330">
        <f t="shared" si="151"/>
        <v>80.462810883195758</v>
      </c>
      <c r="I330">
        <f t="shared" si="151"/>
        <v>95.216909060304445</v>
      </c>
      <c r="J330">
        <f t="shared" si="151"/>
        <v>76.234167430353693</v>
      </c>
      <c r="K330">
        <f t="shared" si="151"/>
        <v>78.228649018585713</v>
      </c>
      <c r="L330">
        <f t="shared" si="151"/>
        <v>63.002509492554829</v>
      </c>
      <c r="M330">
        <f t="shared" si="151"/>
        <v>78.995105251123235</v>
      </c>
      <c r="N330">
        <f t="shared" si="151"/>
        <v>87.860989422272198</v>
      </c>
      <c r="O330">
        <f t="shared" si="151"/>
        <v>72.458104429957942</v>
      </c>
      <c r="P330">
        <f t="shared" si="151"/>
        <v>79.582133670239529</v>
      </c>
      <c r="Q330">
        <f t="shared" si="151"/>
        <v>70.695585620568508</v>
      </c>
      <c r="R330">
        <f t="shared" si="151"/>
        <v>57.361133673575843</v>
      </c>
      <c r="S330">
        <f t="shared" si="151"/>
        <v>96.36880215564868</v>
      </c>
      <c r="T330">
        <f t="shared" si="151"/>
        <v>105.49741572509998</v>
      </c>
      <c r="U330">
        <f t="shared" si="151"/>
        <v>114.14713331853869</v>
      </c>
      <c r="V330">
        <f t="shared" si="151"/>
        <v>98.507369104367655</v>
      </c>
      <c r="W330">
        <f t="shared" si="151"/>
        <v>90.461706050329425</v>
      </c>
      <c r="Y330" s="15">
        <f t="shared" si="141"/>
        <v>1845.0647628807533</v>
      </c>
      <c r="Z330">
        <f t="shared" si="142"/>
        <v>-124.63595226965546</v>
      </c>
    </row>
    <row r="331" spans="1:26" x14ac:dyDescent="0.25">
      <c r="A331" t="s">
        <v>53</v>
      </c>
      <c r="D331">
        <f t="shared" ref="D331:W331" si="152">D12*D157</f>
        <v>128.43667920321062</v>
      </c>
      <c r="E331">
        <f t="shared" si="152"/>
        <v>118.49864389357167</v>
      </c>
      <c r="F331">
        <f t="shared" si="152"/>
        <v>117.3237705270035</v>
      </c>
      <c r="G331">
        <f t="shared" si="152"/>
        <v>88.30559347370378</v>
      </c>
      <c r="H331">
        <f t="shared" si="152"/>
        <v>81.935405368945013</v>
      </c>
      <c r="I331">
        <f t="shared" si="152"/>
        <v>74.912850628373988</v>
      </c>
      <c r="J331">
        <f t="shared" si="152"/>
        <v>74.229067849177326</v>
      </c>
      <c r="K331">
        <f t="shared" si="152"/>
        <v>76.006693591690691</v>
      </c>
      <c r="L331">
        <f t="shared" si="152"/>
        <v>62.958736697505756</v>
      </c>
      <c r="M331">
        <f t="shared" si="152"/>
        <v>104.89357557573292</v>
      </c>
      <c r="N331">
        <f t="shared" si="152"/>
        <v>106.00927361994641</v>
      </c>
      <c r="O331">
        <f t="shared" si="152"/>
        <v>86.174141719476111</v>
      </c>
      <c r="P331">
        <f t="shared" si="152"/>
        <v>94.97709521874549</v>
      </c>
      <c r="Q331">
        <f t="shared" si="152"/>
        <v>92.929594363217177</v>
      </c>
      <c r="R331">
        <f t="shared" si="152"/>
        <v>102.58257293719085</v>
      </c>
      <c r="S331">
        <f t="shared" si="152"/>
        <v>80.306268291051424</v>
      </c>
      <c r="T331">
        <f t="shared" si="152"/>
        <v>100.46460260297866</v>
      </c>
      <c r="U331">
        <f t="shared" si="152"/>
        <v>94.083726560824871</v>
      </c>
      <c r="V331">
        <f t="shared" si="152"/>
        <v>111.48912810368721</v>
      </c>
      <c r="W331">
        <f t="shared" si="152"/>
        <v>109.61534067534532</v>
      </c>
      <c r="Y331" s="15">
        <f t="shared" si="141"/>
        <v>1906.1327609013788</v>
      </c>
      <c r="Z331">
        <f t="shared" si="142"/>
        <v>-114.1828401718</v>
      </c>
    </row>
    <row r="332" spans="1:26" x14ac:dyDescent="0.25">
      <c r="A332" t="s">
        <v>54</v>
      </c>
      <c r="D332">
        <f t="shared" ref="D332:W332" si="153">D13*D158</f>
        <v>151.66890498585741</v>
      </c>
      <c r="E332">
        <f t="shared" si="153"/>
        <v>163.84315888557552</v>
      </c>
      <c r="F332">
        <f t="shared" si="153"/>
        <v>134.41178483479831</v>
      </c>
      <c r="G332">
        <f t="shared" si="153"/>
        <v>107.99871809245076</v>
      </c>
      <c r="H332">
        <f t="shared" si="153"/>
        <v>114.16608945912218</v>
      </c>
      <c r="I332">
        <f t="shared" si="153"/>
        <v>126.20455179450249</v>
      </c>
      <c r="J332">
        <f t="shared" si="153"/>
        <v>95.448714548660476</v>
      </c>
      <c r="K332">
        <f t="shared" si="153"/>
        <v>80.108891296034173</v>
      </c>
      <c r="L332">
        <f t="shared" si="153"/>
        <v>63.610809919517614</v>
      </c>
      <c r="M332">
        <f t="shared" si="153"/>
        <v>79.636342554848014</v>
      </c>
      <c r="N332">
        <f t="shared" si="153"/>
        <v>77.204514947803546</v>
      </c>
      <c r="O332">
        <f t="shared" si="153"/>
        <v>75.667910783723471</v>
      </c>
      <c r="P332">
        <f t="shared" si="153"/>
        <v>88.092687106227601</v>
      </c>
      <c r="Q332">
        <f t="shared" si="153"/>
        <v>90.390453551879929</v>
      </c>
      <c r="R332">
        <f t="shared" si="153"/>
        <v>78.96608449679114</v>
      </c>
      <c r="S332">
        <f t="shared" si="153"/>
        <v>119.03449949951209</v>
      </c>
      <c r="T332">
        <f t="shared" si="153"/>
        <v>115.75289847798751</v>
      </c>
      <c r="U332">
        <f t="shared" si="153"/>
        <v>111.5191701234715</v>
      </c>
      <c r="V332">
        <f t="shared" si="153"/>
        <v>74.664196666387355</v>
      </c>
      <c r="W332">
        <f t="shared" si="153"/>
        <v>113.34592052175455</v>
      </c>
      <c r="Y332" s="15">
        <f t="shared" si="141"/>
        <v>2061.7363025469058</v>
      </c>
      <c r="Z332">
        <f t="shared" si="142"/>
        <v>-132.21898436784335</v>
      </c>
    </row>
    <row r="333" spans="1:26" x14ac:dyDescent="0.25">
      <c r="A333" t="s">
        <v>55</v>
      </c>
      <c r="D333">
        <f t="shared" ref="D333:W333" si="154">D14*D159</f>
        <v>117.22341482394785</v>
      </c>
      <c r="E333">
        <f t="shared" si="154"/>
        <v>93.158317491338877</v>
      </c>
      <c r="F333">
        <f t="shared" si="154"/>
        <v>144.04801638272522</v>
      </c>
      <c r="G333">
        <f t="shared" si="154"/>
        <v>127.87522891049332</v>
      </c>
      <c r="H333">
        <f t="shared" si="154"/>
        <v>114.42505527162189</v>
      </c>
      <c r="I333">
        <f t="shared" si="154"/>
        <v>91.272720157447466</v>
      </c>
      <c r="J333">
        <f t="shared" si="154"/>
        <v>93.139580467069294</v>
      </c>
      <c r="K333">
        <f t="shared" si="154"/>
        <v>98.014108575975669</v>
      </c>
      <c r="L333">
        <f t="shared" si="154"/>
        <v>77.521985824667098</v>
      </c>
      <c r="M333">
        <f t="shared" si="154"/>
        <v>70.627431910775115</v>
      </c>
      <c r="N333">
        <f t="shared" si="154"/>
        <v>97.608243139009673</v>
      </c>
      <c r="O333">
        <f t="shared" si="154"/>
        <v>66.204008904254337</v>
      </c>
      <c r="P333">
        <f t="shared" si="154"/>
        <v>51.296179861721967</v>
      </c>
      <c r="Q333">
        <f t="shared" si="154"/>
        <v>94.921607223831131</v>
      </c>
      <c r="R333">
        <f t="shared" si="154"/>
        <v>114.73023745078109</v>
      </c>
      <c r="S333">
        <f t="shared" si="154"/>
        <v>101.05499071530906</v>
      </c>
      <c r="T333">
        <f t="shared" si="154"/>
        <v>72.548479833657538</v>
      </c>
      <c r="U333">
        <f t="shared" si="154"/>
        <v>105.9111104492362</v>
      </c>
      <c r="V333">
        <f t="shared" si="154"/>
        <v>123.76750287589164</v>
      </c>
      <c r="W333">
        <f t="shared" si="154"/>
        <v>125.46586238880857</v>
      </c>
      <c r="Y333" s="15">
        <f t="shared" si="141"/>
        <v>1980.8140826585632</v>
      </c>
      <c r="Z333">
        <f t="shared" si="142"/>
        <v>-141.36453073441925</v>
      </c>
    </row>
    <row r="334" spans="1:26" x14ac:dyDescent="0.25">
      <c r="A334" t="s">
        <v>56</v>
      </c>
      <c r="D334">
        <f t="shared" ref="D334:W334" si="155">D15*D160</f>
        <v>127.85368897962282</v>
      </c>
      <c r="E334">
        <f t="shared" si="155"/>
        <v>136.84</v>
      </c>
      <c r="F334">
        <f t="shared" si="155"/>
        <v>134.52857142857141</v>
      </c>
      <c r="G334">
        <f t="shared" si="155"/>
        <v>126.96</v>
      </c>
      <c r="H334">
        <f t="shared" si="155"/>
        <v>120.1552557623727</v>
      </c>
      <c r="I334">
        <f t="shared" si="155"/>
        <v>112.52283385193152</v>
      </c>
      <c r="J334">
        <f t="shared" si="155"/>
        <v>105.54800876742766</v>
      </c>
      <c r="K334">
        <f t="shared" si="155"/>
        <v>99.689733731866866</v>
      </c>
      <c r="L334">
        <f t="shared" si="155"/>
        <v>46.824992793358653</v>
      </c>
      <c r="M334">
        <f t="shared" si="155"/>
        <v>70.485444106934324</v>
      </c>
      <c r="N334">
        <f t="shared" si="155"/>
        <v>82.605752107796206</v>
      </c>
      <c r="O334">
        <f t="shared" si="155"/>
        <v>96.192945979018688</v>
      </c>
      <c r="P334">
        <f t="shared" si="155"/>
        <v>81.992403405653434</v>
      </c>
      <c r="Q334">
        <f t="shared" si="155"/>
        <v>83.270740360326428</v>
      </c>
      <c r="R334">
        <f t="shared" si="155"/>
        <v>92.437160409196906</v>
      </c>
      <c r="S334">
        <f t="shared" si="155"/>
        <v>109.07732050314831</v>
      </c>
      <c r="T334">
        <f t="shared" si="155"/>
        <v>135.62179829400685</v>
      </c>
      <c r="U334">
        <f t="shared" si="155"/>
        <v>129.88409542095783</v>
      </c>
      <c r="V334">
        <f t="shared" si="155"/>
        <v>93.478916748725894</v>
      </c>
      <c r="W334">
        <f t="shared" si="155"/>
        <v>112.49461483701336</v>
      </c>
      <c r="Y334" s="15">
        <f t="shared" si="141"/>
        <v>2098.4642774879298</v>
      </c>
      <c r="Z334">
        <f t="shared" si="142"/>
        <v>-146.8386912699255</v>
      </c>
    </row>
    <row r="335" spans="1:26" x14ac:dyDescent="0.25">
      <c r="A335" t="s">
        <v>57</v>
      </c>
      <c r="D335">
        <f t="shared" ref="D335:W335" si="156">D16*D161</f>
        <v>124.12653061224491</v>
      </c>
      <c r="E335">
        <f t="shared" si="156"/>
        <v>118.46857142857145</v>
      </c>
      <c r="F335">
        <f t="shared" si="156"/>
        <v>123.77142857142856</v>
      </c>
      <c r="G335">
        <f t="shared" si="156"/>
        <v>111.71428571428569</v>
      </c>
      <c r="H335">
        <f t="shared" si="156"/>
        <v>116.91808242124917</v>
      </c>
      <c r="I335">
        <f t="shared" si="156"/>
        <v>92.837229622587415</v>
      </c>
      <c r="J335">
        <f t="shared" si="156"/>
        <v>99.889267931538683</v>
      </c>
      <c r="K335">
        <f t="shared" si="156"/>
        <v>102.56489715882769</v>
      </c>
      <c r="L335">
        <f t="shared" si="156"/>
        <v>72.907193455755049</v>
      </c>
      <c r="M335">
        <f t="shared" si="156"/>
        <v>67.962459344777272</v>
      </c>
      <c r="N335">
        <f t="shared" si="156"/>
        <v>77.520668022617514</v>
      </c>
      <c r="O335">
        <f t="shared" si="156"/>
        <v>74.992181661176517</v>
      </c>
      <c r="P335">
        <f t="shared" si="156"/>
        <v>72.527990300713967</v>
      </c>
      <c r="Q335">
        <f t="shared" si="156"/>
        <v>84.128791160362368</v>
      </c>
      <c r="R335">
        <f t="shared" si="156"/>
        <v>61.642435556345625</v>
      </c>
      <c r="S335">
        <f t="shared" si="156"/>
        <v>92.28682243915533</v>
      </c>
      <c r="T335">
        <f t="shared" si="156"/>
        <v>93.43149118068051</v>
      </c>
      <c r="U335">
        <f t="shared" si="156"/>
        <v>91.883405206873732</v>
      </c>
      <c r="V335">
        <f t="shared" si="156"/>
        <v>103.38787799289771</v>
      </c>
      <c r="W335">
        <f t="shared" si="156"/>
        <v>129.1100127628722</v>
      </c>
      <c r="Y335" s="15">
        <f t="shared" si="141"/>
        <v>1912.0716225449614</v>
      </c>
      <c r="Z335">
        <f t="shared" si="142"/>
        <v>-139.93822530177644</v>
      </c>
    </row>
    <row r="336" spans="1:26" x14ac:dyDescent="0.25">
      <c r="A336" t="s">
        <v>58</v>
      </c>
      <c r="D336">
        <f t="shared" ref="D336:W336" si="157">D17*D162</f>
        <v>136.77061224489796</v>
      </c>
      <c r="E336">
        <f t="shared" si="157"/>
        <v>161.54540816326525</v>
      </c>
      <c r="F336">
        <f t="shared" si="157"/>
        <v>108.41836734693878</v>
      </c>
      <c r="G336">
        <f t="shared" si="157"/>
        <v>89.626326530612246</v>
      </c>
      <c r="H336">
        <f t="shared" si="157"/>
        <v>95.348467764434702</v>
      </c>
      <c r="I336">
        <f t="shared" si="157"/>
        <v>72.241700333719393</v>
      </c>
      <c r="J336">
        <f t="shared" si="157"/>
        <v>74.834976650896294</v>
      </c>
      <c r="K336">
        <f t="shared" si="157"/>
        <v>87.773177048217732</v>
      </c>
      <c r="L336">
        <f t="shared" si="157"/>
        <v>63.299196610750123</v>
      </c>
      <c r="M336">
        <f t="shared" si="157"/>
        <v>70.875659879357926</v>
      </c>
      <c r="N336">
        <f t="shared" si="157"/>
        <v>72.300586845531782</v>
      </c>
      <c r="O336">
        <f t="shared" si="157"/>
        <v>76.311486402575767</v>
      </c>
      <c r="P336">
        <f t="shared" si="157"/>
        <v>67.192980184438838</v>
      </c>
      <c r="Q336">
        <f t="shared" si="157"/>
        <v>67.422388424120001</v>
      </c>
      <c r="R336">
        <f t="shared" si="157"/>
        <v>72.568077950872762</v>
      </c>
      <c r="S336">
        <f t="shared" si="157"/>
        <v>89.456230029055575</v>
      </c>
      <c r="T336">
        <f t="shared" si="157"/>
        <v>94.333579227553457</v>
      </c>
      <c r="U336">
        <f t="shared" si="157"/>
        <v>105.5542894149209</v>
      </c>
      <c r="V336">
        <f t="shared" si="157"/>
        <v>107.65611321844717</v>
      </c>
      <c r="W336">
        <f t="shared" si="157"/>
        <v>103.37067209416084</v>
      </c>
      <c r="Y336" s="15">
        <f t="shared" si="141"/>
        <v>1816.9002963647677</v>
      </c>
      <c r="Z336">
        <f t="shared" si="142"/>
        <v>-103.56236359676768</v>
      </c>
    </row>
    <row r="337" spans="1:26" x14ac:dyDescent="0.25">
      <c r="A337" t="s">
        <v>59</v>
      </c>
      <c r="D337">
        <f t="shared" ref="D337:W337" si="158">D18*D163</f>
        <v>147.99353652809137</v>
      </c>
      <c r="E337">
        <f t="shared" si="158"/>
        <v>130.51483289197702</v>
      </c>
      <c r="F337">
        <f t="shared" si="158"/>
        <v>111.26398424804752</v>
      </c>
      <c r="G337">
        <f t="shared" si="158"/>
        <v>105.70291024788</v>
      </c>
      <c r="H337">
        <f t="shared" si="158"/>
        <v>96.065895524445637</v>
      </c>
      <c r="I337">
        <f t="shared" si="158"/>
        <v>120.31788684381891</v>
      </c>
      <c r="J337">
        <f t="shared" si="158"/>
        <v>106.96996927473238</v>
      </c>
      <c r="K337">
        <f t="shared" si="158"/>
        <v>113.72188243044864</v>
      </c>
      <c r="L337">
        <f t="shared" si="158"/>
        <v>1.6733419360646735</v>
      </c>
      <c r="M337">
        <f t="shared" si="158"/>
        <v>88.494529646739736</v>
      </c>
      <c r="N337">
        <f t="shared" si="158"/>
        <v>102.6763626176387</v>
      </c>
      <c r="O337">
        <f t="shared" si="158"/>
        <v>91.625498207805805</v>
      </c>
      <c r="P337">
        <f t="shared" si="158"/>
        <v>81.670424579970501</v>
      </c>
      <c r="Q337">
        <f t="shared" si="158"/>
        <v>93.566199567448294</v>
      </c>
      <c r="R337">
        <f t="shared" si="158"/>
        <v>101.00397844291919</v>
      </c>
      <c r="S337">
        <f t="shared" si="158"/>
        <v>100.15893700226749</v>
      </c>
      <c r="T337">
        <f t="shared" si="158"/>
        <v>98.616512837836353</v>
      </c>
      <c r="U337">
        <f t="shared" si="158"/>
        <v>132.82056977600672</v>
      </c>
      <c r="V337">
        <f t="shared" si="158"/>
        <v>114.16481823490318</v>
      </c>
      <c r="W337">
        <f t="shared" si="158"/>
        <v>107.85373032268315</v>
      </c>
      <c r="Y337" s="15">
        <f t="shared" si="141"/>
        <v>2046.8758011617253</v>
      </c>
      <c r="Z337">
        <f t="shared" si="142"/>
        <v>-136.83221619282335</v>
      </c>
    </row>
    <row r="338" spans="1:26" x14ac:dyDescent="0.25">
      <c r="A338" t="s">
        <v>60</v>
      </c>
      <c r="D338">
        <f t="shared" ref="D338:W338" si="159">D19*D164</f>
        <v>113.84504999938007</v>
      </c>
      <c r="E338">
        <f t="shared" si="159"/>
        <v>113.3599922323735</v>
      </c>
      <c r="F338">
        <f t="shared" si="159"/>
        <v>63.445901833066472</v>
      </c>
      <c r="G338">
        <f t="shared" si="159"/>
        <v>125.1070341115323</v>
      </c>
      <c r="H338">
        <f t="shared" si="159"/>
        <v>116.83219025509797</v>
      </c>
      <c r="I338">
        <f t="shared" si="159"/>
        <v>101.52356161478043</v>
      </c>
      <c r="J338">
        <f t="shared" si="159"/>
        <v>109.26374654791468</v>
      </c>
      <c r="K338">
        <f t="shared" si="159"/>
        <v>102.19716703451611</v>
      </c>
      <c r="L338">
        <f t="shared" si="159"/>
        <v>96.638631039037207</v>
      </c>
      <c r="M338">
        <f t="shared" si="159"/>
        <v>101.41942977345312</v>
      </c>
      <c r="N338">
        <f t="shared" si="159"/>
        <v>86.029567456645452</v>
      </c>
      <c r="O338">
        <f t="shared" si="159"/>
        <v>92.106116528240022</v>
      </c>
      <c r="P338">
        <f t="shared" si="159"/>
        <v>99.726507380430263</v>
      </c>
      <c r="Q338">
        <f t="shared" si="159"/>
        <v>92.653985293826523</v>
      </c>
      <c r="R338">
        <f t="shared" si="159"/>
        <v>101.3972824392023</v>
      </c>
      <c r="S338">
        <f t="shared" si="159"/>
        <v>80.958342797336769</v>
      </c>
      <c r="T338">
        <f t="shared" si="159"/>
        <v>96.1547710529521</v>
      </c>
      <c r="U338">
        <f t="shared" si="159"/>
        <v>103.33638323151689</v>
      </c>
      <c r="V338">
        <f t="shared" si="159"/>
        <v>115.55896798507121</v>
      </c>
      <c r="W338">
        <f t="shared" si="159"/>
        <v>143.26405676655691</v>
      </c>
      <c r="Y338" s="15">
        <f t="shared" si="141"/>
        <v>2054.8186853729303</v>
      </c>
      <c r="Z338">
        <f t="shared" si="142"/>
        <v>-161.31623838865238</v>
      </c>
    </row>
    <row r="339" spans="1:26" x14ac:dyDescent="0.25">
      <c r="A339" t="s">
        <v>61</v>
      </c>
      <c r="D339">
        <f t="shared" ref="D339:W339" si="160">D20*D165</f>
        <v>135.68907934191441</v>
      </c>
      <c r="E339">
        <f t="shared" si="160"/>
        <v>115.1311435164713</v>
      </c>
      <c r="F339">
        <f t="shared" si="160"/>
        <v>113.78117112079323</v>
      </c>
      <c r="G339">
        <f t="shared" si="160"/>
        <v>74.900649467967952</v>
      </c>
      <c r="H339">
        <f t="shared" si="160"/>
        <v>129.00902846382854</v>
      </c>
      <c r="I339">
        <f t="shared" si="160"/>
        <v>106.50429250596838</v>
      </c>
      <c r="J339">
        <f t="shared" si="160"/>
        <v>89.37147912019482</v>
      </c>
      <c r="K339">
        <f t="shared" si="160"/>
        <v>84.90300560085646</v>
      </c>
      <c r="L339">
        <f t="shared" si="160"/>
        <v>93.96022101473099</v>
      </c>
      <c r="M339">
        <f t="shared" si="160"/>
        <v>67.047010437189343</v>
      </c>
      <c r="N339">
        <f t="shared" si="160"/>
        <v>80.060220200387192</v>
      </c>
      <c r="O339">
        <f t="shared" si="160"/>
        <v>86.165206483816576</v>
      </c>
      <c r="P339">
        <f t="shared" si="160"/>
        <v>89.375964050663541</v>
      </c>
      <c r="Q339">
        <f t="shared" si="160"/>
        <v>95.446918737230391</v>
      </c>
      <c r="R339">
        <f t="shared" si="160"/>
        <v>118.68102255138734</v>
      </c>
      <c r="S339">
        <f t="shared" si="160"/>
        <v>129.66149472905215</v>
      </c>
      <c r="T339">
        <f t="shared" si="160"/>
        <v>101.51485074910606</v>
      </c>
      <c r="U339">
        <f t="shared" si="160"/>
        <v>117.951850039463</v>
      </c>
      <c r="V339">
        <f t="shared" si="160"/>
        <v>135.46449029273271</v>
      </c>
      <c r="W339">
        <f t="shared" si="160"/>
        <v>128.77816328863861</v>
      </c>
      <c r="Y339" s="15">
        <f t="shared" si="141"/>
        <v>2093.3972617123927</v>
      </c>
      <c r="Z339">
        <f t="shared" si="142"/>
        <v>-137.99186521440552</v>
      </c>
    </row>
    <row r="340" spans="1:26" x14ac:dyDescent="0.25">
      <c r="A340" t="s">
        <v>62</v>
      </c>
      <c r="D340">
        <f t="shared" ref="D340:W340" si="161">D21*D166</f>
        <v>117.3971446575632</v>
      </c>
      <c r="E340">
        <f t="shared" si="161"/>
        <v>135.16064860084023</v>
      </c>
      <c r="F340">
        <f t="shared" si="161"/>
        <v>105.14525834212867</v>
      </c>
      <c r="G340">
        <f t="shared" si="161"/>
        <v>89.997704331837568</v>
      </c>
      <c r="H340">
        <f t="shared" si="161"/>
        <v>121.52627461813216</v>
      </c>
      <c r="I340">
        <f t="shared" si="161"/>
        <v>129.3382295889846</v>
      </c>
      <c r="J340">
        <f t="shared" si="161"/>
        <v>98.893803343750321</v>
      </c>
      <c r="K340">
        <f t="shared" si="161"/>
        <v>112.34872134877314</v>
      </c>
      <c r="L340">
        <f t="shared" si="161"/>
        <v>72.437492345062367</v>
      </c>
      <c r="M340">
        <f t="shared" si="161"/>
        <v>91.706605605634948</v>
      </c>
      <c r="N340">
        <f t="shared" si="161"/>
        <v>75.498849148482876</v>
      </c>
      <c r="O340">
        <f t="shared" si="161"/>
        <v>82.209252796736621</v>
      </c>
      <c r="P340">
        <f t="shared" si="161"/>
        <v>85.139198195558876</v>
      </c>
      <c r="Q340">
        <f t="shared" si="161"/>
        <v>87.465466546632854</v>
      </c>
      <c r="R340">
        <f t="shared" si="161"/>
        <v>64.255880093329608</v>
      </c>
      <c r="S340">
        <f t="shared" si="161"/>
        <v>90.194818634922839</v>
      </c>
      <c r="T340">
        <f t="shared" si="161"/>
        <v>108.52024905674459</v>
      </c>
      <c r="U340">
        <f t="shared" si="161"/>
        <v>105.5382369610878</v>
      </c>
      <c r="V340">
        <f t="shared" si="161"/>
        <v>95.478713011564963</v>
      </c>
      <c r="W340">
        <f t="shared" si="161"/>
        <v>94.019768765710936</v>
      </c>
      <c r="Y340" s="15">
        <f t="shared" si="141"/>
        <v>1962.2723159934787</v>
      </c>
      <c r="Z340">
        <f t="shared" si="142"/>
        <v>-143.15773531599348</v>
      </c>
    </row>
    <row r="341" spans="1:26" x14ac:dyDescent="0.25">
      <c r="Y341" s="15"/>
    </row>
    <row r="342" spans="1:26" x14ac:dyDescent="0.25">
      <c r="A342" t="s">
        <v>63</v>
      </c>
      <c r="D342">
        <f t="shared" ref="D342:W342" si="162">D23*D168</f>
        <v>118.86333863247805</v>
      </c>
      <c r="E342">
        <f t="shared" si="162"/>
        <v>102.95361893184889</v>
      </c>
      <c r="F342">
        <f t="shared" si="162"/>
        <v>86.536952516250579</v>
      </c>
      <c r="G342">
        <f t="shared" si="162"/>
        <v>75.840824158412119</v>
      </c>
      <c r="H342">
        <f t="shared" si="162"/>
        <v>84.082813612829796</v>
      </c>
      <c r="I342">
        <f t="shared" si="162"/>
        <v>94.365967394375986</v>
      </c>
      <c r="J342">
        <f t="shared" si="162"/>
        <v>82.462647511944994</v>
      </c>
      <c r="K342">
        <f t="shared" si="162"/>
        <v>91.19991385778566</v>
      </c>
      <c r="L342">
        <f t="shared" si="162"/>
        <v>71.498930024661902</v>
      </c>
      <c r="M342">
        <f t="shared" si="162"/>
        <v>79.621747492140301</v>
      </c>
      <c r="N342">
        <f t="shared" si="162"/>
        <v>87.012757640585718</v>
      </c>
      <c r="O342">
        <f t="shared" si="162"/>
        <v>106.72394979877647</v>
      </c>
      <c r="P342">
        <f t="shared" si="162"/>
        <v>76.133636754070395</v>
      </c>
      <c r="Q342">
        <f t="shared" si="162"/>
        <v>71.319852914981496</v>
      </c>
      <c r="R342">
        <f t="shared" si="162"/>
        <v>89.477993492972004</v>
      </c>
      <c r="S342">
        <f t="shared" si="162"/>
        <v>78.602095106129156</v>
      </c>
      <c r="T342">
        <f t="shared" si="162"/>
        <v>101.46756241639564</v>
      </c>
      <c r="U342">
        <f t="shared" si="162"/>
        <v>113.65122597677896</v>
      </c>
      <c r="V342">
        <f t="shared" si="162"/>
        <v>105.37150487287572</v>
      </c>
      <c r="W342">
        <f t="shared" si="162"/>
        <v>117.39370552788155</v>
      </c>
      <c r="Y342" s="15">
        <f t="shared" si="141"/>
        <v>1834.5810386341755</v>
      </c>
      <c r="Z342">
        <f>SUMPRODUCT($D$346:$S$346,D342:S342)</f>
        <v>-128.85865566731178</v>
      </c>
    </row>
    <row r="343" spans="1:26" x14ac:dyDescent="0.25">
      <c r="A343" t="s">
        <v>307</v>
      </c>
      <c r="D343">
        <f t="shared" ref="D343:W343" si="163">D24*D169</f>
        <v>145.55999999999997</v>
      </c>
      <c r="E343">
        <f t="shared" si="163"/>
        <v>103.94285714285715</v>
      </c>
      <c r="F343">
        <f t="shared" si="163"/>
        <v>93.317142857142869</v>
      </c>
      <c r="G343">
        <f t="shared" si="163"/>
        <v>87.69</v>
      </c>
      <c r="H343">
        <f t="shared" si="163"/>
        <v>115.3077551020408</v>
      </c>
      <c r="I343">
        <f t="shared" si="163"/>
        <v>105.59959183673469</v>
      </c>
      <c r="J343">
        <f t="shared" si="163"/>
        <v>69.11999999999999</v>
      </c>
      <c r="K343">
        <f t="shared" si="163"/>
        <v>91.324489795918382</v>
      </c>
      <c r="L343">
        <f t="shared" si="163"/>
        <v>39.536250000000003</v>
      </c>
      <c r="M343">
        <f t="shared" si="163"/>
        <v>62.491836734693877</v>
      </c>
      <c r="N343">
        <f t="shared" si="163"/>
        <v>71.088979591836747</v>
      </c>
      <c r="O343">
        <f t="shared" si="163"/>
        <v>85.236326530612246</v>
      </c>
      <c r="P343">
        <f t="shared" si="163"/>
        <v>75.259999999999991</v>
      </c>
      <c r="Q343">
        <f t="shared" si="163"/>
        <v>72.539999999999992</v>
      </c>
      <c r="R343">
        <f t="shared" si="163"/>
        <v>112.7</v>
      </c>
      <c r="S343">
        <f t="shared" si="163"/>
        <v>47.559999999999995</v>
      </c>
      <c r="T343">
        <f t="shared" si="163"/>
        <v>109.76</v>
      </c>
      <c r="U343">
        <f t="shared" si="163"/>
        <v>118.80000000000001</v>
      </c>
      <c r="V343">
        <f t="shared" si="163"/>
        <v>88.14</v>
      </c>
      <c r="W343">
        <f t="shared" si="163"/>
        <v>101.25</v>
      </c>
      <c r="Y343" s="15">
        <f t="shared" si="141"/>
        <v>1796.2252295918368</v>
      </c>
      <c r="Z343">
        <f>SUMPRODUCT($D$346:$S$346,D343:S343)</f>
        <v>-131.94442888722668</v>
      </c>
    </row>
    <row r="344" spans="1:26" x14ac:dyDescent="0.25">
      <c r="A344" t="s">
        <v>308</v>
      </c>
      <c r="D344">
        <f t="shared" ref="D344:W344" si="164">D25*D170</f>
        <v>103.20986943396606</v>
      </c>
      <c r="E344">
        <f t="shared" si="164"/>
        <v>115.92000000000002</v>
      </c>
      <c r="F344">
        <f t="shared" si="164"/>
        <v>74.421428571428578</v>
      </c>
      <c r="G344">
        <f t="shared" si="164"/>
        <v>112.66285714285715</v>
      </c>
      <c r="H344">
        <f t="shared" si="164"/>
        <v>113.03999999999999</v>
      </c>
      <c r="I344">
        <f t="shared" si="164"/>
        <v>122.00571428571429</v>
      </c>
      <c r="J344">
        <f t="shared" si="164"/>
        <v>71.13428571428571</v>
      </c>
      <c r="K344">
        <f t="shared" si="164"/>
        <v>73.645714285714291</v>
      </c>
      <c r="L344">
        <f t="shared" si="164"/>
        <v>75.435000000000002</v>
      </c>
      <c r="M344">
        <f t="shared" si="164"/>
        <v>75.48</v>
      </c>
      <c r="N344">
        <f t="shared" si="164"/>
        <v>77.760000000000005</v>
      </c>
      <c r="O344">
        <f t="shared" si="164"/>
        <v>80.36</v>
      </c>
      <c r="P344">
        <f t="shared" si="164"/>
        <v>80.368194121392463</v>
      </c>
      <c r="Q344">
        <f t="shared" si="164"/>
        <v>84.560059976604009</v>
      </c>
      <c r="R344">
        <f t="shared" si="164"/>
        <v>84.554125941613208</v>
      </c>
      <c r="S344">
        <f t="shared" si="164"/>
        <v>90.711872734918074</v>
      </c>
      <c r="T344">
        <f t="shared" si="164"/>
        <v>95.665617847328392</v>
      </c>
      <c r="U344">
        <f t="shared" si="164"/>
        <v>108.15159106638259</v>
      </c>
      <c r="V344">
        <f t="shared" si="164"/>
        <v>110.61102049522675</v>
      </c>
      <c r="W344">
        <f t="shared" si="164"/>
        <v>121.38100442146111</v>
      </c>
      <c r="Y344" s="15">
        <f t="shared" si="141"/>
        <v>1871.0783560388925</v>
      </c>
      <c r="Z344">
        <f>SUMPRODUCT($D$346:$S$346,D344:S344)</f>
        <v>-135.16060087315498</v>
      </c>
    </row>
    <row r="345" spans="1:26" x14ac:dyDescent="0.25">
      <c r="A345" t="s">
        <v>670</v>
      </c>
      <c r="D345">
        <f t="shared" ref="D345:W345" si="165">D26*D171</f>
        <v>138.69883538540446</v>
      </c>
      <c r="E345">
        <f t="shared" si="165"/>
        <v>138.38934313773643</v>
      </c>
      <c r="F345">
        <f t="shared" si="165"/>
        <v>120.33138990327889</v>
      </c>
      <c r="G345">
        <f t="shared" si="165"/>
        <v>134.60300197895296</v>
      </c>
      <c r="H345">
        <f t="shared" si="165"/>
        <v>116.72646882053652</v>
      </c>
      <c r="I345">
        <f t="shared" si="165"/>
        <v>93.389201230242577</v>
      </c>
      <c r="J345">
        <f t="shared" si="165"/>
        <v>75.59035946040332</v>
      </c>
      <c r="K345">
        <f t="shared" si="165"/>
        <v>69.588955617335941</v>
      </c>
      <c r="L345">
        <f t="shared" si="165"/>
        <v>60.167941971176738</v>
      </c>
      <c r="M345">
        <f t="shared" si="165"/>
        <v>79.644438628501405</v>
      </c>
      <c r="N345">
        <f t="shared" si="165"/>
        <v>85.308580806622771</v>
      </c>
      <c r="O345">
        <f t="shared" si="165"/>
        <v>82.046597591217648</v>
      </c>
      <c r="P345">
        <f t="shared" si="165"/>
        <v>72.880038927098255</v>
      </c>
      <c r="Q345">
        <f t="shared" si="165"/>
        <v>83.628957434489223</v>
      </c>
      <c r="R345">
        <f t="shared" si="165"/>
        <v>91.757316370527917</v>
      </c>
      <c r="S345">
        <f t="shared" si="165"/>
        <v>98.891952192161725</v>
      </c>
      <c r="T345">
        <f t="shared" si="165"/>
        <v>101.24378282704666</v>
      </c>
      <c r="U345">
        <f t="shared" si="165"/>
        <v>108.86494491689621</v>
      </c>
      <c r="V345">
        <f t="shared" si="165"/>
        <v>105.90925584669564</v>
      </c>
      <c r="W345">
        <f t="shared" si="165"/>
        <v>115.7205764806565</v>
      </c>
      <c r="Y345" s="15">
        <f t="shared" ref="Y345" si="166">SUM(D345:W345)</f>
        <v>1973.381939526982</v>
      </c>
      <c r="Z345">
        <f>SUMPRODUCT($D$346:$S$346,D345:S345)</f>
        <v>-130.08492752254068</v>
      </c>
    </row>
    <row r="346" spans="1:26" x14ac:dyDescent="0.25">
      <c r="A346" s="2" t="s">
        <v>64</v>
      </c>
      <c r="D346" s="3">
        <f>CORREL($B$2:$B$21,D321:D340)</f>
        <v>-0.15396027127117429</v>
      </c>
      <c r="E346" s="3">
        <f t="shared" ref="E346:W346" si="167">CORREL($B$2:$B$21,E321:E340)</f>
        <v>0.274920821945352</v>
      </c>
      <c r="F346" s="3">
        <f t="shared" si="167"/>
        <v>1.8850957081027301E-2</v>
      </c>
      <c r="G346" s="3">
        <f t="shared" si="167"/>
        <v>-0.31146718196808304</v>
      </c>
      <c r="H346" s="3">
        <f t="shared" si="167"/>
        <v>-0.15185337978765862</v>
      </c>
      <c r="I346" s="3">
        <f t="shared" si="167"/>
        <v>-0.23920152400514413</v>
      </c>
      <c r="J346" s="3">
        <f t="shared" si="167"/>
        <v>-0.23642633873770535</v>
      </c>
      <c r="K346" s="3">
        <f t="shared" si="167"/>
        <v>-0.2020966242742466</v>
      </c>
      <c r="L346" s="3">
        <f t="shared" si="167"/>
        <v>-0.17282255009926906</v>
      </c>
      <c r="M346" s="3">
        <f t="shared" si="167"/>
        <v>-8.4072206653069605E-3</v>
      </c>
      <c r="N346" s="3">
        <f t="shared" si="167"/>
        <v>0.11812341002350679</v>
      </c>
      <c r="O346" s="3">
        <f t="shared" si="167"/>
        <v>-0.27421084681242658</v>
      </c>
      <c r="P346" s="3">
        <f t="shared" si="167"/>
        <v>-0.10837428904040459</v>
      </c>
      <c r="Q346" s="3">
        <f t="shared" si="167"/>
        <v>-9.4995013168143766E-2</v>
      </c>
      <c r="R346" s="3">
        <f t="shared" si="167"/>
        <v>5.3515988139961031E-3</v>
      </c>
      <c r="S346" s="3">
        <f t="shared" si="167"/>
        <v>3.7608922132169188E-2</v>
      </c>
      <c r="T346" s="3">
        <f t="shared" si="167"/>
        <v>-0.23477565532737227</v>
      </c>
      <c r="U346" s="3">
        <f t="shared" si="167"/>
        <v>2.7299605228547231E-2</v>
      </c>
      <c r="V346" s="3">
        <f t="shared" si="167"/>
        <v>-0.28120304152541226</v>
      </c>
      <c r="W346" s="3">
        <f t="shared" si="167"/>
        <v>-0.16141199384476118</v>
      </c>
    </row>
    <row r="349" spans="1:26" x14ac:dyDescent="0.25">
      <c r="D349" t="s">
        <v>143</v>
      </c>
      <c r="E349" t="s">
        <v>144</v>
      </c>
      <c r="F349" t="s">
        <v>145</v>
      </c>
      <c r="G349" t="s">
        <v>146</v>
      </c>
      <c r="H349" t="s">
        <v>147</v>
      </c>
      <c r="I349" t="s">
        <v>148</v>
      </c>
      <c r="J349" t="s">
        <v>149</v>
      </c>
      <c r="K349" t="s">
        <v>150</v>
      </c>
      <c r="L349" t="s">
        <v>345</v>
      </c>
      <c r="M349" t="s">
        <v>397</v>
      </c>
      <c r="N349" t="s">
        <v>398</v>
      </c>
      <c r="O349" t="s">
        <v>399</v>
      </c>
      <c r="P349" t="s">
        <v>494</v>
      </c>
      <c r="Q349" t="s">
        <v>495</v>
      </c>
      <c r="R349" t="s">
        <v>496</v>
      </c>
      <c r="S349" t="s">
        <v>497</v>
      </c>
      <c r="T349" t="s">
        <v>606</v>
      </c>
      <c r="U349" t="s">
        <v>607</v>
      </c>
      <c r="V349" t="s">
        <v>608</v>
      </c>
      <c r="W349" t="s">
        <v>609</v>
      </c>
      <c r="Y349" t="s">
        <v>151</v>
      </c>
      <c r="Z349" t="s">
        <v>152</v>
      </c>
    </row>
    <row r="350" spans="1:26" x14ac:dyDescent="0.25">
      <c r="A350" t="s">
        <v>43</v>
      </c>
      <c r="D350">
        <f t="shared" ref="D350:W350" si="168">D2*D176</f>
        <v>205.31401273955342</v>
      </c>
      <c r="E350">
        <f t="shared" si="168"/>
        <v>77.473469387755117</v>
      </c>
      <c r="F350">
        <f t="shared" si="168"/>
        <v>107.47020408163266</v>
      </c>
      <c r="G350">
        <f t="shared" si="168"/>
        <v>111.62938775510202</v>
      </c>
      <c r="H350">
        <f t="shared" si="168"/>
        <v>160.83179810424099</v>
      </c>
      <c r="I350">
        <f t="shared" si="168"/>
        <v>149.57875565928973</v>
      </c>
      <c r="J350">
        <f t="shared" si="168"/>
        <v>138.48527466595959</v>
      </c>
      <c r="K350">
        <f t="shared" si="168"/>
        <v>145.4525617022405</v>
      </c>
      <c r="L350">
        <f t="shared" si="168"/>
        <v>115.82568755052816</v>
      </c>
      <c r="M350">
        <f t="shared" si="168"/>
        <v>123.38374373648709</v>
      </c>
      <c r="N350">
        <f t="shared" si="168"/>
        <v>111.74488728645765</v>
      </c>
      <c r="O350">
        <f t="shared" si="168"/>
        <v>110.05248964722971</v>
      </c>
      <c r="P350">
        <f t="shared" si="168"/>
        <v>108.60842030562826</v>
      </c>
      <c r="Q350">
        <f t="shared" si="168"/>
        <v>110.28865399194389</v>
      </c>
      <c r="R350">
        <f t="shared" si="168"/>
        <v>105.3988882587946</v>
      </c>
      <c r="S350">
        <f t="shared" si="168"/>
        <v>64.74383477285626</v>
      </c>
      <c r="T350">
        <f t="shared" si="168"/>
        <v>89.744002596531885</v>
      </c>
      <c r="U350">
        <f t="shared" si="168"/>
        <v>119.20451847100095</v>
      </c>
      <c r="V350">
        <f t="shared" si="168"/>
        <v>110.91143338274279</v>
      </c>
      <c r="W350">
        <f t="shared" si="168"/>
        <v>166.24118320270011</v>
      </c>
      <c r="Y350" s="15">
        <f t="shared" ref="Y350:Y373" si="169">SUM(D350:W350)</f>
        <v>2432.3832072986752</v>
      </c>
      <c r="Z350">
        <f t="shared" ref="Z350:Z369" si="170">SUMPRODUCT($D$375:$S$375,D350:S350)</f>
        <v>-121.57531925805104</v>
      </c>
    </row>
    <row r="351" spans="1:26" x14ac:dyDescent="0.25">
      <c r="A351" t="s">
        <v>44</v>
      </c>
      <c r="D351">
        <f t="shared" ref="D351:W351" si="171">D3*D177</f>
        <v>115.41306122448978</v>
      </c>
      <c r="E351">
        <f t="shared" si="171"/>
        <v>112.07755102040815</v>
      </c>
      <c r="F351">
        <f t="shared" si="171"/>
        <v>86.621836734693872</v>
      </c>
      <c r="G351">
        <f t="shared" si="171"/>
        <v>171.62448979591838</v>
      </c>
      <c r="H351">
        <f t="shared" si="171"/>
        <v>80.113625932696536</v>
      </c>
      <c r="I351">
        <f t="shared" si="171"/>
        <v>72.261970333637706</v>
      </c>
      <c r="J351">
        <f t="shared" si="171"/>
        <v>74.331901651085005</v>
      </c>
      <c r="K351">
        <f t="shared" si="171"/>
        <v>69.990314971158952</v>
      </c>
      <c r="L351">
        <f t="shared" si="171"/>
        <v>66.369263538833451</v>
      </c>
      <c r="M351">
        <f t="shared" si="171"/>
        <v>63.227537707266919</v>
      </c>
      <c r="N351">
        <f t="shared" si="171"/>
        <v>57.086157888542779</v>
      </c>
      <c r="O351">
        <f t="shared" si="171"/>
        <v>81.160130952092032</v>
      </c>
      <c r="P351">
        <f t="shared" si="171"/>
        <v>97.685888562974441</v>
      </c>
      <c r="Q351">
        <f t="shared" si="171"/>
        <v>133.82314635341126</v>
      </c>
      <c r="R351">
        <f t="shared" si="171"/>
        <v>93.073798527604183</v>
      </c>
      <c r="S351">
        <f t="shared" si="171"/>
        <v>65.322602089587946</v>
      </c>
      <c r="T351">
        <f t="shared" si="171"/>
        <v>71.761891507816969</v>
      </c>
      <c r="U351">
        <f t="shared" si="171"/>
        <v>44.459363585981741</v>
      </c>
      <c r="V351">
        <f t="shared" si="171"/>
        <v>39.865887581674123</v>
      </c>
      <c r="W351">
        <f t="shared" si="171"/>
        <v>65.545060399173593</v>
      </c>
      <c r="Y351" s="15">
        <f t="shared" si="169"/>
        <v>1661.8154803590476</v>
      </c>
      <c r="Z351">
        <f t="shared" si="170"/>
        <v>-78.832650043952455</v>
      </c>
    </row>
    <row r="352" spans="1:26" x14ac:dyDescent="0.25">
      <c r="A352" t="s">
        <v>45</v>
      </c>
      <c r="D352">
        <f t="shared" ref="D352:W352" si="172">D4*D178</f>
        <v>122.80489171982826</v>
      </c>
      <c r="E352">
        <f t="shared" si="172"/>
        <v>81.516734693877567</v>
      </c>
      <c r="F352">
        <f t="shared" si="172"/>
        <v>98.752653061224507</v>
      </c>
      <c r="G352">
        <f t="shared" si="172"/>
        <v>77.031428571428563</v>
      </c>
      <c r="H352">
        <f t="shared" si="172"/>
        <v>134.22693034561135</v>
      </c>
      <c r="I352">
        <f t="shared" si="172"/>
        <v>119.90879700622887</v>
      </c>
      <c r="J352">
        <f t="shared" si="172"/>
        <v>104.77625524996796</v>
      </c>
      <c r="K352">
        <f t="shared" si="172"/>
        <v>107.35319162143493</v>
      </c>
      <c r="L352">
        <f t="shared" si="172"/>
        <v>90.62074609260857</v>
      </c>
      <c r="M352">
        <f t="shared" si="172"/>
        <v>28.908380765619956</v>
      </c>
      <c r="N352">
        <f t="shared" si="172"/>
        <v>17.839235222194269</v>
      </c>
      <c r="O352">
        <f t="shared" si="172"/>
        <v>19.384412747125843</v>
      </c>
      <c r="P352">
        <f t="shared" si="172"/>
        <v>29.272760603799924</v>
      </c>
      <c r="Q352">
        <f t="shared" si="172"/>
        <v>52.002628766799255</v>
      </c>
      <c r="R352">
        <f t="shared" si="172"/>
        <v>55.313281981313459</v>
      </c>
      <c r="S352">
        <f t="shared" si="172"/>
        <v>40.882132472906086</v>
      </c>
      <c r="T352">
        <f t="shared" si="172"/>
        <v>27.892730773348177</v>
      </c>
      <c r="U352">
        <f t="shared" si="172"/>
        <v>34.748118176240311</v>
      </c>
      <c r="V352">
        <f t="shared" si="172"/>
        <v>87.315848409598431</v>
      </c>
      <c r="W352">
        <f t="shared" si="172"/>
        <v>114.78828078364879</v>
      </c>
      <c r="Y352" s="15">
        <f t="shared" si="169"/>
        <v>1445.3394390648048</v>
      </c>
      <c r="Z352">
        <f t="shared" si="170"/>
        <v>-78.397666262570255</v>
      </c>
    </row>
    <row r="353" spans="1:26" x14ac:dyDescent="0.25">
      <c r="A353" t="s">
        <v>46</v>
      </c>
      <c r="D353">
        <f t="shared" ref="D353:W353" si="173">D5*D179</f>
        <v>163.16391055335941</v>
      </c>
      <c r="E353">
        <f t="shared" si="173"/>
        <v>150.56572363086161</v>
      </c>
      <c r="F353">
        <f t="shared" si="173"/>
        <v>103.48306812756651</v>
      </c>
      <c r="G353">
        <f t="shared" si="173"/>
        <v>70.365487040569107</v>
      </c>
      <c r="H353">
        <f t="shared" si="173"/>
        <v>105.1340697471483</v>
      </c>
      <c r="I353">
        <f t="shared" si="173"/>
        <v>60.846644973491529</v>
      </c>
      <c r="J353">
        <f t="shared" si="173"/>
        <v>155.37403819892972</v>
      </c>
      <c r="K353">
        <f t="shared" si="173"/>
        <v>92.436944789845299</v>
      </c>
      <c r="L353">
        <f t="shared" si="173"/>
        <v>132.47926784431451</v>
      </c>
      <c r="M353">
        <f t="shared" si="173"/>
        <v>135.91858343499814</v>
      </c>
      <c r="N353">
        <f t="shared" si="173"/>
        <v>105.60870786621162</v>
      </c>
      <c r="O353">
        <f t="shared" si="173"/>
        <v>115.90553517490575</v>
      </c>
      <c r="P353">
        <f t="shared" si="173"/>
        <v>93.505135218261714</v>
      </c>
      <c r="Q353">
        <f t="shared" si="173"/>
        <v>50.931260421858774</v>
      </c>
      <c r="R353">
        <f t="shared" si="173"/>
        <v>72.175504030402465</v>
      </c>
      <c r="S353">
        <f t="shared" si="173"/>
        <v>45.987212725928174</v>
      </c>
      <c r="T353">
        <f t="shared" si="173"/>
        <v>88.493703600256367</v>
      </c>
      <c r="U353">
        <f t="shared" si="173"/>
        <v>84.84240923220429</v>
      </c>
      <c r="V353">
        <f t="shared" si="173"/>
        <v>117.16883542910544</v>
      </c>
      <c r="W353">
        <f t="shared" si="173"/>
        <v>103.67788164060529</v>
      </c>
      <c r="Y353" s="15">
        <f t="shared" si="169"/>
        <v>2048.0639236808242</v>
      </c>
      <c r="Z353">
        <f t="shared" si="170"/>
        <v>-98.527091091557963</v>
      </c>
    </row>
    <row r="354" spans="1:26" x14ac:dyDescent="0.25">
      <c r="A354" t="s">
        <v>47</v>
      </c>
      <c r="D354">
        <f t="shared" ref="D354:W354" si="174">D6*D180</f>
        <v>128.46711640436169</v>
      </c>
      <c r="E354">
        <f t="shared" si="174"/>
        <v>110.90844760099452</v>
      </c>
      <c r="F354">
        <f t="shared" si="174"/>
        <v>99.880265561594101</v>
      </c>
      <c r="G354">
        <f t="shared" si="174"/>
        <v>78.648336435422507</v>
      </c>
      <c r="H354">
        <f t="shared" si="174"/>
        <v>72.390670825193851</v>
      </c>
      <c r="I354">
        <f t="shared" si="174"/>
        <v>67.113072877628355</v>
      </c>
      <c r="J354">
        <f t="shared" si="174"/>
        <v>59.857809192313567</v>
      </c>
      <c r="K354">
        <f t="shared" si="174"/>
        <v>56.044850530650002</v>
      </c>
      <c r="L354">
        <f t="shared" si="174"/>
        <v>75.531269584321862</v>
      </c>
      <c r="M354">
        <f t="shared" si="174"/>
        <v>87.023568154515047</v>
      </c>
      <c r="N354">
        <f t="shared" si="174"/>
        <v>71.438198520748358</v>
      </c>
      <c r="O354">
        <f t="shared" si="174"/>
        <v>71.407020931787201</v>
      </c>
      <c r="P354">
        <f t="shared" si="174"/>
        <v>81.681123236831013</v>
      </c>
      <c r="Q354">
        <f t="shared" si="174"/>
        <v>81.765193748799646</v>
      </c>
      <c r="R354">
        <f t="shared" si="174"/>
        <v>55.624439872022378</v>
      </c>
      <c r="S354">
        <f t="shared" si="174"/>
        <v>85.23014240881426</v>
      </c>
      <c r="T354">
        <f t="shared" si="174"/>
        <v>128.93543307554893</v>
      </c>
      <c r="U354">
        <f t="shared" si="174"/>
        <v>85.06221399998519</v>
      </c>
      <c r="V354">
        <f t="shared" si="174"/>
        <v>82.643602191983888</v>
      </c>
      <c r="W354">
        <f t="shared" si="174"/>
        <v>80.780414666087168</v>
      </c>
      <c r="Y354" s="15">
        <f t="shared" si="169"/>
        <v>1660.4331898196035</v>
      </c>
      <c r="Z354">
        <f t="shared" si="170"/>
        <v>-61.060257670958535</v>
      </c>
    </row>
    <row r="355" spans="1:26" x14ac:dyDescent="0.25">
      <c r="A355" t="s">
        <v>48</v>
      </c>
      <c r="D355">
        <f t="shared" ref="D355:W355" si="175">D7*D181</f>
        <v>128.67814188728806</v>
      </c>
      <c r="E355">
        <f t="shared" si="175"/>
        <v>106.54291705943687</v>
      </c>
      <c r="F355">
        <f t="shared" si="175"/>
        <v>88.579583721376608</v>
      </c>
      <c r="G355">
        <f t="shared" si="175"/>
        <v>83.757119764510563</v>
      </c>
      <c r="H355">
        <f t="shared" si="175"/>
        <v>107.10276280891979</v>
      </c>
      <c r="I355">
        <f t="shared" si="175"/>
        <v>69.371259352529236</v>
      </c>
      <c r="J355">
        <f t="shared" si="175"/>
        <v>55.531344704212479</v>
      </c>
      <c r="K355">
        <f t="shared" si="175"/>
        <v>83.75281251681335</v>
      </c>
      <c r="L355">
        <f t="shared" si="175"/>
        <v>49.800222580340744</v>
      </c>
      <c r="M355">
        <f t="shared" si="175"/>
        <v>61.087201544319043</v>
      </c>
      <c r="N355">
        <f t="shared" si="175"/>
        <v>74.19802458349254</v>
      </c>
      <c r="O355">
        <f t="shared" si="175"/>
        <v>60.863453165039331</v>
      </c>
      <c r="P355">
        <f t="shared" si="175"/>
        <v>74.050499054669814</v>
      </c>
      <c r="Q355">
        <f t="shared" si="175"/>
        <v>64.071764997628648</v>
      </c>
      <c r="R355">
        <f t="shared" si="175"/>
        <v>62.176130509065821</v>
      </c>
      <c r="S355">
        <f t="shared" si="175"/>
        <v>57.529250984300617</v>
      </c>
      <c r="T355">
        <f t="shared" si="175"/>
        <v>65.793554585878269</v>
      </c>
      <c r="U355">
        <f t="shared" si="175"/>
        <v>84.315237574410531</v>
      </c>
      <c r="V355">
        <f t="shared" si="175"/>
        <v>74.031715804638836</v>
      </c>
      <c r="W355">
        <f t="shared" si="175"/>
        <v>94.473751317091228</v>
      </c>
      <c r="Y355" s="15">
        <f t="shared" si="169"/>
        <v>1545.7067485159628</v>
      </c>
      <c r="Z355">
        <f t="shared" si="170"/>
        <v>-55.373798718166825</v>
      </c>
    </row>
    <row r="356" spans="1:26" x14ac:dyDescent="0.25">
      <c r="A356" t="s">
        <v>49</v>
      </c>
      <c r="D356">
        <f t="shared" ref="D356:W356" si="176">D8*D182</f>
        <v>158.74495283224798</v>
      </c>
      <c r="E356">
        <f t="shared" si="176"/>
        <v>103.96287336626857</v>
      </c>
      <c r="F356">
        <f t="shared" si="176"/>
        <v>104.48007656072444</v>
      </c>
      <c r="G356">
        <f t="shared" si="176"/>
        <v>123.96004132947203</v>
      </c>
      <c r="H356">
        <f t="shared" si="176"/>
        <v>88.508978414739886</v>
      </c>
      <c r="I356">
        <f t="shared" si="176"/>
        <v>125.88374853291175</v>
      </c>
      <c r="J356">
        <f t="shared" si="176"/>
        <v>103.76383353542839</v>
      </c>
      <c r="K356">
        <f t="shared" si="176"/>
        <v>129.31027766558466</v>
      </c>
      <c r="L356">
        <f t="shared" si="176"/>
        <v>71.484675476851336</v>
      </c>
      <c r="M356">
        <f t="shared" si="176"/>
        <v>105.93837365043129</v>
      </c>
      <c r="N356">
        <f t="shared" si="176"/>
        <v>84.485567997184489</v>
      </c>
      <c r="O356">
        <f t="shared" si="176"/>
        <v>107.53511975588133</v>
      </c>
      <c r="P356">
        <f t="shared" si="176"/>
        <v>116.80096257835542</v>
      </c>
      <c r="Q356">
        <f t="shared" si="176"/>
        <v>116.95840849239892</v>
      </c>
      <c r="R356">
        <f t="shared" si="176"/>
        <v>101.22235975097422</v>
      </c>
      <c r="S356">
        <f t="shared" si="176"/>
        <v>143.96312897845354</v>
      </c>
      <c r="T356">
        <f t="shared" si="176"/>
        <v>147.6513403028257</v>
      </c>
      <c r="U356">
        <f t="shared" si="176"/>
        <v>136.75733248453491</v>
      </c>
      <c r="V356">
        <f t="shared" si="176"/>
        <v>134.51544513712275</v>
      </c>
      <c r="W356">
        <f t="shared" si="176"/>
        <v>119.67884628466074</v>
      </c>
      <c r="Y356" s="15">
        <f t="shared" si="169"/>
        <v>2325.6063431270527</v>
      </c>
      <c r="Z356">
        <f t="shared" si="170"/>
        <v>-78.518387846151683</v>
      </c>
    </row>
    <row r="357" spans="1:26" x14ac:dyDescent="0.25">
      <c r="A357" t="s">
        <v>50</v>
      </c>
      <c r="D357">
        <f t="shared" ref="D357:W357" si="177">D9*D183</f>
        <v>100.21384042324692</v>
      </c>
      <c r="E357">
        <f t="shared" si="177"/>
        <v>93.417959183673489</v>
      </c>
      <c r="F357">
        <f t="shared" si="177"/>
        <v>80.606122448979605</v>
      </c>
      <c r="G357">
        <f t="shared" si="177"/>
        <v>82.786530612244889</v>
      </c>
      <c r="H357">
        <f t="shared" si="177"/>
        <v>38.854705883415257</v>
      </c>
      <c r="I357">
        <f t="shared" si="177"/>
        <v>46.443056164762758</v>
      </c>
      <c r="J357">
        <f t="shared" si="177"/>
        <v>38.949264037339674</v>
      </c>
      <c r="K357">
        <f t="shared" si="177"/>
        <v>17.192308008518928</v>
      </c>
      <c r="L357">
        <f t="shared" si="177"/>
        <v>23.584447116909264</v>
      </c>
      <c r="M357">
        <f t="shared" si="177"/>
        <v>58.935256069548622</v>
      </c>
      <c r="N357">
        <f t="shared" si="177"/>
        <v>59.542403929680397</v>
      </c>
      <c r="O357">
        <f t="shared" si="177"/>
        <v>60.656434155846355</v>
      </c>
      <c r="P357">
        <f t="shared" si="177"/>
        <v>56.358137433827167</v>
      </c>
      <c r="Q357">
        <f t="shared" si="177"/>
        <v>63.743080944527904</v>
      </c>
      <c r="R357">
        <f t="shared" si="177"/>
        <v>53.281092055760233</v>
      </c>
      <c r="S357">
        <f t="shared" si="177"/>
        <v>74.38485135411959</v>
      </c>
      <c r="T357">
        <f t="shared" si="177"/>
        <v>94.470801789230151</v>
      </c>
      <c r="U357">
        <f t="shared" si="177"/>
        <v>94.344234346978311</v>
      </c>
      <c r="V357">
        <f t="shared" si="177"/>
        <v>46.422099891131481</v>
      </c>
      <c r="W357">
        <f t="shared" si="177"/>
        <v>104.88478497559812</v>
      </c>
      <c r="Y357" s="15">
        <f t="shared" si="169"/>
        <v>1289.0714108253394</v>
      </c>
      <c r="Z357">
        <f t="shared" si="170"/>
        <v>-43.338670549770086</v>
      </c>
    </row>
    <row r="358" spans="1:26" x14ac:dyDescent="0.25">
      <c r="A358" t="s">
        <v>51</v>
      </c>
      <c r="D358">
        <f t="shared" ref="D358:W358" si="178">D10*D184</f>
        <v>79.851284177784962</v>
      </c>
      <c r="E358">
        <f t="shared" si="178"/>
        <v>90.983650223241327</v>
      </c>
      <c r="F358">
        <f t="shared" si="178"/>
        <v>116.21467852295649</v>
      </c>
      <c r="G358">
        <f t="shared" si="178"/>
        <v>72.998983641590996</v>
      </c>
      <c r="H358">
        <f t="shared" si="178"/>
        <v>34.458102258170399</v>
      </c>
      <c r="I358">
        <f t="shared" si="178"/>
        <v>17.804054776964726</v>
      </c>
      <c r="J358">
        <f t="shared" si="178"/>
        <v>7.2487840231159364</v>
      </c>
      <c r="K358">
        <f t="shared" si="178"/>
        <v>16.853367320560103</v>
      </c>
      <c r="L358">
        <f t="shared" si="178"/>
        <v>18.593053613255314</v>
      </c>
      <c r="M358">
        <f t="shared" si="178"/>
        <v>19.66134581863945</v>
      </c>
      <c r="N358">
        <f t="shared" si="178"/>
        <v>19.768750643349996</v>
      </c>
      <c r="O358">
        <f t="shared" si="178"/>
        <v>25.122442219778158</v>
      </c>
      <c r="P358">
        <f t="shared" si="178"/>
        <v>60.948834937102525</v>
      </c>
      <c r="Q358">
        <f t="shared" si="178"/>
        <v>75.715285714285727</v>
      </c>
      <c r="R358">
        <f t="shared" si="178"/>
        <v>58.157065538400516</v>
      </c>
      <c r="S358">
        <f t="shared" si="178"/>
        <v>18.936758987531654</v>
      </c>
      <c r="T358">
        <f t="shared" si="178"/>
        <v>46.405077901316744</v>
      </c>
      <c r="U358">
        <f t="shared" si="178"/>
        <v>15.198734372402935</v>
      </c>
      <c r="V358">
        <f t="shared" si="178"/>
        <v>44.917223383312319</v>
      </c>
      <c r="W358">
        <f t="shared" si="178"/>
        <v>91.940537267047944</v>
      </c>
      <c r="Y358" s="15">
        <f t="shared" si="169"/>
        <v>931.77801534080834</v>
      </c>
      <c r="Z358">
        <f t="shared" si="170"/>
        <v>-45.878309533357431</v>
      </c>
    </row>
    <row r="359" spans="1:26" x14ac:dyDescent="0.25">
      <c r="A359" t="s">
        <v>52</v>
      </c>
      <c r="D359">
        <f t="shared" ref="D359:W359" si="179">D11*D185</f>
        <v>113.05153472130144</v>
      </c>
      <c r="E359">
        <f t="shared" si="179"/>
        <v>68.189174425210311</v>
      </c>
      <c r="F359">
        <f t="shared" si="179"/>
        <v>72.472024298935523</v>
      </c>
      <c r="G359">
        <f t="shared" si="179"/>
        <v>46.527492811315526</v>
      </c>
      <c r="H359">
        <f t="shared" si="179"/>
        <v>23.117014882632745</v>
      </c>
      <c r="I359">
        <f t="shared" si="179"/>
        <v>12.452743200604388</v>
      </c>
      <c r="J359">
        <f t="shared" si="179"/>
        <v>17.705974006814383</v>
      </c>
      <c r="K359">
        <f t="shared" si="179"/>
        <v>18.420536728822327</v>
      </c>
      <c r="L359">
        <f t="shared" si="179"/>
        <v>23.142251079210688</v>
      </c>
      <c r="M359">
        <f t="shared" si="179"/>
        <v>19.446366716278558</v>
      </c>
      <c r="N359">
        <f t="shared" si="179"/>
        <v>23.182886364950384</v>
      </c>
      <c r="O359">
        <f t="shared" si="179"/>
        <v>7.8058479517609154</v>
      </c>
      <c r="P359">
        <f t="shared" si="179"/>
        <v>10.928198815449079</v>
      </c>
      <c r="Q359">
        <f t="shared" si="179"/>
        <v>78.94894014285714</v>
      </c>
      <c r="R359">
        <f t="shared" si="179"/>
        <v>45.124918230252845</v>
      </c>
      <c r="S359">
        <f t="shared" si="179"/>
        <v>31.132504721835407</v>
      </c>
      <c r="T359">
        <f t="shared" si="179"/>
        <v>12.592071736365357</v>
      </c>
      <c r="U359">
        <f t="shared" si="179"/>
        <v>29.493505776559449</v>
      </c>
      <c r="V359">
        <f t="shared" si="179"/>
        <v>33.470103018478838</v>
      </c>
      <c r="W359">
        <f t="shared" si="179"/>
        <v>48.76209446025063</v>
      </c>
      <c r="Y359" s="15">
        <f t="shared" si="169"/>
        <v>735.96618408988604</v>
      </c>
      <c r="Z359">
        <f t="shared" si="170"/>
        <v>-55.976069583875336</v>
      </c>
    </row>
    <row r="360" spans="1:26" x14ac:dyDescent="0.25">
      <c r="A360" t="s">
        <v>53</v>
      </c>
      <c r="D360">
        <f t="shared" ref="D360:W360" si="180">D12*D186</f>
        <v>107.38875396633287</v>
      </c>
      <c r="E360">
        <f t="shared" si="180"/>
        <v>91.658276948477749</v>
      </c>
      <c r="F360">
        <f t="shared" si="180"/>
        <v>70.95343871261214</v>
      </c>
      <c r="G360">
        <f t="shared" si="180"/>
        <v>32.998756897939089</v>
      </c>
      <c r="H360">
        <f t="shared" si="180"/>
        <v>16.745930329635701</v>
      </c>
      <c r="I360">
        <f t="shared" si="180"/>
        <v>30.147704932877296</v>
      </c>
      <c r="J360">
        <f t="shared" si="180"/>
        <v>11.636393557677494</v>
      </c>
      <c r="K360">
        <f t="shared" si="180"/>
        <v>55.230762016383956</v>
      </c>
      <c r="L360">
        <f t="shared" si="180"/>
        <v>14.314712323717645</v>
      </c>
      <c r="M360">
        <f t="shared" si="180"/>
        <v>52.310079046863017</v>
      </c>
      <c r="N360">
        <f t="shared" si="180"/>
        <v>52.637305737522816</v>
      </c>
      <c r="O360">
        <f t="shared" si="180"/>
        <v>41.423723562959388</v>
      </c>
      <c r="P360">
        <f t="shared" si="180"/>
        <v>29.087850284701918</v>
      </c>
      <c r="Q360">
        <f t="shared" si="180"/>
        <v>45.222759922886588</v>
      </c>
      <c r="R360">
        <f t="shared" si="180"/>
        <v>34.585634959619689</v>
      </c>
      <c r="S360">
        <f t="shared" si="180"/>
        <v>30.864612924450359</v>
      </c>
      <c r="T360">
        <f t="shared" si="180"/>
        <v>71.176778422701574</v>
      </c>
      <c r="U360">
        <f t="shared" si="180"/>
        <v>105.44483732444886</v>
      </c>
      <c r="V360">
        <f t="shared" si="180"/>
        <v>32.2260367689465</v>
      </c>
      <c r="W360">
        <f t="shared" si="180"/>
        <v>29.957095374005512</v>
      </c>
      <c r="Y360" s="15">
        <f t="shared" si="169"/>
        <v>956.01144401476006</v>
      </c>
      <c r="Z360">
        <f t="shared" si="170"/>
        <v>-40.550372389161616</v>
      </c>
    </row>
    <row r="361" spans="1:26" x14ac:dyDescent="0.25">
      <c r="A361" t="s">
        <v>54</v>
      </c>
      <c r="D361">
        <f t="shared" ref="D361:W361" si="181">D13*D187</f>
        <v>102.01275458067039</v>
      </c>
      <c r="E361">
        <f t="shared" si="181"/>
        <v>128.1999600529291</v>
      </c>
      <c r="F361">
        <f t="shared" si="181"/>
        <v>99.611813529691958</v>
      </c>
      <c r="G361">
        <f t="shared" si="181"/>
        <v>87.905441175324896</v>
      </c>
      <c r="H361">
        <f t="shared" si="181"/>
        <v>77.074825258802662</v>
      </c>
      <c r="I361">
        <f t="shared" si="181"/>
        <v>86.023275562061698</v>
      </c>
      <c r="J361">
        <f t="shared" si="181"/>
        <v>43.949889518971517</v>
      </c>
      <c r="K361">
        <f t="shared" si="181"/>
        <v>33.982437966216523</v>
      </c>
      <c r="L361">
        <f t="shared" si="181"/>
        <v>32.187376029964867</v>
      </c>
      <c r="M361">
        <f t="shared" si="181"/>
        <v>31.800277647068246</v>
      </c>
      <c r="N361">
        <f t="shared" si="181"/>
        <v>14.30375542681802</v>
      </c>
      <c r="O361">
        <f t="shared" si="181"/>
        <v>15.808962316187577</v>
      </c>
      <c r="P361">
        <f t="shared" si="181"/>
        <v>14.213167681822165</v>
      </c>
      <c r="Q361">
        <f t="shared" si="181"/>
        <v>25.401478918572259</v>
      </c>
      <c r="R361">
        <f t="shared" si="181"/>
        <v>60.728033374701766</v>
      </c>
      <c r="S361">
        <f t="shared" si="181"/>
        <v>60.320794112962766</v>
      </c>
      <c r="T361">
        <f t="shared" si="181"/>
        <v>34.799659910934594</v>
      </c>
      <c r="U361">
        <f t="shared" si="181"/>
        <v>51.225284417651778</v>
      </c>
      <c r="V361">
        <f t="shared" si="181"/>
        <v>37.478410147958172</v>
      </c>
      <c r="W361">
        <f t="shared" si="181"/>
        <v>38.340154528830524</v>
      </c>
      <c r="Y361" s="15">
        <f t="shared" si="169"/>
        <v>1075.3677521581415</v>
      </c>
      <c r="Z361">
        <f t="shared" si="170"/>
        <v>-45.035817365750837</v>
      </c>
    </row>
    <row r="362" spans="1:26" x14ac:dyDescent="0.25">
      <c r="A362" t="s">
        <v>55</v>
      </c>
      <c r="D362">
        <f t="shared" ref="D362:W362" si="182">D14*D188</f>
        <v>72.32696894685256</v>
      </c>
      <c r="E362">
        <f t="shared" si="182"/>
        <v>61.397129469211528</v>
      </c>
      <c r="F362">
        <f t="shared" si="182"/>
        <v>98.591593503112989</v>
      </c>
      <c r="G362">
        <f t="shared" si="182"/>
        <v>63.449399732853479</v>
      </c>
      <c r="H362">
        <f t="shared" si="182"/>
        <v>47.472151497732177</v>
      </c>
      <c r="I362">
        <f t="shared" si="182"/>
        <v>54.981074816176324</v>
      </c>
      <c r="J362">
        <f t="shared" si="182"/>
        <v>31.250616985894435</v>
      </c>
      <c r="K362">
        <f t="shared" si="182"/>
        <v>18.44242033523858</v>
      </c>
      <c r="L362">
        <f t="shared" si="182"/>
        <v>39.768694160160699</v>
      </c>
      <c r="M362">
        <f t="shared" si="182"/>
        <v>12.67623448818218</v>
      </c>
      <c r="N362">
        <f t="shared" si="182"/>
        <v>38.985753212788246</v>
      </c>
      <c r="O362">
        <f t="shared" si="182"/>
        <v>18.361707036845079</v>
      </c>
      <c r="P362">
        <f t="shared" si="182"/>
        <v>18.654163932588013</v>
      </c>
      <c r="Q362">
        <f t="shared" si="182"/>
        <v>26.740797595574985</v>
      </c>
      <c r="R362">
        <f t="shared" si="182"/>
        <v>64.513140021982579</v>
      </c>
      <c r="S362">
        <f t="shared" si="182"/>
        <v>70.801461616117251</v>
      </c>
      <c r="T362">
        <f t="shared" si="182"/>
        <v>10.282707440010972</v>
      </c>
      <c r="U362">
        <f t="shared" si="182"/>
        <v>67.137805748655339</v>
      </c>
      <c r="V362">
        <f t="shared" si="182"/>
        <v>79.511738941703456</v>
      </c>
      <c r="W362">
        <f t="shared" si="182"/>
        <v>111.25861697028409</v>
      </c>
      <c r="Y362" s="15">
        <f t="shared" si="169"/>
        <v>1006.604176451965</v>
      </c>
      <c r="Z362">
        <f t="shared" si="170"/>
        <v>-38.968348635691143</v>
      </c>
    </row>
    <row r="363" spans="1:26" x14ac:dyDescent="0.25">
      <c r="A363" t="s">
        <v>56</v>
      </c>
      <c r="D363">
        <f t="shared" ref="D363:W363" si="183">D15*D189</f>
        <v>136.04318764359979</v>
      </c>
      <c r="E363">
        <f t="shared" si="183"/>
        <v>94.188571428571436</v>
      </c>
      <c r="F363">
        <f t="shared" si="183"/>
        <v>78.321428571428569</v>
      </c>
      <c r="G363">
        <f t="shared" si="183"/>
        <v>84.639999999999986</v>
      </c>
      <c r="H363">
        <f t="shared" si="183"/>
        <v>39.650496038860091</v>
      </c>
      <c r="I363">
        <f t="shared" si="183"/>
        <v>40.56148597066403</v>
      </c>
      <c r="J363">
        <f t="shared" si="183"/>
        <v>25.026465027610985</v>
      </c>
      <c r="K363">
        <f t="shared" si="183"/>
        <v>28.522425328545001</v>
      </c>
      <c r="L363">
        <f t="shared" si="183"/>
        <v>42.976129212049365</v>
      </c>
      <c r="M363">
        <f t="shared" si="183"/>
        <v>53.82864488762327</v>
      </c>
      <c r="N363">
        <f t="shared" si="183"/>
        <v>61.331234780331833</v>
      </c>
      <c r="O363">
        <f t="shared" si="183"/>
        <v>95.077551968567491</v>
      </c>
      <c r="P363">
        <f t="shared" si="183"/>
        <v>74.348974744161694</v>
      </c>
      <c r="Q363">
        <f t="shared" si="183"/>
        <v>78.174795746183378</v>
      </c>
      <c r="R363">
        <f t="shared" si="183"/>
        <v>96.950931326639363</v>
      </c>
      <c r="S363">
        <f t="shared" si="183"/>
        <v>101.34907430769498</v>
      </c>
      <c r="T363">
        <f t="shared" si="183"/>
        <v>110.16601368841414</v>
      </c>
      <c r="U363">
        <f t="shared" si="183"/>
        <v>107.21843092785441</v>
      </c>
      <c r="V363">
        <f t="shared" si="183"/>
        <v>98.421679100421329</v>
      </c>
      <c r="W363">
        <f t="shared" si="183"/>
        <v>138.54977447555672</v>
      </c>
      <c r="Y363" s="15">
        <f t="shared" si="169"/>
        <v>1585.3472951747776</v>
      </c>
      <c r="Z363">
        <f t="shared" si="170"/>
        <v>-50.016434958399898</v>
      </c>
    </row>
    <row r="364" spans="1:26" x14ac:dyDescent="0.25">
      <c r="A364" t="s">
        <v>57</v>
      </c>
      <c r="D364">
        <f t="shared" ref="D364:W364" si="184">D16*D190</f>
        <v>123.24081632653061</v>
      </c>
      <c r="E364">
        <f t="shared" si="184"/>
        <v>122.5257142857143</v>
      </c>
      <c r="F364">
        <f t="shared" si="184"/>
        <v>112.13877551020408</v>
      </c>
      <c r="G364">
        <f t="shared" si="184"/>
        <v>116.17346938775509</v>
      </c>
      <c r="H364">
        <f t="shared" si="184"/>
        <v>72.542208896483345</v>
      </c>
      <c r="I364">
        <f t="shared" si="184"/>
        <v>56.062374001654092</v>
      </c>
      <c r="J364">
        <f t="shared" si="184"/>
        <v>51.063640760043157</v>
      </c>
      <c r="K364">
        <f t="shared" si="184"/>
        <v>63.984041494391185</v>
      </c>
      <c r="L364">
        <f t="shared" si="184"/>
        <v>47.456732818140239</v>
      </c>
      <c r="M364">
        <f t="shared" si="184"/>
        <v>56.601417665561286</v>
      </c>
      <c r="N364">
        <f t="shared" si="184"/>
        <v>59.910940573519767</v>
      </c>
      <c r="O364">
        <f t="shared" si="184"/>
        <v>58.007247942498964</v>
      </c>
      <c r="P364">
        <f t="shared" si="184"/>
        <v>60.020249570040299</v>
      </c>
      <c r="Q364">
        <f t="shared" si="184"/>
        <v>82.154834453275527</v>
      </c>
      <c r="R364">
        <f t="shared" si="184"/>
        <v>53.680929055412371</v>
      </c>
      <c r="S364">
        <f t="shared" si="184"/>
        <v>65.394439604186701</v>
      </c>
      <c r="T364">
        <f t="shared" si="184"/>
        <v>75.463591582752443</v>
      </c>
      <c r="U364">
        <f t="shared" si="184"/>
        <v>70.41370509504803</v>
      </c>
      <c r="V364">
        <f t="shared" si="184"/>
        <v>73.120363299855327</v>
      </c>
      <c r="W364">
        <f t="shared" si="184"/>
        <v>101.45916775177773</v>
      </c>
      <c r="Y364" s="15">
        <f t="shared" si="169"/>
        <v>1521.414660074845</v>
      </c>
      <c r="Z364">
        <f t="shared" si="170"/>
        <v>-63.476618711072362</v>
      </c>
    </row>
    <row r="365" spans="1:26" x14ac:dyDescent="0.25">
      <c r="A365" t="s">
        <v>58</v>
      </c>
      <c r="D365">
        <f t="shared" ref="D365:W365" si="185">D17*D191</f>
        <v>130.91265306122449</v>
      </c>
      <c r="E365">
        <f t="shared" si="185"/>
        <v>127.1089795918367</v>
      </c>
      <c r="F365">
        <f t="shared" si="185"/>
        <v>84.948979591836732</v>
      </c>
      <c r="G365">
        <f t="shared" si="185"/>
        <v>66.3995918367347</v>
      </c>
      <c r="H365">
        <f t="shared" si="185"/>
        <v>74.12240003846911</v>
      </c>
      <c r="I365">
        <f t="shared" si="185"/>
        <v>50.695269173176193</v>
      </c>
      <c r="J365">
        <f t="shared" si="185"/>
        <v>55.036750764487515</v>
      </c>
      <c r="K365">
        <f t="shared" si="185"/>
        <v>66.560137861391127</v>
      </c>
      <c r="L365">
        <f t="shared" si="185"/>
        <v>47.845064934297376</v>
      </c>
      <c r="M365">
        <f t="shared" si="185"/>
        <v>91.33306932050138</v>
      </c>
      <c r="N365">
        <f t="shared" si="185"/>
        <v>91.683449609036558</v>
      </c>
      <c r="O365">
        <f t="shared" si="185"/>
        <v>92.84189243830015</v>
      </c>
      <c r="P365">
        <f t="shared" si="185"/>
        <v>60.852512554528211</v>
      </c>
      <c r="Q365">
        <f t="shared" si="185"/>
        <v>61.428324896657351</v>
      </c>
      <c r="R365">
        <f t="shared" si="185"/>
        <v>59.457390636292999</v>
      </c>
      <c r="S365">
        <f t="shared" si="185"/>
        <v>121.57433490783765</v>
      </c>
      <c r="T365">
        <f t="shared" si="185"/>
        <v>130.63496458856582</v>
      </c>
      <c r="U365">
        <f t="shared" si="185"/>
        <v>174.50810294522361</v>
      </c>
      <c r="V365">
        <f t="shared" si="185"/>
        <v>156.59672911926481</v>
      </c>
      <c r="W365">
        <f t="shared" si="185"/>
        <v>146.14454003503934</v>
      </c>
      <c r="Y365" s="15">
        <f t="shared" si="169"/>
        <v>1890.6851379047018</v>
      </c>
      <c r="Z365">
        <f t="shared" si="170"/>
        <v>-39.136281512957837</v>
      </c>
    </row>
    <row r="366" spans="1:26" x14ac:dyDescent="0.25">
      <c r="A366" t="s">
        <v>59</v>
      </c>
      <c r="D366">
        <f t="shared" ref="D366:W366" si="186">D18*D192</f>
        <v>100.24805077103593</v>
      </c>
      <c r="E366">
        <f t="shared" si="186"/>
        <v>101.17362203681633</v>
      </c>
      <c r="F366">
        <f t="shared" si="186"/>
        <v>98.67553582782196</v>
      </c>
      <c r="G366">
        <f t="shared" si="186"/>
        <v>135.35423929466987</v>
      </c>
      <c r="H366">
        <f t="shared" si="186"/>
        <v>133.55144856731192</v>
      </c>
      <c r="I366">
        <f t="shared" si="186"/>
        <v>214.05182406045148</v>
      </c>
      <c r="J366">
        <f t="shared" si="186"/>
        <v>154.43558557568241</v>
      </c>
      <c r="K366">
        <f t="shared" si="186"/>
        <v>113.33649304864198</v>
      </c>
      <c r="L366">
        <f t="shared" si="186"/>
        <v>1.6038623404553798</v>
      </c>
      <c r="M366">
        <f t="shared" si="186"/>
        <v>96.185432412955137</v>
      </c>
      <c r="N366">
        <f t="shared" si="186"/>
        <v>122.1975961746021</v>
      </c>
      <c r="O366">
        <f t="shared" si="186"/>
        <v>86.423092505474628</v>
      </c>
      <c r="P366">
        <f t="shared" si="186"/>
        <v>84.649599358172168</v>
      </c>
      <c r="Q366">
        <f t="shared" si="186"/>
        <v>85.954515868503421</v>
      </c>
      <c r="R366">
        <f t="shared" si="186"/>
        <v>95.481437103181463</v>
      </c>
      <c r="S366">
        <f t="shared" si="186"/>
        <v>93.128366544555959</v>
      </c>
      <c r="T366">
        <f t="shared" si="186"/>
        <v>86.616205154590688</v>
      </c>
      <c r="U366">
        <f t="shared" si="186"/>
        <v>86.748892775569573</v>
      </c>
      <c r="V366">
        <f t="shared" si="186"/>
        <v>85.765262014715788</v>
      </c>
      <c r="W366">
        <f t="shared" si="186"/>
        <v>81.898082930957173</v>
      </c>
      <c r="Y366" s="15">
        <f t="shared" si="169"/>
        <v>2057.4791443661657</v>
      </c>
      <c r="Z366">
        <f t="shared" si="170"/>
        <v>-61.501729071031392</v>
      </c>
    </row>
    <row r="367" spans="1:26" x14ac:dyDescent="0.25">
      <c r="A367" t="s">
        <v>60</v>
      </c>
      <c r="D367">
        <f t="shared" ref="D367:W367" si="187">D19*D193</f>
        <v>81.815556917702764</v>
      </c>
      <c r="E367">
        <f t="shared" si="187"/>
        <v>104.03188235313839</v>
      </c>
      <c r="F367">
        <f t="shared" si="187"/>
        <v>63.469262979600629</v>
      </c>
      <c r="G367">
        <f t="shared" si="187"/>
        <v>115.47947632127959</v>
      </c>
      <c r="H367">
        <f t="shared" si="187"/>
        <v>119.89930161323687</v>
      </c>
      <c r="I367">
        <f t="shared" si="187"/>
        <v>99.301615935923778</v>
      </c>
      <c r="J367">
        <f t="shared" si="187"/>
        <v>116.28898263756969</v>
      </c>
      <c r="K367">
        <f t="shared" si="187"/>
        <v>115.77036000189121</v>
      </c>
      <c r="L367">
        <f t="shared" si="187"/>
        <v>89.459640382038785</v>
      </c>
      <c r="M367">
        <f t="shared" si="187"/>
        <v>106.67545517659543</v>
      </c>
      <c r="N367">
        <f t="shared" si="187"/>
        <v>87.262499288100528</v>
      </c>
      <c r="O367">
        <f t="shared" si="187"/>
        <v>105.21563649934951</v>
      </c>
      <c r="P367">
        <f t="shared" si="187"/>
        <v>100.04143515052962</v>
      </c>
      <c r="Q367">
        <f t="shared" si="187"/>
        <v>96.318191938340945</v>
      </c>
      <c r="R367">
        <f t="shared" si="187"/>
        <v>104.82572841840101</v>
      </c>
      <c r="S367">
        <f t="shared" si="187"/>
        <v>100.59335629350862</v>
      </c>
      <c r="T367">
        <f t="shared" si="187"/>
        <v>87.44162748137623</v>
      </c>
      <c r="U367">
        <f t="shared" si="187"/>
        <v>87.830412713787865</v>
      </c>
      <c r="V367">
        <f t="shared" si="187"/>
        <v>104.97473999560071</v>
      </c>
      <c r="W367">
        <f t="shared" si="187"/>
        <v>89.253741681645593</v>
      </c>
      <c r="Y367" s="15">
        <f t="shared" si="169"/>
        <v>1975.9489037796175</v>
      </c>
      <c r="Z367">
        <f t="shared" si="170"/>
        <v>-53.705788532688473</v>
      </c>
    </row>
    <row r="368" spans="1:26" x14ac:dyDescent="0.25">
      <c r="A368" t="s">
        <v>61</v>
      </c>
      <c r="D368">
        <f t="shared" ref="D368:W368" si="188">D20*D194</f>
        <v>124.43790980652156</v>
      </c>
      <c r="E368">
        <f t="shared" si="188"/>
        <v>119.00871183573588</v>
      </c>
      <c r="F368">
        <f t="shared" si="188"/>
        <v>108.83015043972694</v>
      </c>
      <c r="G368">
        <f t="shared" si="188"/>
        <v>82.363516329300381</v>
      </c>
      <c r="H368">
        <f t="shared" si="188"/>
        <v>148.90422976340372</v>
      </c>
      <c r="I368">
        <f t="shared" si="188"/>
        <v>119.31964343869329</v>
      </c>
      <c r="J368">
        <f t="shared" si="188"/>
        <v>79.882121164234505</v>
      </c>
      <c r="K368">
        <f t="shared" si="188"/>
        <v>80.212564238684223</v>
      </c>
      <c r="L368">
        <f t="shared" si="188"/>
        <v>87.338783514083318</v>
      </c>
      <c r="M368">
        <f t="shared" si="188"/>
        <v>84.15425996276818</v>
      </c>
      <c r="N368">
        <f t="shared" si="188"/>
        <v>92.237591976002264</v>
      </c>
      <c r="O368">
        <f t="shared" si="188"/>
        <v>169.01374318284701</v>
      </c>
      <c r="P368">
        <f t="shared" si="188"/>
        <v>118.31787032613857</v>
      </c>
      <c r="Q368">
        <f t="shared" si="188"/>
        <v>95.461071178457644</v>
      </c>
      <c r="R368">
        <f t="shared" si="188"/>
        <v>107.0969630994629</v>
      </c>
      <c r="S368">
        <f t="shared" si="188"/>
        <v>107.65937173820853</v>
      </c>
      <c r="T368">
        <f t="shared" si="188"/>
        <v>82.301583736856188</v>
      </c>
      <c r="U368">
        <f t="shared" si="188"/>
        <v>103.93732092155845</v>
      </c>
      <c r="V368">
        <f t="shared" si="188"/>
        <v>91.289166403476329</v>
      </c>
      <c r="W368">
        <f t="shared" si="188"/>
        <v>110.83415641536918</v>
      </c>
      <c r="Y368" s="15">
        <f t="shared" si="169"/>
        <v>2112.6007294715291</v>
      </c>
      <c r="Z368">
        <f t="shared" si="170"/>
        <v>-43.884440575587888</v>
      </c>
    </row>
    <row r="369" spans="1:26" x14ac:dyDescent="0.25">
      <c r="A369" t="s">
        <v>62</v>
      </c>
      <c r="D369">
        <f t="shared" ref="D369:W369" si="189">D21*D195</f>
        <v>93.075209203741522</v>
      </c>
      <c r="E369">
        <f t="shared" si="189"/>
        <v>122.10854953277568</v>
      </c>
      <c r="F369">
        <f t="shared" si="189"/>
        <v>90.744899286704296</v>
      </c>
      <c r="G369">
        <f t="shared" si="189"/>
        <v>74.350995715795591</v>
      </c>
      <c r="H369">
        <f t="shared" si="189"/>
        <v>103.85920665555949</v>
      </c>
      <c r="I369">
        <f t="shared" si="189"/>
        <v>121.19864103294104</v>
      </c>
      <c r="J369">
        <f t="shared" si="189"/>
        <v>105.42861765455361</v>
      </c>
      <c r="K369">
        <f t="shared" si="189"/>
        <v>122.13074154700426</v>
      </c>
      <c r="L369">
        <f t="shared" si="189"/>
        <v>78.342751471603691</v>
      </c>
      <c r="M369">
        <f t="shared" si="189"/>
        <v>90.722834215273494</v>
      </c>
      <c r="N369">
        <f t="shared" si="189"/>
        <v>71.905170452622684</v>
      </c>
      <c r="O369">
        <f t="shared" si="189"/>
        <v>79.206023532640245</v>
      </c>
      <c r="P369">
        <f t="shared" si="189"/>
        <v>86.456333718030166</v>
      </c>
      <c r="Q369">
        <f t="shared" si="189"/>
        <v>107.07898724491348</v>
      </c>
      <c r="R369">
        <f t="shared" si="189"/>
        <v>68.068736223951149</v>
      </c>
      <c r="S369">
        <f t="shared" si="189"/>
        <v>88.332698975524167</v>
      </c>
      <c r="T369">
        <f t="shared" si="189"/>
        <v>77.750527273207396</v>
      </c>
      <c r="U369">
        <f t="shared" si="189"/>
        <v>92.582589078585798</v>
      </c>
      <c r="V369">
        <f t="shared" si="189"/>
        <v>91.692282448143956</v>
      </c>
      <c r="W369">
        <f t="shared" si="189"/>
        <v>91.259913709380982</v>
      </c>
      <c r="Y369" s="15">
        <f t="shared" si="169"/>
        <v>1856.2957089729528</v>
      </c>
      <c r="Z369">
        <f t="shared" si="170"/>
        <v>-51.450521350670222</v>
      </c>
    </row>
    <row r="370" spans="1:26" x14ac:dyDescent="0.25">
      <c r="Y370" s="15"/>
    </row>
    <row r="371" spans="1:26" x14ac:dyDescent="0.25">
      <c r="A371" t="s">
        <v>63</v>
      </c>
      <c r="D371">
        <f t="shared" ref="D371:W371" si="190">D23*D197</f>
        <v>93.930764088701963</v>
      </c>
      <c r="E371">
        <f t="shared" si="190"/>
        <v>73.501300582653258</v>
      </c>
      <c r="F371">
        <f t="shared" si="190"/>
        <v>88.60393287206638</v>
      </c>
      <c r="G371">
        <f t="shared" si="190"/>
        <v>57.980119829576253</v>
      </c>
      <c r="H371">
        <f t="shared" si="190"/>
        <v>70.685039955545633</v>
      </c>
      <c r="I371">
        <f t="shared" si="190"/>
        <v>81.595998394571865</v>
      </c>
      <c r="J371">
        <f t="shared" si="190"/>
        <v>61.818290147838404</v>
      </c>
      <c r="K371">
        <f t="shared" si="190"/>
        <v>74.720453731481797</v>
      </c>
      <c r="L371">
        <f t="shared" si="190"/>
        <v>52.59985365853592</v>
      </c>
      <c r="M371">
        <f t="shared" si="190"/>
        <v>55.965772591184447</v>
      </c>
      <c r="N371">
        <f t="shared" si="190"/>
        <v>59.326956859025287</v>
      </c>
      <c r="O371">
        <f t="shared" si="190"/>
        <v>72.148524018206331</v>
      </c>
      <c r="P371">
        <f t="shared" si="190"/>
        <v>52.530261624968787</v>
      </c>
      <c r="Q371">
        <f t="shared" si="190"/>
        <v>57.79930703074492</v>
      </c>
      <c r="R371">
        <f t="shared" si="190"/>
        <v>66.303671983611849</v>
      </c>
      <c r="S371">
        <f t="shared" si="190"/>
        <v>57.351075083277522</v>
      </c>
      <c r="T371">
        <f t="shared" si="190"/>
        <v>75.429947528285851</v>
      </c>
      <c r="U371">
        <f t="shared" si="190"/>
        <v>93.98018170229237</v>
      </c>
      <c r="V371">
        <f t="shared" si="190"/>
        <v>76.284474947690228</v>
      </c>
      <c r="W371">
        <f t="shared" si="190"/>
        <v>93.753888128088022</v>
      </c>
      <c r="Y371" s="15">
        <f t="shared" si="169"/>
        <v>1416.3098147583469</v>
      </c>
      <c r="Z371">
        <f>SUMPRODUCT($D$375:$S$375,D371:S371)</f>
        <v>-49.749208942845144</v>
      </c>
    </row>
    <row r="372" spans="1:26" x14ac:dyDescent="0.25">
      <c r="A372" t="s">
        <v>307</v>
      </c>
      <c r="D372">
        <f t="shared" ref="D372:W372" si="191">D24*D198</f>
        <v>141.72</v>
      </c>
      <c r="E372">
        <f t="shared" si="191"/>
        <v>79.485714285714295</v>
      </c>
      <c r="F372">
        <f t="shared" si="191"/>
        <v>94.954285714285717</v>
      </c>
      <c r="G372">
        <f t="shared" si="191"/>
        <v>77.420000000000016</v>
      </c>
      <c r="H372">
        <f t="shared" si="191"/>
        <v>127.17387755102041</v>
      </c>
      <c r="I372">
        <f t="shared" si="191"/>
        <v>105.12122448979588</v>
      </c>
      <c r="J372">
        <f t="shared" si="191"/>
        <v>71.040000000000006</v>
      </c>
      <c r="K372">
        <f t="shared" si="191"/>
        <v>93.451224489795933</v>
      </c>
      <c r="L372">
        <f t="shared" si="191"/>
        <v>48.896249999999995</v>
      </c>
      <c r="M372">
        <f t="shared" si="191"/>
        <v>67.260000000000005</v>
      </c>
      <c r="N372">
        <f t="shared" si="191"/>
        <v>86.652244897959179</v>
      </c>
      <c r="O372">
        <f t="shared" si="191"/>
        <v>73.878979591836753</v>
      </c>
      <c r="P372">
        <f t="shared" si="191"/>
        <v>84.8</v>
      </c>
      <c r="Q372">
        <f t="shared" si="191"/>
        <v>83.08</v>
      </c>
      <c r="R372">
        <f t="shared" si="191"/>
        <v>116.62000000000002</v>
      </c>
      <c r="S372">
        <f t="shared" si="191"/>
        <v>47.559999999999995</v>
      </c>
      <c r="T372">
        <f t="shared" si="191"/>
        <v>91.140000000000015</v>
      </c>
      <c r="U372">
        <f t="shared" si="191"/>
        <v>100.1</v>
      </c>
      <c r="V372">
        <f t="shared" si="191"/>
        <v>71.759999999999991</v>
      </c>
      <c r="W372">
        <f t="shared" si="191"/>
        <v>91.53</v>
      </c>
      <c r="Y372" s="15">
        <f t="shared" si="169"/>
        <v>1753.6438010204079</v>
      </c>
      <c r="Z372">
        <f>SUMPRODUCT($D$375:$S$375,D372:S372)</f>
        <v>-70.371039660249906</v>
      </c>
    </row>
    <row r="373" spans="1:26" x14ac:dyDescent="0.25">
      <c r="A373" t="s">
        <v>308</v>
      </c>
      <c r="D373">
        <f t="shared" ref="D373:W373" si="192">D25*D199</f>
        <v>82.268125534497472</v>
      </c>
      <c r="E373">
        <f t="shared" si="192"/>
        <v>93.84</v>
      </c>
      <c r="F373">
        <f t="shared" si="192"/>
        <v>69.891428571428591</v>
      </c>
      <c r="G373">
        <f t="shared" si="192"/>
        <v>75.411428571428573</v>
      </c>
      <c r="H373">
        <f t="shared" si="192"/>
        <v>101.37714285714287</v>
      </c>
      <c r="I373">
        <f t="shared" si="192"/>
        <v>100.74714285714288</v>
      </c>
      <c r="J373">
        <f t="shared" si="192"/>
        <v>69.47999999999999</v>
      </c>
      <c r="K373">
        <f t="shared" si="192"/>
        <v>86.687142857142859</v>
      </c>
      <c r="L373">
        <f t="shared" si="192"/>
        <v>101.9175</v>
      </c>
      <c r="M373">
        <f t="shared" si="192"/>
        <v>82.88</v>
      </c>
      <c r="N373">
        <f t="shared" si="192"/>
        <v>82.08</v>
      </c>
      <c r="O373">
        <f t="shared" si="192"/>
        <v>84.46</v>
      </c>
      <c r="P373">
        <f t="shared" si="192"/>
        <v>76.326649245124315</v>
      </c>
      <c r="Q373">
        <f t="shared" si="192"/>
        <v>81.702135440344264</v>
      </c>
      <c r="R373">
        <f t="shared" si="192"/>
        <v>78.879908299108209</v>
      </c>
      <c r="S373">
        <f t="shared" si="192"/>
        <v>94.935727118708996</v>
      </c>
      <c r="T373">
        <f t="shared" si="192"/>
        <v>94.800390423501952</v>
      </c>
      <c r="U373">
        <f t="shared" si="192"/>
        <v>104.16041596094193</v>
      </c>
      <c r="V373">
        <f t="shared" si="192"/>
        <v>107.07781004043842</v>
      </c>
      <c r="W373">
        <f t="shared" si="192"/>
        <v>109.26362789382792</v>
      </c>
      <c r="Y373" s="15">
        <f t="shared" si="169"/>
        <v>1778.1865756707796</v>
      </c>
      <c r="Z373">
        <f>SUMPRODUCT($D$375:$S$375,D373:S373)</f>
        <v>-42.883001426733038</v>
      </c>
    </row>
    <row r="374" spans="1:26" x14ac:dyDescent="0.25">
      <c r="A374" t="s">
        <v>670</v>
      </c>
      <c r="D374">
        <f t="shared" ref="D374:W374" si="193">D26*D200</f>
        <v>119.64678410688391</v>
      </c>
      <c r="E374">
        <f t="shared" si="193"/>
        <v>130.5301936359937</v>
      </c>
      <c r="F374">
        <f t="shared" si="193"/>
        <v>107.75756611568741</v>
      </c>
      <c r="G374">
        <f t="shared" si="193"/>
        <v>106.90160918121357</v>
      </c>
      <c r="H374">
        <f t="shared" si="193"/>
        <v>103.36097766181621</v>
      </c>
      <c r="I374">
        <f t="shared" si="193"/>
        <v>92.606811268761106</v>
      </c>
      <c r="J374">
        <f t="shared" si="193"/>
        <v>75.976556084240656</v>
      </c>
      <c r="K374">
        <f t="shared" si="193"/>
        <v>70.346066507523119</v>
      </c>
      <c r="L374">
        <f t="shared" si="193"/>
        <v>60.845942847099494</v>
      </c>
      <c r="M374">
        <f t="shared" si="193"/>
        <v>91.299089571689393</v>
      </c>
      <c r="N374">
        <f t="shared" si="193"/>
        <v>93.130505719820277</v>
      </c>
      <c r="O374">
        <f t="shared" si="193"/>
        <v>102.1399782327812</v>
      </c>
      <c r="P374">
        <f t="shared" si="193"/>
        <v>59.110488146173473</v>
      </c>
      <c r="Q374">
        <f t="shared" si="193"/>
        <v>68.002695695556454</v>
      </c>
      <c r="R374">
        <f t="shared" si="193"/>
        <v>83.614434422454465</v>
      </c>
      <c r="S374">
        <f t="shared" si="193"/>
        <v>93.89289602823132</v>
      </c>
      <c r="T374">
        <f t="shared" si="193"/>
        <v>76.450174312067801</v>
      </c>
      <c r="U374">
        <f t="shared" si="193"/>
        <v>85.335000313951298</v>
      </c>
      <c r="V374">
        <f t="shared" si="193"/>
        <v>78.563180721667266</v>
      </c>
      <c r="W374">
        <f t="shared" si="193"/>
        <v>93.510210777195852</v>
      </c>
      <c r="Y374" s="15">
        <f t="shared" ref="Y374" si="194">SUM(D374:W374)</f>
        <v>1793.0211613508079</v>
      </c>
      <c r="Z374">
        <f>SUMPRODUCT($D$375:$S$375,D374:S374)</f>
        <v>-55.363262826333624</v>
      </c>
    </row>
    <row r="375" spans="1:26" x14ac:dyDescent="0.25">
      <c r="A375" s="2" t="s">
        <v>64</v>
      </c>
      <c r="D375" s="3">
        <f>CORREL($B$2:$B$21,D350:D369)</f>
        <v>-0.36284146655177107</v>
      </c>
      <c r="E375" s="3">
        <f t="shared" ref="E375:W375" si="195">CORREL($B$2:$B$21,E350:E369)</f>
        <v>0.17306936406654994</v>
      </c>
      <c r="F375" s="3">
        <f t="shared" si="195"/>
        <v>-0.15227732371991134</v>
      </c>
      <c r="G375" s="3">
        <f t="shared" si="195"/>
        <v>-0.19243686302914567</v>
      </c>
      <c r="H375" s="3">
        <f t="shared" si="195"/>
        <v>0.13027668858848682</v>
      </c>
      <c r="I375" s="3">
        <f t="shared" si="195"/>
        <v>8.5055190328801149E-3</v>
      </c>
      <c r="J375" s="3">
        <f t="shared" si="195"/>
        <v>-0.21418786240312054</v>
      </c>
      <c r="K375" s="3">
        <f t="shared" si="195"/>
        <v>-7.3750030066544684E-3</v>
      </c>
      <c r="L375" s="3">
        <f t="shared" si="195"/>
        <v>-0.17431857043825119</v>
      </c>
      <c r="M375" s="3">
        <f t="shared" si="195"/>
        <v>-9.573996403956507E-2</v>
      </c>
      <c r="N375" s="3">
        <f t="shared" si="195"/>
        <v>1.7056591510430829E-2</v>
      </c>
      <c r="O375" s="3">
        <f t="shared" si="195"/>
        <v>9.6633353941022335E-2</v>
      </c>
      <c r="P375" s="3">
        <f t="shared" si="195"/>
        <v>5.807221983101072E-2</v>
      </c>
      <c r="Q375" s="3">
        <f t="shared" si="195"/>
        <v>-6.7512209829421882E-2</v>
      </c>
      <c r="R375" s="3">
        <f t="shared" si="195"/>
        <v>-6.7041679085944994E-2</v>
      </c>
      <c r="S375" s="3">
        <f t="shared" si="195"/>
        <v>0.20908291848398103</v>
      </c>
      <c r="T375" s="3">
        <f t="shared" si="195"/>
        <v>2.0240704257579057E-2</v>
      </c>
      <c r="U375" s="3">
        <f t="shared" si="195"/>
        <v>0.15712088083239861</v>
      </c>
      <c r="V375" s="3">
        <f t="shared" si="195"/>
        <v>1.4600928684627297E-2</v>
      </c>
      <c r="W375" s="3">
        <f t="shared" si="195"/>
        <v>-5.5976962841900089E-2</v>
      </c>
    </row>
    <row r="378" spans="1:26" x14ac:dyDescent="0.25">
      <c r="D378" t="s">
        <v>153</v>
      </c>
      <c r="E378" t="s">
        <v>154</v>
      </c>
      <c r="F378" t="s">
        <v>155</v>
      </c>
      <c r="G378" t="s">
        <v>156</v>
      </c>
      <c r="H378" t="s">
        <v>157</v>
      </c>
      <c r="I378" t="s">
        <v>158</v>
      </c>
      <c r="J378" t="s">
        <v>159</v>
      </c>
      <c r="K378" t="s">
        <v>160</v>
      </c>
      <c r="L378" t="s">
        <v>346</v>
      </c>
      <c r="M378" t="s">
        <v>400</v>
      </c>
      <c r="N378" t="s">
        <v>401</v>
      </c>
      <c r="O378" t="s">
        <v>402</v>
      </c>
      <c r="P378" t="s">
        <v>498</v>
      </c>
      <c r="Q378" t="s">
        <v>499</v>
      </c>
      <c r="R378" t="s">
        <v>500</v>
      </c>
      <c r="S378" t="s">
        <v>501</v>
      </c>
      <c r="T378" t="s">
        <v>610</v>
      </c>
      <c r="U378" t="s">
        <v>611</v>
      </c>
      <c r="V378" t="s">
        <v>612</v>
      </c>
      <c r="W378" t="s">
        <v>613</v>
      </c>
      <c r="Y378" t="s">
        <v>161</v>
      </c>
      <c r="Z378" t="s">
        <v>162</v>
      </c>
    </row>
    <row r="379" spans="1:26" x14ac:dyDescent="0.25">
      <c r="A379" t="s">
        <v>43</v>
      </c>
      <c r="D379">
        <f t="shared" ref="D379:W379" si="196">D31*D60</f>
        <v>553</v>
      </c>
      <c r="E379">
        <f t="shared" si="196"/>
        <v>492.57081632653063</v>
      </c>
      <c r="F379">
        <f t="shared" si="196"/>
        <v>524.77551020408168</v>
      </c>
      <c r="G379">
        <f t="shared" si="196"/>
        <v>500.25000000000006</v>
      </c>
      <c r="H379">
        <f t="shared" si="196"/>
        <v>399.81507936507938</v>
      </c>
      <c r="I379">
        <f t="shared" si="196"/>
        <v>352.05612244897964</v>
      </c>
      <c r="J379">
        <f t="shared" si="196"/>
        <v>332.83061224489796</v>
      </c>
      <c r="K379">
        <f t="shared" si="196"/>
        <v>429.88174603174599</v>
      </c>
      <c r="L379">
        <f t="shared" si="196"/>
        <v>336.991975308642</v>
      </c>
      <c r="M379">
        <f t="shared" si="196"/>
        <v>385.96785714285721</v>
      </c>
      <c r="N379">
        <f t="shared" si="196"/>
        <v>364.84183673469386</v>
      </c>
      <c r="O379">
        <f t="shared" si="196"/>
        <v>313.96428571428572</v>
      </c>
      <c r="P379">
        <f t="shared" si="196"/>
        <v>364.68367346938771</v>
      </c>
      <c r="Q379">
        <f t="shared" si="196"/>
        <v>396.86734693877548</v>
      </c>
      <c r="R379">
        <f t="shared" si="196"/>
        <v>454.69897959183669</v>
      </c>
      <c r="S379">
        <f t="shared" si="196"/>
        <v>581.18367346938783</v>
      </c>
      <c r="T379">
        <f t="shared" si="196"/>
        <v>339.85714285714283</v>
      </c>
      <c r="U379">
        <f t="shared" si="196"/>
        <v>474.61224489795916</v>
      </c>
      <c r="V379">
        <f t="shared" si="196"/>
        <v>721.9591836734694</v>
      </c>
      <c r="W379">
        <f t="shared" si="196"/>
        <v>692.7091836734694</v>
      </c>
      <c r="Y379" s="15">
        <f t="shared" ref="Y379:Y402" si="197">SUM(D379:W379)</f>
        <v>9013.5172700932235</v>
      </c>
      <c r="Z379">
        <f t="shared" ref="Z379:Z398" si="198">SUMPRODUCT($D$404:$S$404,D379:S379)</f>
        <v>1965.8745267559439</v>
      </c>
    </row>
    <row r="380" spans="1:26" x14ac:dyDescent="0.25">
      <c r="A380" t="s">
        <v>44</v>
      </c>
      <c r="D380">
        <f t="shared" ref="D380:W380" si="199">D32*D61</f>
        <v>673.52326530612254</v>
      </c>
      <c r="E380">
        <f t="shared" si="199"/>
        <v>565.56408163265314</v>
      </c>
      <c r="F380">
        <f t="shared" si="199"/>
        <v>347.98408163265299</v>
      </c>
      <c r="G380">
        <f t="shared" si="199"/>
        <v>446.81877551020409</v>
      </c>
      <c r="H380">
        <f t="shared" si="199"/>
        <v>450.70091609977322</v>
      </c>
      <c r="I380">
        <f t="shared" si="199"/>
        <v>427.56311111111108</v>
      </c>
      <c r="J380">
        <f t="shared" si="199"/>
        <v>371.96194444444444</v>
      </c>
      <c r="K380">
        <f t="shared" si="199"/>
        <v>455.24154761904771</v>
      </c>
      <c r="L380">
        <f t="shared" si="199"/>
        <v>336.44811287477955</v>
      </c>
      <c r="M380">
        <f t="shared" si="199"/>
        <v>358.84765306122455</v>
      </c>
      <c r="N380">
        <f t="shared" si="199"/>
        <v>381.40877551020407</v>
      </c>
      <c r="O380">
        <f t="shared" si="199"/>
        <v>330.98877551020411</v>
      </c>
      <c r="P380">
        <f t="shared" si="199"/>
        <v>367.34352040816327</v>
      </c>
      <c r="Q380">
        <f t="shared" si="199"/>
        <v>382.8578571428572</v>
      </c>
      <c r="R380">
        <f t="shared" si="199"/>
        <v>345.23979591836735</v>
      </c>
      <c r="S380">
        <f t="shared" si="199"/>
        <v>427.90969387755104</v>
      </c>
      <c r="T380">
        <f t="shared" si="199"/>
        <v>473.62627551020404</v>
      </c>
      <c r="U380">
        <f t="shared" si="199"/>
        <v>547.35</v>
      </c>
      <c r="V380">
        <f t="shared" si="199"/>
        <v>597.8779591836734</v>
      </c>
      <c r="W380">
        <f t="shared" si="199"/>
        <v>660.24205102040821</v>
      </c>
      <c r="Y380" s="15">
        <f t="shared" si="197"/>
        <v>8949.4981933736453</v>
      </c>
      <c r="Z380">
        <f t="shared" si="198"/>
        <v>2054.8146791423305</v>
      </c>
    </row>
    <row r="381" spans="1:26" x14ac:dyDescent="0.25">
      <c r="A381" t="s">
        <v>45</v>
      </c>
      <c r="D381">
        <f t="shared" ref="D381:W381" si="200">D33*D62</f>
        <v>649.07265306122451</v>
      </c>
      <c r="E381">
        <f t="shared" si="200"/>
        <v>634.38918367346946</v>
      </c>
      <c r="F381">
        <f t="shared" si="200"/>
        <v>571.45795918367355</v>
      </c>
      <c r="G381">
        <f t="shared" si="200"/>
        <v>449.17306122448969</v>
      </c>
      <c r="H381">
        <f t="shared" si="200"/>
        <v>460.49523809523811</v>
      </c>
      <c r="I381">
        <f t="shared" si="200"/>
        <v>416.92857142857139</v>
      </c>
      <c r="J381">
        <f t="shared" si="200"/>
        <v>331.02040816326536</v>
      </c>
      <c r="K381">
        <f t="shared" si="200"/>
        <v>409.84693877551018</v>
      </c>
      <c r="L381">
        <f t="shared" si="200"/>
        <v>281.80658436213992</v>
      </c>
      <c r="M381">
        <f t="shared" si="200"/>
        <v>305.43131632653063</v>
      </c>
      <c r="N381">
        <f t="shared" si="200"/>
        <v>338.86802040816326</v>
      </c>
      <c r="O381">
        <f t="shared" si="200"/>
        <v>377.11585714285718</v>
      </c>
      <c r="P381">
        <f t="shared" si="200"/>
        <v>331.92727551020408</v>
      </c>
      <c r="Q381">
        <f t="shared" si="200"/>
        <v>339.70321428571435</v>
      </c>
      <c r="R381">
        <f t="shared" si="200"/>
        <v>349.84322448979594</v>
      </c>
      <c r="S381">
        <f t="shared" si="200"/>
        <v>440.29126530612245</v>
      </c>
      <c r="T381">
        <f t="shared" si="200"/>
        <v>509.47763265306116</v>
      </c>
      <c r="U381">
        <f t="shared" si="200"/>
        <v>568.22204081632663</v>
      </c>
      <c r="V381">
        <f t="shared" si="200"/>
        <v>509.67602040816331</v>
      </c>
      <c r="W381">
        <f t="shared" si="200"/>
        <v>620.91836734693879</v>
      </c>
      <c r="Y381" s="15">
        <f t="shared" si="197"/>
        <v>8895.6648326614595</v>
      </c>
      <c r="Z381">
        <f t="shared" si="198"/>
        <v>2180.2728146203449</v>
      </c>
    </row>
    <row r="382" spans="1:26" x14ac:dyDescent="0.25">
      <c r="A382" t="s">
        <v>46</v>
      </c>
      <c r="D382">
        <f t="shared" ref="D382:W382" si="201">D34*D63</f>
        <v>580.67857142857156</v>
      </c>
      <c r="E382">
        <f t="shared" si="201"/>
        <v>501.45632653061233</v>
      </c>
      <c r="F382">
        <f t="shared" si="201"/>
        <v>391.37857142857138</v>
      </c>
      <c r="G382">
        <f t="shared" si="201"/>
        <v>387.80816326530623</v>
      </c>
      <c r="H382">
        <f t="shared" si="201"/>
        <v>270.36734693877554</v>
      </c>
      <c r="I382">
        <f t="shared" si="201"/>
        <v>320.92346938775506</v>
      </c>
      <c r="J382">
        <f t="shared" si="201"/>
        <v>340.45285714285711</v>
      </c>
      <c r="K382">
        <f t="shared" si="201"/>
        <v>396.08081632653062</v>
      </c>
      <c r="L382">
        <f t="shared" si="201"/>
        <v>279.0874074074074</v>
      </c>
      <c r="M382">
        <f t="shared" si="201"/>
        <v>310.51428571428573</v>
      </c>
      <c r="N382">
        <f t="shared" si="201"/>
        <v>301.42204081632656</v>
      </c>
      <c r="O382">
        <f t="shared" si="201"/>
        <v>235.17551020408166</v>
      </c>
      <c r="P382">
        <f t="shared" si="201"/>
        <v>271.05795918367352</v>
      </c>
      <c r="Q382">
        <f t="shared" si="201"/>
        <v>326.09551020408156</v>
      </c>
      <c r="R382">
        <f t="shared" si="201"/>
        <v>401.33387755102041</v>
      </c>
      <c r="S382">
        <f t="shared" si="201"/>
        <v>381.10530612244889</v>
      </c>
      <c r="T382">
        <f t="shared" si="201"/>
        <v>389.79387755102039</v>
      </c>
      <c r="U382">
        <f t="shared" si="201"/>
        <v>549.87244897959192</v>
      </c>
      <c r="V382">
        <f t="shared" si="201"/>
        <v>488.76979591836732</v>
      </c>
      <c r="W382">
        <f t="shared" si="201"/>
        <v>717.64244897959179</v>
      </c>
      <c r="Y382" s="15">
        <f t="shared" si="197"/>
        <v>7841.0165910808764</v>
      </c>
      <c r="Z382">
        <f t="shared" si="198"/>
        <v>1721.5471782522641</v>
      </c>
    </row>
    <row r="383" spans="1:26" x14ac:dyDescent="0.25">
      <c r="A383" t="s">
        <v>47</v>
      </c>
      <c r="D383">
        <f t="shared" ref="D383:W383" si="202">D35*D64</f>
        <v>650.88775510204096</v>
      </c>
      <c r="E383">
        <f t="shared" si="202"/>
        <v>572.86836734693884</v>
      </c>
      <c r="F383">
        <f t="shared" si="202"/>
        <v>511.97142857142859</v>
      </c>
      <c r="G383">
        <f t="shared" si="202"/>
        <v>448.69897959183675</v>
      </c>
      <c r="H383">
        <f t="shared" si="202"/>
        <v>460.96714285714285</v>
      </c>
      <c r="I383">
        <f t="shared" si="202"/>
        <v>406.84857142857135</v>
      </c>
      <c r="J383">
        <f t="shared" si="202"/>
        <v>327.10224489795917</v>
      </c>
      <c r="K383">
        <f t="shared" si="202"/>
        <v>476.74448979591841</v>
      </c>
      <c r="L383">
        <f t="shared" si="202"/>
        <v>436.31703703703704</v>
      </c>
      <c r="M383">
        <f t="shared" si="202"/>
        <v>400.0463265306123</v>
      </c>
      <c r="N383">
        <f t="shared" si="202"/>
        <v>345.4661224489796</v>
      </c>
      <c r="O383">
        <f t="shared" si="202"/>
        <v>316.86612244897958</v>
      </c>
      <c r="P383">
        <f t="shared" si="202"/>
        <v>318.52653061224493</v>
      </c>
      <c r="Q383">
        <f t="shared" si="202"/>
        <v>343.68142857142851</v>
      </c>
      <c r="R383">
        <f t="shared" si="202"/>
        <v>329.61795918367341</v>
      </c>
      <c r="S383">
        <f t="shared" si="202"/>
        <v>389.28163265306125</v>
      </c>
      <c r="T383">
        <f t="shared" si="202"/>
        <v>451.43306122448985</v>
      </c>
      <c r="U383">
        <f t="shared" si="202"/>
        <v>526.09632653061237</v>
      </c>
      <c r="V383">
        <f t="shared" si="202"/>
        <v>600.72510204081641</v>
      </c>
      <c r="W383">
        <f t="shared" si="202"/>
        <v>677.38163265306116</v>
      </c>
      <c r="Y383" s="15">
        <f t="shared" si="197"/>
        <v>8991.5282615268334</v>
      </c>
      <c r="Z383">
        <f t="shared" si="198"/>
        <v>2179.224558538855</v>
      </c>
    </row>
    <row r="384" spans="1:26" x14ac:dyDescent="0.25">
      <c r="A384" t="s">
        <v>48</v>
      </c>
      <c r="D384">
        <f t="shared" ref="D384:W384" si="203">D36*D65</f>
        <v>856.0857142857144</v>
      </c>
      <c r="E384">
        <f t="shared" si="203"/>
        <v>731.7812244897957</v>
      </c>
      <c r="F384">
        <f t="shared" si="203"/>
        <v>630.56571428571431</v>
      </c>
      <c r="G384">
        <f t="shared" si="203"/>
        <v>636.83265306122451</v>
      </c>
      <c r="H384">
        <f t="shared" si="203"/>
        <v>528.88510204081626</v>
      </c>
      <c r="I384">
        <f t="shared" si="203"/>
        <v>467.51020408163259</v>
      </c>
      <c r="J384">
        <f t="shared" si="203"/>
        <v>360.03122448979599</v>
      </c>
      <c r="K384">
        <f t="shared" si="203"/>
        <v>410.26938775510212</v>
      </c>
      <c r="L384">
        <f t="shared" si="203"/>
        <v>301.78975308641975</v>
      </c>
      <c r="M384">
        <f t="shared" si="203"/>
        <v>426.1108163265306</v>
      </c>
      <c r="N384">
        <f t="shared" si="203"/>
        <v>449.97326530612236</v>
      </c>
      <c r="O384">
        <f t="shared" si="203"/>
        <v>265.33122448979589</v>
      </c>
      <c r="P384">
        <f t="shared" si="203"/>
        <v>287.13061224489797</v>
      </c>
      <c r="Q384">
        <f t="shared" si="203"/>
        <v>471.02040816326536</v>
      </c>
      <c r="R384">
        <f t="shared" si="203"/>
        <v>387.38979591836738</v>
      </c>
      <c r="S384">
        <f t="shared" si="203"/>
        <v>512.66163265306125</v>
      </c>
      <c r="T384">
        <f t="shared" si="203"/>
        <v>429.57428571428562</v>
      </c>
      <c r="U384">
        <f t="shared" si="203"/>
        <v>412.3224489795918</v>
      </c>
      <c r="V384">
        <f t="shared" si="203"/>
        <v>668.5200000000001</v>
      </c>
      <c r="W384">
        <f t="shared" si="203"/>
        <v>639.69183673469388</v>
      </c>
      <c r="Y384" s="15">
        <f t="shared" si="197"/>
        <v>9873.4773041068274</v>
      </c>
      <c r="Z384">
        <f t="shared" si="198"/>
        <v>2713.3185824868806</v>
      </c>
    </row>
    <row r="385" spans="1:26" x14ac:dyDescent="0.25">
      <c r="A385" t="s">
        <v>49</v>
      </c>
      <c r="D385">
        <f t="shared" ref="D385:W385" si="204">D37*D66</f>
        <v>708.34367346938768</v>
      </c>
      <c r="E385">
        <f t="shared" si="204"/>
        <v>693.21836734693886</v>
      </c>
      <c r="F385">
        <f t="shared" si="204"/>
        <v>525.24489795918362</v>
      </c>
      <c r="G385">
        <f t="shared" si="204"/>
        <v>471.02755102040805</v>
      </c>
      <c r="H385">
        <f t="shared" si="204"/>
        <v>377.14285714285717</v>
      </c>
      <c r="I385">
        <f t="shared" si="204"/>
        <v>335.1110204081632</v>
      </c>
      <c r="J385">
        <f t="shared" si="204"/>
        <v>365.04489795918369</v>
      </c>
      <c r="K385">
        <f t="shared" si="204"/>
        <v>319.05000000000007</v>
      </c>
      <c r="L385">
        <f t="shared" si="204"/>
        <v>194.05555555555554</v>
      </c>
      <c r="M385">
        <f t="shared" si="204"/>
        <v>282.16326530612247</v>
      </c>
      <c r="N385">
        <f t="shared" si="204"/>
        <v>321.21857142857135</v>
      </c>
      <c r="O385">
        <f t="shared" si="204"/>
        <v>379.35918367346932</v>
      </c>
      <c r="P385">
        <f t="shared" si="204"/>
        <v>347.46530612244896</v>
      </c>
      <c r="Q385">
        <f t="shared" si="204"/>
        <v>323.07428571428574</v>
      </c>
      <c r="R385">
        <f t="shared" si="204"/>
        <v>413.48571428571432</v>
      </c>
      <c r="S385">
        <f t="shared" si="204"/>
        <v>591.79183673469379</v>
      </c>
      <c r="T385">
        <f t="shared" si="204"/>
        <v>600.26408163265319</v>
      </c>
      <c r="U385">
        <f t="shared" si="204"/>
        <v>703.24285714285725</v>
      </c>
      <c r="V385">
        <f t="shared" si="204"/>
        <v>665.01428571428562</v>
      </c>
      <c r="W385">
        <f t="shared" si="204"/>
        <v>616.32857142857131</v>
      </c>
      <c r="Y385" s="15">
        <f t="shared" si="197"/>
        <v>9231.6467800453538</v>
      </c>
      <c r="Z385">
        <f t="shared" si="198"/>
        <v>2097.241651486243</v>
      </c>
    </row>
    <row r="386" spans="1:26" x14ac:dyDescent="0.25">
      <c r="A386" t="s">
        <v>50</v>
      </c>
      <c r="D386">
        <f t="shared" ref="D386:W386" si="205">D38*D67</f>
        <v>657.27020408163264</v>
      </c>
      <c r="E386">
        <f t="shared" si="205"/>
        <v>563.8022448979591</v>
      </c>
      <c r="F386">
        <f t="shared" si="205"/>
        <v>499.31428571428569</v>
      </c>
      <c r="G386">
        <f t="shared" si="205"/>
        <v>477.13285714285718</v>
      </c>
      <c r="H386">
        <f t="shared" si="205"/>
        <v>442.79232653061223</v>
      </c>
      <c r="I386">
        <f t="shared" si="205"/>
        <v>399.95265306122451</v>
      </c>
      <c r="J386">
        <f t="shared" si="205"/>
        <v>349.29489795918369</v>
      </c>
      <c r="K386">
        <f t="shared" si="205"/>
        <v>323.60204081632656</v>
      </c>
      <c r="L386">
        <f t="shared" si="205"/>
        <v>270.13308641975311</v>
      </c>
      <c r="M386">
        <f t="shared" si="205"/>
        <v>323.73387755102044</v>
      </c>
      <c r="N386">
        <f t="shared" si="205"/>
        <v>353.1314285714285</v>
      </c>
      <c r="O386">
        <f t="shared" si="205"/>
        <v>344.74489795918367</v>
      </c>
      <c r="P386">
        <f t="shared" si="205"/>
        <v>426.64285714285717</v>
      </c>
      <c r="Q386">
        <f t="shared" si="205"/>
        <v>399.94448979591834</v>
      </c>
      <c r="R386">
        <f t="shared" si="205"/>
        <v>354.55836734693878</v>
      </c>
      <c r="S386">
        <f t="shared" si="205"/>
        <v>382.01632653061222</v>
      </c>
      <c r="T386">
        <f t="shared" si="205"/>
        <v>500.32653061224494</v>
      </c>
      <c r="U386">
        <f t="shared" si="205"/>
        <v>504.5542857142857</v>
      </c>
      <c r="V386">
        <f t="shared" si="205"/>
        <v>513.96428571428567</v>
      </c>
      <c r="W386">
        <f t="shared" si="205"/>
        <v>590.22183673469397</v>
      </c>
      <c r="Y386" s="15">
        <f t="shared" si="197"/>
        <v>8677.133780297303</v>
      </c>
      <c r="Z386">
        <f t="shared" si="198"/>
        <v>2131.5322669255806</v>
      </c>
    </row>
    <row r="387" spans="1:26" x14ac:dyDescent="0.25">
      <c r="A387" t="s">
        <v>51</v>
      </c>
      <c r="D387">
        <f t="shared" ref="D387:W387" si="206">D39*D68</f>
        <v>670.88897959183657</v>
      </c>
      <c r="E387">
        <f t="shared" si="206"/>
        <v>645.89755102040817</v>
      </c>
      <c r="F387">
        <f t="shared" si="206"/>
        <v>662.49999999999977</v>
      </c>
      <c r="G387">
        <f t="shared" si="206"/>
        <v>646.18163265306134</v>
      </c>
      <c r="H387">
        <f t="shared" si="206"/>
        <v>481.73877551020411</v>
      </c>
      <c r="I387">
        <f t="shared" si="206"/>
        <v>312.65292517006804</v>
      </c>
      <c r="J387">
        <f t="shared" si="206"/>
        <v>333.18299319727896</v>
      </c>
      <c r="K387">
        <f t="shared" si="206"/>
        <v>358.19496598639455</v>
      </c>
      <c r="L387">
        <f t="shared" si="206"/>
        <v>308.81650793650795</v>
      </c>
      <c r="M387">
        <f t="shared" si="206"/>
        <v>314.48061224489794</v>
      </c>
      <c r="N387">
        <f t="shared" si="206"/>
        <v>344.16571428571427</v>
      </c>
      <c r="O387">
        <f t="shared" si="206"/>
        <v>430.85714285714289</v>
      </c>
      <c r="P387">
        <f t="shared" si="206"/>
        <v>304.03102040816327</v>
      </c>
      <c r="Q387">
        <f t="shared" si="206"/>
        <v>348.20857142857142</v>
      </c>
      <c r="R387">
        <f t="shared" si="206"/>
        <v>284.43244897959181</v>
      </c>
      <c r="S387">
        <f t="shared" si="206"/>
        <v>360.90346938775514</v>
      </c>
      <c r="T387">
        <f t="shared" si="206"/>
        <v>450.19775510204079</v>
      </c>
      <c r="U387">
        <f t="shared" si="206"/>
        <v>535.46040816326524</v>
      </c>
      <c r="V387">
        <f t="shared" si="206"/>
        <v>530.98632653061225</v>
      </c>
      <c r="W387">
        <f t="shared" si="206"/>
        <v>700.97877551020406</v>
      </c>
      <c r="Y387" s="15">
        <f t="shared" si="197"/>
        <v>9024.7565759637182</v>
      </c>
      <c r="Z387">
        <f t="shared" si="198"/>
        <v>2378.2148778670512</v>
      </c>
    </row>
    <row r="388" spans="1:26" x14ac:dyDescent="0.25">
      <c r="A388" t="s">
        <v>52</v>
      </c>
      <c r="D388">
        <f t="shared" ref="D388:W388" si="207">D40*D69</f>
        <v>716.50163265306128</v>
      </c>
      <c r="E388">
        <f t="shared" si="207"/>
        <v>642.34285714285727</v>
      </c>
      <c r="F388">
        <f t="shared" si="207"/>
        <v>551.81122448979602</v>
      </c>
      <c r="G388">
        <f t="shared" si="207"/>
        <v>522.12244897959192</v>
      </c>
      <c r="H388">
        <f t="shared" si="207"/>
        <v>366.09795918367348</v>
      </c>
      <c r="I388">
        <f t="shared" si="207"/>
        <v>342.21224489795918</v>
      </c>
      <c r="J388">
        <f t="shared" si="207"/>
        <v>474.68387755102049</v>
      </c>
      <c r="K388">
        <f t="shared" si="207"/>
        <v>374.59591836734705</v>
      </c>
      <c r="L388">
        <f t="shared" si="207"/>
        <v>305.58024691358025</v>
      </c>
      <c r="M388">
        <f t="shared" si="207"/>
        <v>352</v>
      </c>
      <c r="N388">
        <f t="shared" si="207"/>
        <v>348.93367346938771</v>
      </c>
      <c r="O388">
        <f t="shared" si="207"/>
        <v>363.45918367346934</v>
      </c>
      <c r="P388">
        <f t="shared" si="207"/>
        <v>284.10530612244906</v>
      </c>
      <c r="Q388">
        <f t="shared" si="207"/>
        <v>292.28571428571433</v>
      </c>
      <c r="R388">
        <f t="shared" si="207"/>
        <v>313.77489795918365</v>
      </c>
      <c r="S388">
        <f t="shared" si="207"/>
        <v>442.07755102040818</v>
      </c>
      <c r="T388">
        <f t="shared" si="207"/>
        <v>562.77061224489808</v>
      </c>
      <c r="U388">
        <f t="shared" si="207"/>
        <v>539.84020408163269</v>
      </c>
      <c r="V388">
        <f t="shared" si="207"/>
        <v>561.0985714285714</v>
      </c>
      <c r="W388">
        <f t="shared" si="207"/>
        <v>691.70408163265301</v>
      </c>
      <c r="Y388" s="15">
        <f t="shared" si="197"/>
        <v>9047.9982060972543</v>
      </c>
      <c r="Z388">
        <f t="shared" si="198"/>
        <v>2184.987912939514</v>
      </c>
    </row>
    <row r="389" spans="1:26" x14ac:dyDescent="0.25">
      <c r="A389" t="s">
        <v>53</v>
      </c>
      <c r="D389">
        <f t="shared" ref="D389:W389" si="208">D41*D70</f>
        <v>606.1887755102041</v>
      </c>
      <c r="E389">
        <f t="shared" si="208"/>
        <v>601</v>
      </c>
      <c r="F389">
        <f t="shared" si="208"/>
        <v>513.94897959183675</v>
      </c>
      <c r="G389">
        <f t="shared" si="208"/>
        <v>511.04081632653055</v>
      </c>
      <c r="H389">
        <f t="shared" si="208"/>
        <v>465.25714285714287</v>
      </c>
      <c r="I389">
        <f t="shared" si="208"/>
        <v>404.18367346938771</v>
      </c>
      <c r="J389">
        <f t="shared" si="208"/>
        <v>416.83673469387759</v>
      </c>
      <c r="K389">
        <f t="shared" si="208"/>
        <v>380.46428571428572</v>
      </c>
      <c r="L389">
        <f t="shared" si="208"/>
        <v>274.41358024691363</v>
      </c>
      <c r="M389">
        <f t="shared" si="208"/>
        <v>397.09183673469391</v>
      </c>
      <c r="N389">
        <f t="shared" si="208"/>
        <v>472.16938775510209</v>
      </c>
      <c r="O389">
        <f t="shared" si="208"/>
        <v>381.35204081632651</v>
      </c>
      <c r="P389">
        <f t="shared" si="208"/>
        <v>429.75714285714281</v>
      </c>
      <c r="Q389">
        <f t="shared" si="208"/>
        <v>488.53469387755109</v>
      </c>
      <c r="R389">
        <f t="shared" si="208"/>
        <v>520.30816326530612</v>
      </c>
      <c r="S389">
        <f t="shared" si="208"/>
        <v>493.95714285714286</v>
      </c>
      <c r="T389">
        <f t="shared" si="208"/>
        <v>526.55306122448985</v>
      </c>
      <c r="U389">
        <f t="shared" si="208"/>
        <v>592.62244897959192</v>
      </c>
      <c r="V389">
        <f t="shared" si="208"/>
        <v>468.29183673469385</v>
      </c>
      <c r="W389">
        <f t="shared" si="208"/>
        <v>545.46938775510205</v>
      </c>
      <c r="Y389" s="15">
        <f t="shared" si="197"/>
        <v>9489.4411312673219</v>
      </c>
      <c r="Z389">
        <f t="shared" si="198"/>
        <v>2182.127733406996</v>
      </c>
    </row>
    <row r="390" spans="1:26" x14ac:dyDescent="0.25">
      <c r="A390" t="s">
        <v>54</v>
      </c>
      <c r="D390">
        <f t="shared" ref="D390:W390" si="209">D42*D71</f>
        <v>653.14285714285711</v>
      </c>
      <c r="E390">
        <f t="shared" si="209"/>
        <v>680.3112244897959</v>
      </c>
      <c r="F390">
        <f t="shared" si="209"/>
        <v>573.96428571428567</v>
      </c>
      <c r="G390">
        <f t="shared" si="209"/>
        <v>590.14285714285711</v>
      </c>
      <c r="H390">
        <f t="shared" si="209"/>
        <v>567.74693877551033</v>
      </c>
      <c r="I390">
        <f t="shared" si="209"/>
        <v>564.71938775510205</v>
      </c>
      <c r="J390">
        <f t="shared" si="209"/>
        <v>459.47755102040821</v>
      </c>
      <c r="K390">
        <f t="shared" si="209"/>
        <v>436.53061224489795</v>
      </c>
      <c r="L390">
        <f t="shared" si="209"/>
        <v>293.68148148148151</v>
      </c>
      <c r="M390">
        <f t="shared" si="209"/>
        <v>393.21795918367349</v>
      </c>
      <c r="N390">
        <f t="shared" si="209"/>
        <v>336.59142857142854</v>
      </c>
      <c r="O390">
        <f t="shared" si="209"/>
        <v>373.14530612244891</v>
      </c>
      <c r="P390">
        <f t="shared" si="209"/>
        <v>325.80408163265304</v>
      </c>
      <c r="Q390">
        <f t="shared" si="209"/>
        <v>369.92</v>
      </c>
      <c r="R390">
        <f t="shared" si="209"/>
        <v>337.0744897959184</v>
      </c>
      <c r="S390">
        <f t="shared" si="209"/>
        <v>433.68367346938783</v>
      </c>
      <c r="T390">
        <f t="shared" si="209"/>
        <v>456.56632653061229</v>
      </c>
      <c r="U390">
        <f t="shared" si="209"/>
        <v>580.67755102040815</v>
      </c>
      <c r="V390">
        <f t="shared" si="209"/>
        <v>570.88653061224488</v>
      </c>
      <c r="W390">
        <f t="shared" si="209"/>
        <v>694.08571428571429</v>
      </c>
      <c r="Y390" s="15">
        <f t="shared" si="197"/>
        <v>9691.3702569916877</v>
      </c>
      <c r="Z390">
        <f t="shared" si="198"/>
        <v>2487.293421045641</v>
      </c>
    </row>
    <row r="391" spans="1:26" x14ac:dyDescent="0.25">
      <c r="A391" t="s">
        <v>55</v>
      </c>
      <c r="D391">
        <f t="shared" ref="D391:W391" si="210">D43*D72</f>
        <v>655.2673469387754</v>
      </c>
      <c r="E391">
        <f t="shared" si="210"/>
        <v>557.28571428571433</v>
      </c>
      <c r="F391">
        <f t="shared" si="210"/>
        <v>713.63265306122457</v>
      </c>
      <c r="G391">
        <f t="shared" si="210"/>
        <v>572.17142857142858</v>
      </c>
      <c r="H391">
        <f t="shared" si="210"/>
        <v>519.19591836734696</v>
      </c>
      <c r="I391">
        <f t="shared" si="210"/>
        <v>466.96285714285716</v>
      </c>
      <c r="J391">
        <f t="shared" si="210"/>
        <v>412.6334693877551</v>
      </c>
      <c r="K391">
        <f t="shared" si="210"/>
        <v>390.28734693877556</v>
      </c>
      <c r="L391">
        <f t="shared" si="210"/>
        <v>412.57333333333327</v>
      </c>
      <c r="M391">
        <f t="shared" si="210"/>
        <v>290.22040816326535</v>
      </c>
      <c r="N391">
        <f t="shared" si="210"/>
        <v>325.2838775510204</v>
      </c>
      <c r="O391">
        <f t="shared" si="210"/>
        <v>287.24081632653059</v>
      </c>
      <c r="P391">
        <f t="shared" si="210"/>
        <v>282.85714285714283</v>
      </c>
      <c r="Q391">
        <f t="shared" si="210"/>
        <v>319.71938775510205</v>
      </c>
      <c r="R391">
        <f t="shared" si="210"/>
        <v>474.88979591836733</v>
      </c>
      <c r="S391">
        <f t="shared" si="210"/>
        <v>470.43571428571425</v>
      </c>
      <c r="T391">
        <f t="shared" si="210"/>
        <v>272.27755102040817</v>
      </c>
      <c r="U391">
        <f t="shared" si="210"/>
        <v>548.47775510204087</v>
      </c>
      <c r="V391">
        <f t="shared" si="210"/>
        <v>642.87346938775511</v>
      </c>
      <c r="W391">
        <f t="shared" si="210"/>
        <v>614.48163265306118</v>
      </c>
      <c r="Y391" s="15">
        <f t="shared" si="197"/>
        <v>9228.7676190476213</v>
      </c>
      <c r="Z391">
        <f t="shared" si="198"/>
        <v>2380.5329243134165</v>
      </c>
    </row>
    <row r="392" spans="1:26" x14ac:dyDescent="0.25">
      <c r="A392" t="s">
        <v>56</v>
      </c>
      <c r="D392">
        <f t="shared" ref="D392:W392" si="211">D44*D73</f>
        <v>586.19387755102036</v>
      </c>
      <c r="E392">
        <f t="shared" si="211"/>
        <v>504.78</v>
      </c>
      <c r="F392">
        <f t="shared" si="211"/>
        <v>485.25428571428574</v>
      </c>
      <c r="G392">
        <f t="shared" si="211"/>
        <v>444.8</v>
      </c>
      <c r="H392">
        <f t="shared" si="211"/>
        <v>527.97909599395325</v>
      </c>
      <c r="I392">
        <f t="shared" si="211"/>
        <v>525.32228269085419</v>
      </c>
      <c r="J392">
        <f t="shared" si="211"/>
        <v>518.84969614512477</v>
      </c>
      <c r="K392">
        <f t="shared" si="211"/>
        <v>479.65820105820114</v>
      </c>
      <c r="L392">
        <f t="shared" si="211"/>
        <v>383.1614870244394</v>
      </c>
      <c r="M392">
        <f t="shared" si="211"/>
        <v>255.01020408163265</v>
      </c>
      <c r="N392">
        <f t="shared" si="211"/>
        <v>300.76530612244898</v>
      </c>
      <c r="O392">
        <f t="shared" si="211"/>
        <v>357.75</v>
      </c>
      <c r="P392">
        <f t="shared" si="211"/>
        <v>313.30612244897964</v>
      </c>
      <c r="Q392">
        <f t="shared" si="211"/>
        <v>426.64285714285717</v>
      </c>
      <c r="R392">
        <f t="shared" si="211"/>
        <v>577.98979591836735</v>
      </c>
      <c r="S392">
        <f t="shared" si="211"/>
        <v>530.73979591836735</v>
      </c>
      <c r="T392">
        <f t="shared" si="211"/>
        <v>632.29591836734699</v>
      </c>
      <c r="U392">
        <f t="shared" si="211"/>
        <v>675.05102040816325</v>
      </c>
      <c r="V392">
        <f t="shared" si="211"/>
        <v>543.21428571428578</v>
      </c>
      <c r="W392">
        <f t="shared" si="211"/>
        <v>591.83673469387759</v>
      </c>
      <c r="Y392" s="15">
        <f t="shared" si="197"/>
        <v>9660.6009669942068</v>
      </c>
      <c r="Z392">
        <f t="shared" si="198"/>
        <v>2077.9268900088928</v>
      </c>
    </row>
    <row r="393" spans="1:26" x14ac:dyDescent="0.25">
      <c r="A393" t="s">
        <v>57</v>
      </c>
      <c r="D393">
        <f t="shared" ref="D393:W393" si="212">D45*D74</f>
        <v>618.27959183673465</v>
      </c>
      <c r="E393">
        <f t="shared" si="212"/>
        <v>618.84081632653056</v>
      </c>
      <c r="F393">
        <f t="shared" si="212"/>
        <v>561.36</v>
      </c>
      <c r="G393">
        <f t="shared" si="212"/>
        <v>551.02816326530603</v>
      </c>
      <c r="H393">
        <f t="shared" si="212"/>
        <v>563.60798730158729</v>
      </c>
      <c r="I393">
        <f t="shared" si="212"/>
        <v>531.4439709750568</v>
      </c>
      <c r="J393">
        <f t="shared" si="212"/>
        <v>488.94368435374167</v>
      </c>
      <c r="K393">
        <f t="shared" si="212"/>
        <v>452.50447619047628</v>
      </c>
      <c r="L393">
        <f t="shared" si="212"/>
        <v>382.06856326530612</v>
      </c>
      <c r="M393">
        <f t="shared" si="212"/>
        <v>342.91319979843792</v>
      </c>
      <c r="N393">
        <f t="shared" si="212"/>
        <v>354.19174603174594</v>
      </c>
      <c r="O393">
        <f t="shared" si="212"/>
        <v>336.47735903250191</v>
      </c>
      <c r="P393">
        <f t="shared" si="212"/>
        <v>326.57933383723855</v>
      </c>
      <c r="Q393">
        <f t="shared" si="212"/>
        <v>357.59849735449734</v>
      </c>
      <c r="R393">
        <f t="shared" si="212"/>
        <v>354.10973519778281</v>
      </c>
      <c r="S393">
        <f t="shared" si="212"/>
        <v>435.42147505668925</v>
      </c>
      <c r="T393">
        <f t="shared" si="212"/>
        <v>485.4114023683548</v>
      </c>
      <c r="U393">
        <f t="shared" si="212"/>
        <v>541.72025888133032</v>
      </c>
      <c r="V393">
        <f t="shared" si="212"/>
        <v>570.62869576719572</v>
      </c>
      <c r="W393">
        <f t="shared" si="212"/>
        <v>656.99005076845538</v>
      </c>
      <c r="Y393" s="15">
        <f t="shared" si="197"/>
        <v>9530.1190076089715</v>
      </c>
      <c r="Z393">
        <f t="shared" si="198"/>
        <v>2378.7398740255671</v>
      </c>
    </row>
    <row r="394" spans="1:26" x14ac:dyDescent="0.25">
      <c r="A394" t="s">
        <v>58</v>
      </c>
      <c r="D394">
        <f t="shared" ref="D394:W394" si="213">D46*D75</f>
        <v>741.70897959183662</v>
      </c>
      <c r="E394">
        <f t="shared" si="213"/>
        <v>695.39612244897955</v>
      </c>
      <c r="F394">
        <f t="shared" si="213"/>
        <v>560.34102040816322</v>
      </c>
      <c r="G394">
        <f t="shared" si="213"/>
        <v>404.00142857142856</v>
      </c>
      <c r="H394">
        <f t="shared" si="213"/>
        <v>564.72196119929447</v>
      </c>
      <c r="I394">
        <f t="shared" si="213"/>
        <v>518.27801461325271</v>
      </c>
      <c r="J394">
        <f t="shared" si="213"/>
        <v>422.01504157218454</v>
      </c>
      <c r="K394">
        <f t="shared" si="213"/>
        <v>373.91733434114389</v>
      </c>
      <c r="L394">
        <f t="shared" si="213"/>
        <v>385.84677920550934</v>
      </c>
      <c r="M394">
        <f t="shared" si="213"/>
        <v>366.93367346938777</v>
      </c>
      <c r="N394">
        <f t="shared" si="213"/>
        <v>408.47999999999996</v>
      </c>
      <c r="O394">
        <f t="shared" si="213"/>
        <v>404.08163265306121</v>
      </c>
      <c r="P394">
        <f t="shared" si="213"/>
        <v>226.38979591836733</v>
      </c>
      <c r="Q394">
        <f t="shared" si="213"/>
        <v>261.5530612244898</v>
      </c>
      <c r="R394">
        <f t="shared" si="213"/>
        <v>172.04693877551023</v>
      </c>
      <c r="S394">
        <f t="shared" si="213"/>
        <v>377.14285714285711</v>
      </c>
      <c r="T394">
        <f t="shared" si="213"/>
        <v>461.88571428571436</v>
      </c>
      <c r="U394">
        <f t="shared" si="213"/>
        <v>448.05312499999997</v>
      </c>
      <c r="V394">
        <f t="shared" si="213"/>
        <v>642.70408163265313</v>
      </c>
      <c r="W394">
        <f t="shared" si="213"/>
        <v>765.05816326530612</v>
      </c>
      <c r="Y394" s="15">
        <f t="shared" si="197"/>
        <v>9200.55572531914</v>
      </c>
      <c r="Z394">
        <f t="shared" si="198"/>
        <v>2445.6291896564221</v>
      </c>
    </row>
    <row r="395" spans="1:26" x14ac:dyDescent="0.25">
      <c r="A395" t="s">
        <v>59</v>
      </c>
      <c r="D395">
        <f t="shared" ref="D395:W395" si="214">D47*D76</f>
        <v>655.9591836734694</v>
      </c>
      <c r="E395">
        <f t="shared" si="214"/>
        <v>576.00510204081638</v>
      </c>
      <c r="F395">
        <f t="shared" si="214"/>
        <v>586.51530612244903</v>
      </c>
      <c r="G395">
        <f t="shared" si="214"/>
        <v>548.57142857142856</v>
      </c>
      <c r="H395">
        <f t="shared" si="214"/>
        <v>489.23469387755102</v>
      </c>
      <c r="I395">
        <f t="shared" si="214"/>
        <v>619.89795918367349</v>
      </c>
      <c r="J395">
        <f t="shared" si="214"/>
        <v>572.14285714285711</v>
      </c>
      <c r="K395">
        <f t="shared" si="214"/>
        <v>605.38163265306127</v>
      </c>
      <c r="L395">
        <f t="shared" si="214"/>
        <v>340.26828124999997</v>
      </c>
      <c r="M395">
        <f t="shared" si="214"/>
        <v>400.34938775510199</v>
      </c>
      <c r="N395">
        <f t="shared" si="214"/>
        <v>462</v>
      </c>
      <c r="O395">
        <f t="shared" si="214"/>
        <v>593.39591836734689</v>
      </c>
      <c r="P395">
        <f t="shared" si="214"/>
        <v>420.96857142857135</v>
      </c>
      <c r="Q395">
        <f t="shared" si="214"/>
        <v>404.94857142857154</v>
      </c>
      <c r="R395">
        <f t="shared" si="214"/>
        <v>426.96326530612242</v>
      </c>
      <c r="S395">
        <f t="shared" si="214"/>
        <v>486.20000000000005</v>
      </c>
      <c r="T395">
        <f t="shared" si="214"/>
        <v>689.0100000000001</v>
      </c>
      <c r="U395">
        <f t="shared" si="214"/>
        <v>696.70612244897973</v>
      </c>
      <c r="V395">
        <f t="shared" si="214"/>
        <v>631.39142857142861</v>
      </c>
      <c r="W395">
        <f t="shared" si="214"/>
        <v>758.44897959183686</v>
      </c>
      <c r="Y395" s="15">
        <f t="shared" si="197"/>
        <v>10964.358689413264</v>
      </c>
      <c r="Z395">
        <f t="shared" si="198"/>
        <v>2329.5487530150504</v>
      </c>
    </row>
    <row r="396" spans="1:26" x14ac:dyDescent="0.25">
      <c r="A396" t="s">
        <v>60</v>
      </c>
      <c r="D396">
        <f t="shared" ref="D396:W396" si="215">D48*D77</f>
        <v>609.19591836734685</v>
      </c>
      <c r="E396">
        <f t="shared" si="215"/>
        <v>679.03510204081635</v>
      </c>
      <c r="F396">
        <f t="shared" si="215"/>
        <v>567.14632653061233</v>
      </c>
      <c r="G396">
        <f t="shared" si="215"/>
        <v>535.52571428571423</v>
      </c>
      <c r="H396">
        <f t="shared" si="215"/>
        <v>470.21428571428572</v>
      </c>
      <c r="I396">
        <f t="shared" si="215"/>
        <v>457.9469387755102</v>
      </c>
      <c r="J396">
        <f t="shared" si="215"/>
        <v>530.61000000000013</v>
      </c>
      <c r="K396">
        <f t="shared" si="215"/>
        <v>408.2510204081633</v>
      </c>
      <c r="L396">
        <f t="shared" si="215"/>
        <v>443.22244897959189</v>
      </c>
      <c r="M396">
        <f t="shared" si="215"/>
        <v>422.1</v>
      </c>
      <c r="N396">
        <f t="shared" si="215"/>
        <v>397.38612244897962</v>
      </c>
      <c r="O396">
        <f t="shared" si="215"/>
        <v>365.8257142857143</v>
      </c>
      <c r="P396">
        <f t="shared" si="215"/>
        <v>419.86448979591842</v>
      </c>
      <c r="Q396">
        <f t="shared" si="215"/>
        <v>457.34469387755104</v>
      </c>
      <c r="R396">
        <f t="shared" si="215"/>
        <v>585.55285714285708</v>
      </c>
      <c r="S396">
        <f t="shared" si="215"/>
        <v>358.98285714285709</v>
      </c>
      <c r="T396">
        <f t="shared" si="215"/>
        <v>534.04</v>
      </c>
      <c r="U396">
        <f t="shared" si="215"/>
        <v>624.92408163265304</v>
      </c>
      <c r="V396">
        <f t="shared" si="215"/>
        <v>724.91122448979593</v>
      </c>
      <c r="W396">
        <f t="shared" si="215"/>
        <v>764.40489795918359</v>
      </c>
      <c r="Y396" s="15">
        <f t="shared" si="197"/>
        <v>10356.48469387755</v>
      </c>
      <c r="Z396">
        <f t="shared" si="198"/>
        <v>2377.3829502854965</v>
      </c>
    </row>
    <row r="397" spans="1:26" x14ac:dyDescent="0.25">
      <c r="A397" t="s">
        <v>61</v>
      </c>
      <c r="D397">
        <f t="shared" ref="D397:W397" si="216">D49*D78</f>
        <v>698.42244897959176</v>
      </c>
      <c r="E397">
        <f t="shared" si="216"/>
        <v>746.00510204081627</v>
      </c>
      <c r="F397">
        <f t="shared" si="216"/>
        <v>825.19387755102036</v>
      </c>
      <c r="G397">
        <f t="shared" si="216"/>
        <v>613.38775510204084</v>
      </c>
      <c r="H397">
        <f t="shared" si="216"/>
        <v>621.0383673469388</v>
      </c>
      <c r="I397">
        <f t="shared" si="216"/>
        <v>492.68081632653065</v>
      </c>
      <c r="J397">
        <f t="shared" si="216"/>
        <v>279.23020408163268</v>
      </c>
      <c r="K397">
        <f t="shared" si="216"/>
        <v>257.78938775510204</v>
      </c>
      <c r="L397">
        <f t="shared" si="216"/>
        <v>395.59</v>
      </c>
      <c r="M397">
        <f t="shared" si="216"/>
        <v>289.09714285714284</v>
      </c>
      <c r="N397">
        <f t="shared" si="216"/>
        <v>250.84489795918367</v>
      </c>
      <c r="O397">
        <f t="shared" si="216"/>
        <v>295.84285714285716</v>
      </c>
      <c r="P397">
        <f t="shared" si="216"/>
        <v>399.47142857142853</v>
      </c>
      <c r="Q397">
        <f t="shared" si="216"/>
        <v>395.23265306122448</v>
      </c>
      <c r="R397">
        <f t="shared" si="216"/>
        <v>457.19612244897957</v>
      </c>
      <c r="S397">
        <f t="shared" si="216"/>
        <v>495.2253061224489</v>
      </c>
      <c r="T397">
        <f t="shared" si="216"/>
        <v>481.92265306122442</v>
      </c>
      <c r="U397">
        <f t="shared" si="216"/>
        <v>549.0612244897959</v>
      </c>
      <c r="V397">
        <f t="shared" si="216"/>
        <v>579.47102040816333</v>
      </c>
      <c r="W397">
        <f t="shared" si="216"/>
        <v>611.35306122448981</v>
      </c>
      <c r="Y397" s="15">
        <f t="shared" si="197"/>
        <v>9734.0563265306155</v>
      </c>
      <c r="Z397">
        <f t="shared" si="198"/>
        <v>2758.5307429992299</v>
      </c>
    </row>
    <row r="398" spans="1:26" x14ac:dyDescent="0.25">
      <c r="A398" t="s">
        <v>62</v>
      </c>
      <c r="D398">
        <f t="shared" ref="D398:W398" si="217">D50*D79</f>
        <v>724.40510204081625</v>
      </c>
      <c r="E398">
        <f t="shared" si="217"/>
        <v>701.26326530612243</v>
      </c>
      <c r="F398">
        <f t="shared" si="217"/>
        <v>657.05510204081622</v>
      </c>
      <c r="G398">
        <f t="shared" si="217"/>
        <v>578.73673469387757</v>
      </c>
      <c r="H398">
        <f t="shared" si="217"/>
        <v>617.8122448979592</v>
      </c>
      <c r="I398">
        <f t="shared" si="217"/>
        <v>647.74489795918362</v>
      </c>
      <c r="J398">
        <f t="shared" si="217"/>
        <v>496.91020408163263</v>
      </c>
      <c r="K398">
        <f t="shared" si="217"/>
        <v>472.80204081632644</v>
      </c>
      <c r="L398">
        <f t="shared" si="217"/>
        <v>418.40892857142853</v>
      </c>
      <c r="M398">
        <f t="shared" si="217"/>
        <v>340.70204081632659</v>
      </c>
      <c r="N398">
        <f t="shared" si="217"/>
        <v>246.33469387755099</v>
      </c>
      <c r="O398">
        <f t="shared" si="217"/>
        <v>257.20204081632653</v>
      </c>
      <c r="P398">
        <f t="shared" si="217"/>
        <v>335.63571428571424</v>
      </c>
      <c r="Q398">
        <f t="shared" si="217"/>
        <v>348.519387755102</v>
      </c>
      <c r="R398">
        <f t="shared" si="217"/>
        <v>262.67653061224496</v>
      </c>
      <c r="S398">
        <f t="shared" si="217"/>
        <v>353.06632653061223</v>
      </c>
      <c r="T398">
        <f t="shared" si="217"/>
        <v>439.2806122448979</v>
      </c>
      <c r="U398">
        <f t="shared" si="217"/>
        <v>381.68265306122447</v>
      </c>
      <c r="V398">
        <f t="shared" si="217"/>
        <v>312.14285714285711</v>
      </c>
      <c r="W398">
        <f t="shared" si="217"/>
        <v>546</v>
      </c>
      <c r="Y398" s="15">
        <f t="shared" si="197"/>
        <v>9138.3813775510207</v>
      </c>
      <c r="Z398">
        <f t="shared" si="198"/>
        <v>2715.5429902793849</v>
      </c>
    </row>
    <row r="399" spans="1:26" x14ac:dyDescent="0.25">
      <c r="Y399" s="15"/>
    </row>
    <row r="400" spans="1:26" x14ac:dyDescent="0.25">
      <c r="A400" t="s">
        <v>63</v>
      </c>
      <c r="D400">
        <f t="shared" ref="D400:W400" si="218">D52*D81</f>
        <v>607.69102040816324</v>
      </c>
      <c r="E400">
        <f t="shared" si="218"/>
        <v>498.67142857142858</v>
      </c>
      <c r="F400">
        <f t="shared" si="218"/>
        <v>566.89285714285711</v>
      </c>
      <c r="G400">
        <f t="shared" si="218"/>
        <v>439.64081632653057</v>
      </c>
      <c r="H400">
        <f t="shared" si="218"/>
        <v>378.36218896447468</v>
      </c>
      <c r="I400">
        <f t="shared" si="218"/>
        <v>381.39809523809527</v>
      </c>
      <c r="J400">
        <f t="shared" si="218"/>
        <v>357.24588813303109</v>
      </c>
      <c r="K400">
        <f t="shared" si="218"/>
        <v>369.63207482993192</v>
      </c>
      <c r="L400">
        <f t="shared" si="218"/>
        <v>273.67430922986478</v>
      </c>
      <c r="M400">
        <f t="shared" si="218"/>
        <v>314.5954468150897</v>
      </c>
      <c r="N400">
        <f t="shared" si="218"/>
        <v>352.66712842712838</v>
      </c>
      <c r="O400">
        <f t="shared" si="218"/>
        <v>376.14625850340138</v>
      </c>
      <c r="P400">
        <f t="shared" si="218"/>
        <v>278.48216862502579</v>
      </c>
      <c r="Q400">
        <f t="shared" si="218"/>
        <v>315.56145124716562</v>
      </c>
      <c r="R400">
        <f t="shared" si="218"/>
        <v>380.16232545721073</v>
      </c>
      <c r="S400">
        <f t="shared" si="218"/>
        <v>454.27834497104629</v>
      </c>
      <c r="T400">
        <f t="shared" si="218"/>
        <v>509.35925362051756</v>
      </c>
      <c r="U400">
        <f t="shared" si="218"/>
        <v>577.77595714410666</v>
      </c>
      <c r="V400">
        <f t="shared" si="218"/>
        <v>576.93286322095423</v>
      </c>
      <c r="W400">
        <f t="shared" si="218"/>
        <v>656.88965530797554</v>
      </c>
      <c r="Y400" s="15">
        <f t="shared" si="197"/>
        <v>8666.0595321839992</v>
      </c>
      <c r="Z400">
        <f>SUMPRODUCT($D$404:$S$404,D400:S400)</f>
        <v>1960.3243707265876</v>
      </c>
    </row>
    <row r="401" spans="1:26" x14ac:dyDescent="0.25">
      <c r="A401" t="s">
        <v>307</v>
      </c>
      <c r="D401">
        <f t="shared" ref="D401:W401" si="219">D53*D82</f>
        <v>617.23428571428553</v>
      </c>
      <c r="E401">
        <f t="shared" si="219"/>
        <v>845.91000000000008</v>
      </c>
      <c r="F401">
        <f t="shared" si="219"/>
        <v>561.81000000000006</v>
      </c>
      <c r="G401">
        <f t="shared" si="219"/>
        <v>489</v>
      </c>
      <c r="H401">
        <f t="shared" si="219"/>
        <v>534.14081632653063</v>
      </c>
      <c r="I401">
        <f t="shared" si="219"/>
        <v>426.22489795918369</v>
      </c>
      <c r="J401">
        <f t="shared" si="219"/>
        <v>333.68</v>
      </c>
      <c r="K401">
        <f t="shared" si="219"/>
        <v>288.06530612244904</v>
      </c>
      <c r="L401">
        <f t="shared" si="219"/>
        <v>291.22828124999995</v>
      </c>
      <c r="M401">
        <f t="shared" si="219"/>
        <v>344.52204081632664</v>
      </c>
      <c r="N401">
        <f t="shared" si="219"/>
        <v>289.22326530612253</v>
      </c>
      <c r="O401">
        <f t="shared" si="219"/>
        <v>294.24</v>
      </c>
      <c r="P401">
        <f t="shared" si="219"/>
        <v>381.3</v>
      </c>
      <c r="Q401">
        <f t="shared" si="219"/>
        <v>399.96</v>
      </c>
      <c r="R401">
        <f t="shared" si="219"/>
        <v>372.96</v>
      </c>
      <c r="S401">
        <f t="shared" si="219"/>
        <v>377.6</v>
      </c>
      <c r="T401">
        <f t="shared" si="219"/>
        <v>473.85</v>
      </c>
      <c r="U401">
        <f t="shared" si="219"/>
        <v>548.72</v>
      </c>
      <c r="V401">
        <f t="shared" si="219"/>
        <v>538.78000000000009</v>
      </c>
      <c r="W401">
        <f t="shared" si="219"/>
        <v>660.38</v>
      </c>
      <c r="Y401" s="15">
        <f t="shared" si="197"/>
        <v>9068.8288934948978</v>
      </c>
      <c r="Z401">
        <f>SUMPRODUCT($D$404:$S$404,D401:S401)</f>
        <v>2457.4642931402577</v>
      </c>
    </row>
    <row r="402" spans="1:26" x14ac:dyDescent="0.25">
      <c r="A402" t="s">
        <v>308</v>
      </c>
      <c r="D402">
        <f t="shared" ref="D402:W402" si="220">D54*D83</f>
        <v>655.98754258728286</v>
      </c>
      <c r="E402">
        <f t="shared" si="220"/>
        <v>521.3599999999999</v>
      </c>
      <c r="F402">
        <f t="shared" si="220"/>
        <v>556.16000000000008</v>
      </c>
      <c r="G402">
        <f t="shared" si="220"/>
        <v>466.18000000000006</v>
      </c>
      <c r="H402">
        <f t="shared" si="220"/>
        <v>501.84</v>
      </c>
      <c r="I402">
        <f t="shared" si="220"/>
        <v>430.08000000000004</v>
      </c>
      <c r="J402">
        <f t="shared" si="220"/>
        <v>369.51000000000005</v>
      </c>
      <c r="K402">
        <f t="shared" si="220"/>
        <v>321.89999999999998</v>
      </c>
      <c r="L402">
        <f t="shared" si="220"/>
        <v>268.18</v>
      </c>
      <c r="M402">
        <f t="shared" si="220"/>
        <v>309.87999999999994</v>
      </c>
      <c r="N402">
        <f t="shared" si="220"/>
        <v>291.16000000000003</v>
      </c>
      <c r="O402">
        <f t="shared" si="220"/>
        <v>311.19000000000005</v>
      </c>
      <c r="P402">
        <f t="shared" si="220"/>
        <v>340.87079004787103</v>
      </c>
      <c r="Q402">
        <f t="shared" si="220"/>
        <v>373.22163711262277</v>
      </c>
      <c r="R402">
        <f t="shared" si="220"/>
        <v>398.63986703199805</v>
      </c>
      <c r="S402">
        <f t="shared" si="220"/>
        <v>429.98016712018136</v>
      </c>
      <c r="T402">
        <f t="shared" si="220"/>
        <v>551.6740959687578</v>
      </c>
      <c r="U402">
        <f t="shared" si="220"/>
        <v>593.01068783068786</v>
      </c>
      <c r="V402">
        <f t="shared" si="220"/>
        <v>633.75390973167043</v>
      </c>
      <c r="W402">
        <f t="shared" si="220"/>
        <v>722.2872944318467</v>
      </c>
      <c r="Y402" s="15">
        <f t="shared" si="197"/>
        <v>9046.8659918629182</v>
      </c>
      <c r="Z402">
        <f>SUMPRODUCT($D$404:$S$404,D402:S402)</f>
        <v>2158.9505146710244</v>
      </c>
    </row>
    <row r="403" spans="1:26" x14ac:dyDescent="0.25">
      <c r="A403" t="s">
        <v>670</v>
      </c>
      <c r="D403">
        <f t="shared" ref="D403:W403" si="221">D55*D84</f>
        <v>684.88469387755106</v>
      </c>
      <c r="E403">
        <f t="shared" si="221"/>
        <v>701.11999999999989</v>
      </c>
      <c r="F403">
        <f t="shared" si="221"/>
        <v>685.67857142857144</v>
      </c>
      <c r="G403">
        <f t="shared" si="221"/>
        <v>680.12</v>
      </c>
      <c r="H403">
        <f t="shared" si="221"/>
        <v>631.94857142857143</v>
      </c>
      <c r="I403">
        <f t="shared" si="221"/>
        <v>491.18571428571431</v>
      </c>
      <c r="J403">
        <f t="shared" si="221"/>
        <v>379.76387755102041</v>
      </c>
      <c r="K403">
        <f t="shared" si="221"/>
        <v>319.46714285714285</v>
      </c>
      <c r="L403">
        <f t="shared" si="221"/>
        <v>354.17499999999995</v>
      </c>
      <c r="M403">
        <f t="shared" si="221"/>
        <v>355.58469308160977</v>
      </c>
      <c r="N403">
        <f t="shared" si="221"/>
        <v>381.29509518655954</v>
      </c>
      <c r="O403">
        <f t="shared" si="221"/>
        <v>387.94205642736904</v>
      </c>
      <c r="P403">
        <f t="shared" si="221"/>
        <v>289.76012134038797</v>
      </c>
      <c r="Q403">
        <f t="shared" si="221"/>
        <v>343.36748518518516</v>
      </c>
      <c r="R403">
        <f t="shared" si="221"/>
        <v>407.74032665058968</v>
      </c>
      <c r="S403">
        <f t="shared" si="221"/>
        <v>440.14335827664405</v>
      </c>
      <c r="T403">
        <f t="shared" si="221"/>
        <v>508.31087682665651</v>
      </c>
      <c r="U403">
        <f t="shared" si="221"/>
        <v>588.75370724678783</v>
      </c>
      <c r="V403">
        <f t="shared" si="221"/>
        <v>603.41590621693126</v>
      </c>
      <c r="W403">
        <f t="shared" si="221"/>
        <v>666.71533427973043</v>
      </c>
      <c r="Y403" s="15">
        <f t="shared" ref="Y403" si="222">SUM(D403:W403)</f>
        <v>9901.3725321470229</v>
      </c>
      <c r="Z403">
        <f>SUMPRODUCT($D$404:$S$404,D403:S403)</f>
        <v>2668.0339660308737</v>
      </c>
    </row>
    <row r="404" spans="1:26" x14ac:dyDescent="0.25">
      <c r="A404" s="2" t="s">
        <v>64</v>
      </c>
      <c r="D404" s="3">
        <f>CORREL($B$2:$B$21,D379:D398)</f>
        <v>0.71255566292581196</v>
      </c>
      <c r="E404" s="3">
        <f t="shared" ref="E404:W404" si="223">CORREL($B$2:$B$21,E379:E398)</f>
        <v>0.75524822538409964</v>
      </c>
      <c r="F404" s="3">
        <f t="shared" si="223"/>
        <v>0.62628047952329458</v>
      </c>
      <c r="G404" s="3">
        <f t="shared" si="223"/>
        <v>0.58663123185108845</v>
      </c>
      <c r="H404" s="3">
        <f t="shared" si="223"/>
        <v>0.70663082944150302</v>
      </c>
      <c r="I404" s="3">
        <f t="shared" si="223"/>
        <v>0.46493044447459125</v>
      </c>
      <c r="J404" s="3">
        <f t="shared" si="223"/>
        <v>2.4090447029423073E-2</v>
      </c>
      <c r="K404" s="3">
        <f t="shared" si="223"/>
        <v>-0.1554141594650805</v>
      </c>
      <c r="L404" s="3">
        <f t="shared" si="223"/>
        <v>0.31775110747411456</v>
      </c>
      <c r="M404" s="3">
        <f t="shared" si="223"/>
        <v>0.28935495267886019</v>
      </c>
      <c r="N404" s="3">
        <f t="shared" si="223"/>
        <v>7.7748470393710606E-2</v>
      </c>
      <c r="O404" s="3">
        <f t="shared" si="223"/>
        <v>-0.13710237843080933</v>
      </c>
      <c r="P404" s="3">
        <f t="shared" si="223"/>
        <v>-4.6031689324906805E-3</v>
      </c>
      <c r="Q404" s="3">
        <f t="shared" si="223"/>
        <v>0.32035155431481838</v>
      </c>
      <c r="R404" s="3">
        <f t="shared" si="223"/>
        <v>-0.11711651287258185</v>
      </c>
      <c r="S404" s="3">
        <f t="shared" si="223"/>
        <v>-0.14797397975641682</v>
      </c>
      <c r="T404" s="3">
        <f t="shared" si="223"/>
        <v>-2.2675073416467607E-2</v>
      </c>
      <c r="U404" s="3">
        <f t="shared" si="223"/>
        <v>-0.43667558239526266</v>
      </c>
      <c r="V404" s="3">
        <f t="shared" si="223"/>
        <v>-1.6231833956924933E-2</v>
      </c>
      <c r="W404" s="3">
        <f t="shared" si="223"/>
        <v>-0.14659230754336872</v>
      </c>
    </row>
    <row r="407" spans="1:26" x14ac:dyDescent="0.25">
      <c r="D407" t="s">
        <v>163</v>
      </c>
      <c r="E407" t="s">
        <v>164</v>
      </c>
      <c r="F407" t="s">
        <v>165</v>
      </c>
      <c r="G407" t="s">
        <v>166</v>
      </c>
      <c r="H407" t="s">
        <v>167</v>
      </c>
      <c r="I407" t="s">
        <v>168</v>
      </c>
      <c r="J407" t="s">
        <v>169</v>
      </c>
      <c r="K407" t="s">
        <v>170</v>
      </c>
      <c r="L407" t="s">
        <v>347</v>
      </c>
      <c r="M407" t="s">
        <v>403</v>
      </c>
      <c r="N407" t="s">
        <v>404</v>
      </c>
      <c r="O407" t="s">
        <v>405</v>
      </c>
      <c r="P407" t="s">
        <v>502</v>
      </c>
      <c r="Q407" t="s">
        <v>503</v>
      </c>
      <c r="R407" t="s">
        <v>504</v>
      </c>
      <c r="S407" t="s">
        <v>505</v>
      </c>
      <c r="T407" t="s">
        <v>614</v>
      </c>
      <c r="U407" t="s">
        <v>615</v>
      </c>
      <c r="V407" t="s">
        <v>616</v>
      </c>
      <c r="W407" t="s">
        <v>617</v>
      </c>
      <c r="Y407" t="s">
        <v>171</v>
      </c>
      <c r="Z407" t="s">
        <v>172</v>
      </c>
    </row>
    <row r="408" spans="1:26" x14ac:dyDescent="0.25">
      <c r="A408" t="s">
        <v>43</v>
      </c>
      <c r="D408">
        <f t="shared" ref="D408:W408" si="224">D31*D89</f>
        <v>2352</v>
      </c>
      <c r="E408">
        <f t="shared" si="224"/>
        <v>2133.3673469387759</v>
      </c>
      <c r="F408">
        <f t="shared" si="224"/>
        <v>2234.2857142857147</v>
      </c>
      <c r="G408">
        <f t="shared" si="224"/>
        <v>2547.8571428571431</v>
      </c>
      <c r="H408">
        <f t="shared" si="224"/>
        <v>2333.2774641248147</v>
      </c>
      <c r="I408">
        <f t="shared" si="224"/>
        <v>2492.7720834849347</v>
      </c>
      <c r="J408">
        <f t="shared" si="224"/>
        <v>2338.9764716417521</v>
      </c>
      <c r="K408">
        <f t="shared" si="224"/>
        <v>2574.696326031667</v>
      </c>
      <c r="L408">
        <f t="shared" si="224"/>
        <v>2684.442849460826</v>
      </c>
      <c r="M408">
        <f t="shared" si="224"/>
        <v>2838.7864648074965</v>
      </c>
      <c r="N408">
        <f t="shared" si="224"/>
        <v>2583.2465736129625</v>
      </c>
      <c r="O408">
        <f t="shared" si="224"/>
        <v>2397.2193240063134</v>
      </c>
      <c r="P408">
        <f t="shared" si="224"/>
        <v>2176.4173729538893</v>
      </c>
      <c r="Q408">
        <f t="shared" si="224"/>
        <v>1931.3036037836293</v>
      </c>
      <c r="R408">
        <f t="shared" si="224"/>
        <v>2200.5046517873288</v>
      </c>
      <c r="S408">
        <f t="shared" si="224"/>
        <v>2313.7712344737388</v>
      </c>
      <c r="T408">
        <f t="shared" si="224"/>
        <v>2158.4818111582695</v>
      </c>
      <c r="U408">
        <f t="shared" si="224"/>
        <v>2462.2719466883282</v>
      </c>
      <c r="V408">
        <f t="shared" si="224"/>
        <v>2706.8894983817695</v>
      </c>
      <c r="W408">
        <f t="shared" si="224"/>
        <v>2712.9963444620894</v>
      </c>
      <c r="Y408" s="15">
        <f t="shared" ref="Y408:Y431" si="225">SUM(D408:W408)</f>
        <v>48173.564224941438</v>
      </c>
      <c r="Z408">
        <f t="shared" ref="Z408:Z427" si="226">SUMPRODUCT($D$433:$S$433,D408:S408)</f>
        <v>-6953.7265599225493</v>
      </c>
    </row>
    <row r="409" spans="1:26" x14ac:dyDescent="0.25">
      <c r="A409" t="s">
        <v>44</v>
      </c>
      <c r="D409">
        <f t="shared" ref="D409:W409" si="227">D32*D90</f>
        <v>2734.8244897959185</v>
      </c>
      <c r="E409">
        <f t="shared" si="227"/>
        <v>2669.6857142857143</v>
      </c>
      <c r="F409">
        <f t="shared" si="227"/>
        <v>2378.3408163265303</v>
      </c>
      <c r="G409">
        <f t="shared" si="227"/>
        <v>2617.2734693877555</v>
      </c>
      <c r="H409">
        <f t="shared" si="227"/>
        <v>2673.5043785494754</v>
      </c>
      <c r="I409">
        <f t="shared" si="227"/>
        <v>2500.7053421459959</v>
      </c>
      <c r="J409">
        <f t="shared" si="227"/>
        <v>2337.7533908109185</v>
      </c>
      <c r="K409">
        <f t="shared" si="227"/>
        <v>2316.672071106731</v>
      </c>
      <c r="L409">
        <f t="shared" si="227"/>
        <v>2086.7073512346724</v>
      </c>
      <c r="M409">
        <f t="shared" si="227"/>
        <v>2585.8205859572986</v>
      </c>
      <c r="N409">
        <f t="shared" si="227"/>
        <v>2752.9723473975691</v>
      </c>
      <c r="O409">
        <f t="shared" si="227"/>
        <v>2098.9731714557761</v>
      </c>
      <c r="P409">
        <f t="shared" si="227"/>
        <v>2366.963065042909</v>
      </c>
      <c r="Q409">
        <f t="shared" si="227"/>
        <v>2169.1532712398011</v>
      </c>
      <c r="R409">
        <f t="shared" si="227"/>
        <v>2334.4459372231026</v>
      </c>
      <c r="S409">
        <f t="shared" si="227"/>
        <v>1913.4191568062363</v>
      </c>
      <c r="T409">
        <f t="shared" si="227"/>
        <v>2111.9876289041181</v>
      </c>
      <c r="U409">
        <f t="shared" si="227"/>
        <v>1898.833380854843</v>
      </c>
      <c r="V409">
        <f t="shared" si="227"/>
        <v>2407.5441545652966</v>
      </c>
      <c r="W409">
        <f t="shared" si="227"/>
        <v>2625.7717647025343</v>
      </c>
      <c r="Y409" s="15">
        <f t="shared" si="225"/>
        <v>47581.351487793196</v>
      </c>
      <c r="Z409">
        <f t="shared" si="226"/>
        <v>-6926.3097073134113</v>
      </c>
    </row>
    <row r="410" spans="1:26" x14ac:dyDescent="0.25">
      <c r="A410" t="s">
        <v>45</v>
      </c>
      <c r="D410">
        <f t="shared" ref="D410:W410" si="228">D33*D91</f>
        <v>3325.4962207790645</v>
      </c>
      <c r="E410">
        <f t="shared" si="228"/>
        <v>2012.0734693877553</v>
      </c>
      <c r="F410">
        <f t="shared" si="228"/>
        <v>2578.1836734693879</v>
      </c>
      <c r="G410">
        <f t="shared" si="228"/>
        <v>2062.3510204081631</v>
      </c>
      <c r="H410">
        <f t="shared" si="228"/>
        <v>2698.5223782578391</v>
      </c>
      <c r="I410">
        <f t="shared" si="228"/>
        <v>2436.8361688671725</v>
      </c>
      <c r="J410">
        <f t="shared" si="228"/>
        <v>1925.4301137512155</v>
      </c>
      <c r="K410">
        <f t="shared" si="228"/>
        <v>2488.2146395262666</v>
      </c>
      <c r="L410">
        <f t="shared" si="228"/>
        <v>1907.3133731360551</v>
      </c>
      <c r="M410">
        <f t="shared" si="228"/>
        <v>2124.0544583721471</v>
      </c>
      <c r="N410">
        <f t="shared" si="228"/>
        <v>2311.2695973550399</v>
      </c>
      <c r="O410">
        <f t="shared" si="228"/>
        <v>2282.0406268621491</v>
      </c>
      <c r="P410">
        <f t="shared" si="228"/>
        <v>2183.8699628613463</v>
      </c>
      <c r="Q410">
        <f t="shared" si="228"/>
        <v>2145.7199687612665</v>
      </c>
      <c r="R410">
        <f t="shared" si="228"/>
        <v>2374.0742426216907</v>
      </c>
      <c r="S410">
        <f t="shared" si="228"/>
        <v>2263.9605580057619</v>
      </c>
      <c r="T410">
        <f t="shared" si="228"/>
        <v>2225.1794845179588</v>
      </c>
      <c r="U410">
        <f t="shared" si="228"/>
        <v>3465.1362979119408</v>
      </c>
      <c r="V410">
        <f t="shared" si="228"/>
        <v>2330.6384225359711</v>
      </c>
      <c r="W410">
        <f t="shared" si="228"/>
        <v>2537.0335373271209</v>
      </c>
      <c r="Y410" s="15">
        <f t="shared" si="225"/>
        <v>47677.398214715322</v>
      </c>
      <c r="Z410">
        <f t="shared" si="226"/>
        <v>-6666.2670554291235</v>
      </c>
    </row>
    <row r="411" spans="1:26" x14ac:dyDescent="0.25">
      <c r="A411" t="s">
        <v>46</v>
      </c>
      <c r="D411">
        <f t="shared" ref="D411:W411" si="229">D34*D92</f>
        <v>2892.5221318492836</v>
      </c>
      <c r="E411">
        <f t="shared" si="229"/>
        <v>2237.0020359044106</v>
      </c>
      <c r="F411">
        <f t="shared" si="229"/>
        <v>2520.3474096910495</v>
      </c>
      <c r="G411">
        <f t="shared" si="229"/>
        <v>2647.1316905327985</v>
      </c>
      <c r="H411">
        <f t="shared" si="229"/>
        <v>2406.7733265274551</v>
      </c>
      <c r="I411">
        <f t="shared" si="229"/>
        <v>2624.9168712786391</v>
      </c>
      <c r="J411">
        <f t="shared" si="229"/>
        <v>2741.1883595970353</v>
      </c>
      <c r="K411">
        <f t="shared" si="229"/>
        <v>2747.201215959341</v>
      </c>
      <c r="L411">
        <f t="shared" si="229"/>
        <v>2141.9435126869043</v>
      </c>
      <c r="M411">
        <f t="shared" si="229"/>
        <v>2564.2459200093513</v>
      </c>
      <c r="N411">
        <f t="shared" si="229"/>
        <v>2468.5777394402098</v>
      </c>
      <c r="O411">
        <f t="shared" si="229"/>
        <v>3054.0638558409769</v>
      </c>
      <c r="P411">
        <f t="shared" si="229"/>
        <v>3587.8517679746838</v>
      </c>
      <c r="Q411">
        <f t="shared" si="229"/>
        <v>3617.9150540835458</v>
      </c>
      <c r="R411">
        <f t="shared" si="229"/>
        <v>2213.6542180926122</v>
      </c>
      <c r="S411">
        <f t="shared" si="229"/>
        <v>2282.5280401381301</v>
      </c>
      <c r="T411">
        <f t="shared" si="229"/>
        <v>2911.7553546395425</v>
      </c>
      <c r="U411">
        <f t="shared" si="229"/>
        <v>2055.3355940687097</v>
      </c>
      <c r="V411">
        <f t="shared" si="229"/>
        <v>2628.2048981351236</v>
      </c>
      <c r="W411">
        <f t="shared" si="229"/>
        <v>2766.8938506879158</v>
      </c>
      <c r="Y411" s="15">
        <f t="shared" si="225"/>
        <v>53110.052847137718</v>
      </c>
      <c r="Z411">
        <f t="shared" si="226"/>
        <v>-8440.8298883675689</v>
      </c>
    </row>
    <row r="412" spans="1:26" x14ac:dyDescent="0.25">
      <c r="A412" t="s">
        <v>47</v>
      </c>
      <c r="D412">
        <f t="shared" ref="D412:W412" si="230">D35*D93</f>
        <v>2875.163602471549</v>
      </c>
      <c r="E412">
        <f t="shared" si="230"/>
        <v>2852.5462767222302</v>
      </c>
      <c r="F412">
        <f t="shared" si="230"/>
        <v>2429.0680273349531</v>
      </c>
      <c r="G412">
        <f t="shared" si="230"/>
        <v>2776.363030516683</v>
      </c>
      <c r="H412">
        <f t="shared" si="230"/>
        <v>2738.8305090778144</v>
      </c>
      <c r="I412">
        <f t="shared" si="230"/>
        <v>2673.8223558413051</v>
      </c>
      <c r="J412">
        <f t="shared" si="230"/>
        <v>2136.9825483045138</v>
      </c>
      <c r="K412">
        <f t="shared" si="230"/>
        <v>2737.0241413715971</v>
      </c>
      <c r="L412">
        <f t="shared" si="230"/>
        <v>2866.2636783100347</v>
      </c>
      <c r="M412">
        <f t="shared" si="230"/>
        <v>2181.1782230457243</v>
      </c>
      <c r="N412">
        <f t="shared" si="230"/>
        <v>2274.0237012983912</v>
      </c>
      <c r="O412">
        <f t="shared" si="230"/>
        <v>2479.3417970167761</v>
      </c>
      <c r="P412">
        <f t="shared" si="230"/>
        <v>2396.8932634102857</v>
      </c>
      <c r="Q412">
        <f t="shared" si="230"/>
        <v>2519.5116552313561</v>
      </c>
      <c r="R412">
        <f t="shared" si="230"/>
        <v>2055.9265385304229</v>
      </c>
      <c r="S412">
        <f t="shared" si="230"/>
        <v>2640.5923196896456</v>
      </c>
      <c r="T412">
        <f t="shared" si="230"/>
        <v>1813.3844126883132</v>
      </c>
      <c r="U412">
        <f t="shared" si="230"/>
        <v>2340.9991177276997</v>
      </c>
      <c r="V412">
        <f t="shared" si="230"/>
        <v>2284.8425643304777</v>
      </c>
      <c r="W412">
        <f t="shared" si="230"/>
        <v>2420.4729594350756</v>
      </c>
      <c r="Y412" s="15">
        <f t="shared" si="225"/>
        <v>49493.230722354856</v>
      </c>
      <c r="Z412">
        <f t="shared" si="226"/>
        <v>-6739.6842284556105</v>
      </c>
    </row>
    <row r="413" spans="1:26" x14ac:dyDescent="0.25">
      <c r="A413" t="s">
        <v>48</v>
      </c>
      <c r="D413">
        <f t="shared" ref="D413:W413" si="231">D36*D94</f>
        <v>2666.8183753352705</v>
      </c>
      <c r="E413">
        <f t="shared" si="231"/>
        <v>2513.6172412732381</v>
      </c>
      <c r="F413">
        <f t="shared" si="231"/>
        <v>2639.3636332769856</v>
      </c>
      <c r="G413">
        <f t="shared" si="231"/>
        <v>2567.7555774553207</v>
      </c>
      <c r="H413">
        <f t="shared" si="231"/>
        <v>2507.7091450094076</v>
      </c>
      <c r="I413">
        <f t="shared" si="231"/>
        <v>2527.3489804238466</v>
      </c>
      <c r="J413">
        <f t="shared" si="231"/>
        <v>2346.1992768440368</v>
      </c>
      <c r="K413">
        <f t="shared" si="231"/>
        <v>2320.8888015134776</v>
      </c>
      <c r="L413">
        <f t="shared" si="231"/>
        <v>2096.5072540431629</v>
      </c>
      <c r="M413">
        <f t="shared" si="231"/>
        <v>2126.1705280931255</v>
      </c>
      <c r="N413">
        <f t="shared" si="231"/>
        <v>2547.6647094322871</v>
      </c>
      <c r="O413">
        <f t="shared" si="231"/>
        <v>1686.4897314996501</v>
      </c>
      <c r="P413">
        <f t="shared" si="231"/>
        <v>2117.482079234027</v>
      </c>
      <c r="Q413">
        <f t="shared" si="231"/>
        <v>2451.8180894232896</v>
      </c>
      <c r="R413">
        <f t="shared" si="231"/>
        <v>1866.4196315241218</v>
      </c>
      <c r="S413">
        <f t="shared" si="231"/>
        <v>2707.594013950943</v>
      </c>
      <c r="T413">
        <f t="shared" si="231"/>
        <v>1767.0381812584842</v>
      </c>
      <c r="U413">
        <f t="shared" si="231"/>
        <v>1821.4048969961016</v>
      </c>
      <c r="V413">
        <f t="shared" si="231"/>
        <v>2195.6005863733717</v>
      </c>
      <c r="W413">
        <f t="shared" si="231"/>
        <v>2437.1509084673949</v>
      </c>
      <c r="Y413" s="15">
        <f t="shared" si="225"/>
        <v>45911.041641427539</v>
      </c>
      <c r="Z413">
        <f t="shared" si="226"/>
        <v>-5952.7205674566976</v>
      </c>
    </row>
    <row r="414" spans="1:26" x14ac:dyDescent="0.25">
      <c r="A414" t="s">
        <v>49</v>
      </c>
      <c r="D414">
        <f t="shared" ref="D414:W414" si="232">D37*D95</f>
        <v>2915.1798733364526</v>
      </c>
      <c r="E414">
        <f t="shared" si="232"/>
        <v>2643.7836663037665</v>
      </c>
      <c r="F414">
        <f t="shared" si="232"/>
        <v>2602.4536151548873</v>
      </c>
      <c r="G414">
        <f t="shared" si="232"/>
        <v>2697.496194442112</v>
      </c>
      <c r="H414">
        <f t="shared" si="232"/>
        <v>2837.5417888011084</v>
      </c>
      <c r="I414">
        <f t="shared" si="232"/>
        <v>2592.7320278862844</v>
      </c>
      <c r="J414">
        <f t="shared" si="232"/>
        <v>2417.926981886033</v>
      </c>
      <c r="K414">
        <f t="shared" si="232"/>
        <v>2910.7596006769713</v>
      </c>
      <c r="L414">
        <f t="shared" si="232"/>
        <v>2043.9535431854754</v>
      </c>
      <c r="M414">
        <f t="shared" si="232"/>
        <v>2728.9660317477837</v>
      </c>
      <c r="N414">
        <f t="shared" si="232"/>
        <v>2431.7422082402622</v>
      </c>
      <c r="O414">
        <f t="shared" si="232"/>
        <v>2786.3139685485812</v>
      </c>
      <c r="P414">
        <f t="shared" si="232"/>
        <v>2286.9719514321646</v>
      </c>
      <c r="Q414">
        <f t="shared" si="232"/>
        <v>2034.2629175277107</v>
      </c>
      <c r="R414">
        <f t="shared" si="232"/>
        <v>2456.0467327771562</v>
      </c>
      <c r="S414">
        <f t="shared" si="232"/>
        <v>2643.1205557356402</v>
      </c>
      <c r="T414">
        <f t="shared" si="232"/>
        <v>2431.9383818109832</v>
      </c>
      <c r="U414">
        <f t="shared" si="232"/>
        <v>2606.4350959072531</v>
      </c>
      <c r="V414">
        <f t="shared" si="232"/>
        <v>2582.6103789334416</v>
      </c>
      <c r="W414">
        <f t="shared" si="232"/>
        <v>2506.2709581638928</v>
      </c>
      <c r="Y414" s="15">
        <f t="shared" si="225"/>
        <v>51156.50647249796</v>
      </c>
      <c r="Z414">
        <f t="shared" si="226"/>
        <v>-7348.3432870224042</v>
      </c>
    </row>
    <row r="415" spans="1:26" x14ac:dyDescent="0.25">
      <c r="A415" t="s">
        <v>50</v>
      </c>
      <c r="D415">
        <f t="shared" ref="D415:W415" si="233">D38*D96</f>
        <v>3005.2719181385737</v>
      </c>
      <c r="E415">
        <f t="shared" si="233"/>
        <v>2890.5346938775506</v>
      </c>
      <c r="F415">
        <f t="shared" si="233"/>
        <v>2739.4285714285716</v>
      </c>
      <c r="G415">
        <f t="shared" si="233"/>
        <v>2469.971428571429</v>
      </c>
      <c r="H415">
        <f t="shared" si="233"/>
        <v>3155.8924070830135</v>
      </c>
      <c r="I415">
        <f t="shared" si="233"/>
        <v>2722.2922951875062</v>
      </c>
      <c r="J415">
        <f t="shared" si="233"/>
        <v>2315.2630114404155</v>
      </c>
      <c r="K415">
        <f t="shared" si="233"/>
        <v>2030.2906691171991</v>
      </c>
      <c r="L415">
        <f t="shared" si="233"/>
        <v>2298.9519950858084</v>
      </c>
      <c r="M415">
        <f t="shared" si="233"/>
        <v>1684.6591310487786</v>
      </c>
      <c r="N415">
        <f t="shared" si="233"/>
        <v>2497.4604953219737</v>
      </c>
      <c r="O415">
        <f t="shared" si="233"/>
        <v>2092.2081282464414</v>
      </c>
      <c r="P415">
        <f t="shared" si="233"/>
        <v>2056.0225559280252</v>
      </c>
      <c r="Q415">
        <f t="shared" si="233"/>
        <v>2533.2964240014248</v>
      </c>
      <c r="R415">
        <f t="shared" si="233"/>
        <v>2635.0242852032661</v>
      </c>
      <c r="S415">
        <f t="shared" si="233"/>
        <v>1972.2913432170399</v>
      </c>
      <c r="T415">
        <f t="shared" si="233"/>
        <v>1603.685250242977</v>
      </c>
      <c r="U415">
        <f t="shared" si="233"/>
        <v>1588.7915570908488</v>
      </c>
      <c r="V415">
        <f t="shared" si="233"/>
        <v>2844.2119165555896</v>
      </c>
      <c r="W415">
        <f t="shared" si="233"/>
        <v>2956.3523116393844</v>
      </c>
      <c r="Y415" s="15">
        <f t="shared" si="225"/>
        <v>48091.900388425827</v>
      </c>
      <c r="Z415">
        <f t="shared" si="226"/>
        <v>-6235.468756709296</v>
      </c>
    </row>
    <row r="416" spans="1:26" x14ac:dyDescent="0.25">
      <c r="A416" t="s">
        <v>51</v>
      </c>
      <c r="D416">
        <f t="shared" ref="D416:W416" si="234">D39*D97</f>
        <v>2653.9280169744798</v>
      </c>
      <c r="E416">
        <f t="shared" si="234"/>
        <v>2527.9941714234324</v>
      </c>
      <c r="F416">
        <f t="shared" si="234"/>
        <v>3182.7650414056784</v>
      </c>
      <c r="G416">
        <f t="shared" si="234"/>
        <v>2702.5985671388294</v>
      </c>
      <c r="H416">
        <f t="shared" si="234"/>
        <v>2165.1874639994903</v>
      </c>
      <c r="I416">
        <f t="shared" si="234"/>
        <v>1560.9155018638266</v>
      </c>
      <c r="J416">
        <f t="shared" si="234"/>
        <v>2659.4709850204908</v>
      </c>
      <c r="K416">
        <f t="shared" si="234"/>
        <v>2199.9139940884738</v>
      </c>
      <c r="L416">
        <f t="shared" si="234"/>
        <v>2057.4807299588188</v>
      </c>
      <c r="M416">
        <f t="shared" si="234"/>
        <v>2162.6456035994051</v>
      </c>
      <c r="N416">
        <f t="shared" si="234"/>
        <v>1875.8401179633672</v>
      </c>
      <c r="O416">
        <f t="shared" si="234"/>
        <v>2131.2634918480726</v>
      </c>
      <c r="P416">
        <f t="shared" si="234"/>
        <v>1913.7820264054328</v>
      </c>
      <c r="Q416">
        <f t="shared" si="234"/>
        <v>1801.2924437991774</v>
      </c>
      <c r="R416">
        <f t="shared" si="234"/>
        <v>2370.2095444483357</v>
      </c>
      <c r="S416">
        <f t="shared" si="234"/>
        <v>2190.1030981306735</v>
      </c>
      <c r="T416">
        <f t="shared" si="234"/>
        <v>2931.276459578231</v>
      </c>
      <c r="U416">
        <f t="shared" si="234"/>
        <v>1493.6823584537624</v>
      </c>
      <c r="V416">
        <f t="shared" si="234"/>
        <v>2028.3212771247054</v>
      </c>
      <c r="W416">
        <f t="shared" si="234"/>
        <v>2366.7717567142927</v>
      </c>
      <c r="Y416" s="15">
        <f t="shared" si="225"/>
        <v>44975.442649938974</v>
      </c>
      <c r="Z416">
        <f t="shared" si="226"/>
        <v>-5838.3869057749762</v>
      </c>
    </row>
    <row r="417" spans="1:26" x14ac:dyDescent="0.25">
      <c r="A417" t="s">
        <v>52</v>
      </c>
      <c r="D417">
        <f t="shared" ref="D417:W417" si="235">D40*D98</f>
        <v>2964.2382661368524</v>
      </c>
      <c r="E417">
        <f t="shared" si="235"/>
        <v>2021.562072995044</v>
      </c>
      <c r="F417">
        <f t="shared" si="235"/>
        <v>2481.8762379073514</v>
      </c>
      <c r="G417">
        <f t="shared" si="235"/>
        <v>2603.5714406229258</v>
      </c>
      <c r="H417">
        <f t="shared" si="235"/>
        <v>2510.4938762696138</v>
      </c>
      <c r="I417">
        <f t="shared" si="235"/>
        <v>3234.4866332083939</v>
      </c>
      <c r="J417">
        <f t="shared" si="235"/>
        <v>1952.5031198652691</v>
      </c>
      <c r="K417">
        <f t="shared" si="235"/>
        <v>2574.8204879745067</v>
      </c>
      <c r="L417">
        <f t="shared" si="235"/>
        <v>1982.0961907345027</v>
      </c>
      <c r="M417">
        <f t="shared" si="235"/>
        <v>2151.3564262730711</v>
      </c>
      <c r="N417">
        <f t="shared" si="235"/>
        <v>2336.1025188118479</v>
      </c>
      <c r="O417">
        <f t="shared" si="235"/>
        <v>2532.9722022238202</v>
      </c>
      <c r="P417">
        <f t="shared" si="235"/>
        <v>2467.4033936628216</v>
      </c>
      <c r="Q417">
        <f t="shared" si="235"/>
        <v>2036.3878614230359</v>
      </c>
      <c r="R417">
        <f t="shared" si="235"/>
        <v>2328.7898636765331</v>
      </c>
      <c r="S417">
        <f t="shared" si="235"/>
        <v>1962.0817661952601</v>
      </c>
      <c r="T417">
        <f t="shared" si="235"/>
        <v>2661.708252873058</v>
      </c>
      <c r="U417">
        <f t="shared" si="235"/>
        <v>2490.6578790616491</v>
      </c>
      <c r="V417">
        <f t="shared" si="235"/>
        <v>2248.9776812481264</v>
      </c>
      <c r="W417">
        <f t="shared" si="235"/>
        <v>2006.9058005023771</v>
      </c>
      <c r="Y417" s="15">
        <f t="shared" si="225"/>
        <v>47548.991971666059</v>
      </c>
      <c r="Z417">
        <f t="shared" si="226"/>
        <v>-7137.7066317610143</v>
      </c>
    </row>
    <row r="418" spans="1:26" x14ac:dyDescent="0.25">
      <c r="A418" t="s">
        <v>53</v>
      </c>
      <c r="D418">
        <f t="shared" ref="D418:W418" si="236">D41*D99</f>
        <v>2418.5933678812071</v>
      </c>
      <c r="E418">
        <f t="shared" si="236"/>
        <v>2686.2248769874577</v>
      </c>
      <c r="F418">
        <f t="shared" si="236"/>
        <v>2739.8376989176868</v>
      </c>
      <c r="G418">
        <f t="shared" si="236"/>
        <v>2712.8200063917375</v>
      </c>
      <c r="H418">
        <f t="shared" si="236"/>
        <v>2528.7677664041021</v>
      </c>
      <c r="I418">
        <f t="shared" si="236"/>
        <v>2233.3469202218698</v>
      </c>
      <c r="J418">
        <f t="shared" si="236"/>
        <v>1997.4281414654761</v>
      </c>
      <c r="K418">
        <f t="shared" si="236"/>
        <v>2605.6272208305199</v>
      </c>
      <c r="L418">
        <f t="shared" si="236"/>
        <v>2229.7963354822919</v>
      </c>
      <c r="M418">
        <f t="shared" si="236"/>
        <v>2549.0391467527852</v>
      </c>
      <c r="N418">
        <f t="shared" si="236"/>
        <v>2619.5584741731755</v>
      </c>
      <c r="O418">
        <f t="shared" si="236"/>
        <v>2091.8413145128216</v>
      </c>
      <c r="P418">
        <f t="shared" si="236"/>
        <v>2915.6555146408086</v>
      </c>
      <c r="Q418">
        <f t="shared" si="236"/>
        <v>2521.5577252938842</v>
      </c>
      <c r="R418">
        <f t="shared" si="236"/>
        <v>2832.5168188396592</v>
      </c>
      <c r="S418">
        <f t="shared" si="236"/>
        <v>2426.9526667284317</v>
      </c>
      <c r="T418">
        <f t="shared" si="236"/>
        <v>2328.1315823238619</v>
      </c>
      <c r="U418">
        <f t="shared" si="236"/>
        <v>1977.9101359366186</v>
      </c>
      <c r="V418">
        <f t="shared" si="236"/>
        <v>2857.9097231521168</v>
      </c>
      <c r="W418">
        <f t="shared" si="236"/>
        <v>3039.8552606047265</v>
      </c>
      <c r="Y418" s="15">
        <f t="shared" si="225"/>
        <v>50313.370697541228</v>
      </c>
      <c r="Z418">
        <f t="shared" si="226"/>
        <v>-7136.8638930131665</v>
      </c>
    </row>
    <row r="419" spans="1:26" x14ac:dyDescent="0.25">
      <c r="A419" t="s">
        <v>54</v>
      </c>
      <c r="D419">
        <f t="shared" ref="D419:W419" si="237">D42*D100</f>
        <v>2872.7654489609286</v>
      </c>
      <c r="E419">
        <f t="shared" si="237"/>
        <v>2941.4572269774885</v>
      </c>
      <c r="F419">
        <f t="shared" si="237"/>
        <v>2829.9737427619198</v>
      </c>
      <c r="G419">
        <f t="shared" si="237"/>
        <v>2546.8502359787535</v>
      </c>
      <c r="H419">
        <f t="shared" si="237"/>
        <v>2644.6500968551459</v>
      </c>
      <c r="I419">
        <f t="shared" si="237"/>
        <v>2839.2886307272856</v>
      </c>
      <c r="J419">
        <f t="shared" si="237"/>
        <v>2669.9904190011071</v>
      </c>
      <c r="K419">
        <f t="shared" si="237"/>
        <v>2244.8764110565457</v>
      </c>
      <c r="L419">
        <f t="shared" si="237"/>
        <v>2007.9829483336366</v>
      </c>
      <c r="M419">
        <f t="shared" si="237"/>
        <v>2503.2990792585742</v>
      </c>
      <c r="N419">
        <f t="shared" si="237"/>
        <v>2536.6503344035118</v>
      </c>
      <c r="O419">
        <f t="shared" si="237"/>
        <v>2603.6140444830962</v>
      </c>
      <c r="P419">
        <f t="shared" si="237"/>
        <v>2337.0385471140221</v>
      </c>
      <c r="Q419">
        <f t="shared" si="237"/>
        <v>2473.4606641419828</v>
      </c>
      <c r="R419">
        <f t="shared" si="237"/>
        <v>2014.2263637467036</v>
      </c>
      <c r="S419">
        <f t="shared" si="237"/>
        <v>2507.4424288884106</v>
      </c>
      <c r="T419">
        <f t="shared" si="237"/>
        <v>2780.4861009425285</v>
      </c>
      <c r="U419">
        <f t="shared" si="237"/>
        <v>2374.4788822983701</v>
      </c>
      <c r="V419">
        <f t="shared" si="237"/>
        <v>1498.9210141234319</v>
      </c>
      <c r="W419">
        <f t="shared" si="237"/>
        <v>2263.517600652493</v>
      </c>
      <c r="Y419" s="15">
        <f t="shared" si="225"/>
        <v>49490.970220705938</v>
      </c>
      <c r="Z419">
        <f t="shared" si="226"/>
        <v>-6899.2528795155295</v>
      </c>
    </row>
    <row r="420" spans="1:26" x14ac:dyDescent="0.25">
      <c r="A420" t="s">
        <v>55</v>
      </c>
      <c r="D420">
        <f t="shared" ref="D420:W420" si="238">D43*D101</f>
        <v>2468.947657760752</v>
      </c>
      <c r="E420">
        <f t="shared" si="238"/>
        <v>2232.1822131994795</v>
      </c>
      <c r="F420">
        <f t="shared" si="238"/>
        <v>2675.9408983043604</v>
      </c>
      <c r="G420">
        <f t="shared" si="238"/>
        <v>2789.8682554290849</v>
      </c>
      <c r="H420">
        <f t="shared" si="238"/>
        <v>2620.8361050630151</v>
      </c>
      <c r="I420">
        <f t="shared" si="238"/>
        <v>2297.8715671734803</v>
      </c>
      <c r="J420">
        <f t="shared" si="238"/>
        <v>2789.9457770851723</v>
      </c>
      <c r="K420">
        <f t="shared" si="238"/>
        <v>2431.6217665429135</v>
      </c>
      <c r="L420">
        <f t="shared" si="238"/>
        <v>2031.1338564933087</v>
      </c>
      <c r="M420">
        <f t="shared" si="238"/>
        <v>2131.606625595517</v>
      </c>
      <c r="N420">
        <f t="shared" si="238"/>
        <v>2885.5768669821314</v>
      </c>
      <c r="O420">
        <f t="shared" si="238"/>
        <v>2193.1512975554092</v>
      </c>
      <c r="P420">
        <f t="shared" si="238"/>
        <v>2292.1975040759617</v>
      </c>
      <c r="Q420">
        <f t="shared" si="238"/>
        <v>2578.9284159497874</v>
      </c>
      <c r="R420">
        <f t="shared" si="238"/>
        <v>2564.5747976675166</v>
      </c>
      <c r="S420">
        <f t="shared" si="238"/>
        <v>2570.1046763727372</v>
      </c>
      <c r="T420">
        <f t="shared" si="238"/>
        <v>1699.2344170201231</v>
      </c>
      <c r="U420">
        <f t="shared" si="238"/>
        <v>2215.1231936673366</v>
      </c>
      <c r="V420">
        <f t="shared" si="238"/>
        <v>2768.6453988163557</v>
      </c>
      <c r="W420">
        <f t="shared" si="238"/>
        <v>2113.9502422989844</v>
      </c>
      <c r="Y420" s="15">
        <f t="shared" si="225"/>
        <v>48351.441533053425</v>
      </c>
      <c r="Z420">
        <f t="shared" si="226"/>
        <v>-6796.3724195156174</v>
      </c>
    </row>
    <row r="421" spans="1:26" x14ac:dyDescent="0.25">
      <c r="A421" t="s">
        <v>56</v>
      </c>
      <c r="D421">
        <f t="shared" ref="D421:W421" si="239">D44*D102</f>
        <v>3040.8206274067657</v>
      </c>
      <c r="E421">
        <f t="shared" si="239"/>
        <v>2721.2999999999997</v>
      </c>
      <c r="F421">
        <f t="shared" si="239"/>
        <v>2910.5571428571429</v>
      </c>
      <c r="G421">
        <f t="shared" si="239"/>
        <v>2678.8571428571427</v>
      </c>
      <c r="H421">
        <f t="shared" si="239"/>
        <v>2504.8882152048504</v>
      </c>
      <c r="I421">
        <f t="shared" si="239"/>
        <v>2555.7881998220419</v>
      </c>
      <c r="J421">
        <f t="shared" si="239"/>
        <v>2616.2557465922287</v>
      </c>
      <c r="K421">
        <f t="shared" si="239"/>
        <v>2566.3382559488396</v>
      </c>
      <c r="L421">
        <f t="shared" si="239"/>
        <v>2811.4887414560776</v>
      </c>
      <c r="M421">
        <f t="shared" si="239"/>
        <v>2227.3488715210096</v>
      </c>
      <c r="N421">
        <f t="shared" si="239"/>
        <v>2170.4489220718601</v>
      </c>
      <c r="O421">
        <f t="shared" si="239"/>
        <v>2423.6168045407849</v>
      </c>
      <c r="P421">
        <f t="shared" si="239"/>
        <v>2334.0713171267098</v>
      </c>
      <c r="Q421">
        <f t="shared" si="239"/>
        <v>2207.104127428443</v>
      </c>
      <c r="R421">
        <f t="shared" si="239"/>
        <v>2417.2317007561937</v>
      </c>
      <c r="S421">
        <f t="shared" si="239"/>
        <v>2649.5290937913601</v>
      </c>
      <c r="T421">
        <f t="shared" si="239"/>
        <v>2985.0441934103396</v>
      </c>
      <c r="U421">
        <f t="shared" si="239"/>
        <v>2563.2335279837394</v>
      </c>
      <c r="V421">
        <f t="shared" si="239"/>
        <v>2055.9222855122507</v>
      </c>
      <c r="W421">
        <f t="shared" si="239"/>
        <v>2396.515359689759</v>
      </c>
      <c r="Y421" s="15">
        <f t="shared" si="225"/>
        <v>50836.360275977539</v>
      </c>
      <c r="Z421">
        <f t="shared" si="226"/>
        <v>-6646.4896884380742</v>
      </c>
    </row>
    <row r="422" spans="1:26" x14ac:dyDescent="0.25">
      <c r="A422" t="s">
        <v>57</v>
      </c>
      <c r="D422">
        <f t="shared" ref="D422:W422" si="240">D45*D103</f>
        <v>2487.8979591836733</v>
      </c>
      <c r="E422">
        <f t="shared" si="240"/>
        <v>2741.2714285714283</v>
      </c>
      <c r="F422">
        <f t="shared" si="240"/>
        <v>2868.8551020408163</v>
      </c>
      <c r="G422">
        <f t="shared" si="240"/>
        <v>2963.4734693877544</v>
      </c>
      <c r="H422">
        <f t="shared" si="240"/>
        <v>2587.6154265753603</v>
      </c>
      <c r="I422">
        <f t="shared" si="240"/>
        <v>2531.8453092469172</v>
      </c>
      <c r="J422">
        <f t="shared" si="240"/>
        <v>2588.8854695304017</v>
      </c>
      <c r="K422">
        <f t="shared" si="240"/>
        <v>2695.3547176558</v>
      </c>
      <c r="L422">
        <f t="shared" si="240"/>
        <v>2825.8893950093657</v>
      </c>
      <c r="M422">
        <f t="shared" si="240"/>
        <v>2266.93073775834</v>
      </c>
      <c r="N422">
        <f t="shared" si="240"/>
        <v>2389.9648411513604</v>
      </c>
      <c r="O422">
        <f t="shared" si="240"/>
        <v>2363.6158500992647</v>
      </c>
      <c r="P422">
        <f t="shared" si="240"/>
        <v>2385.1273262485061</v>
      </c>
      <c r="Q422">
        <f t="shared" si="240"/>
        <v>2368.4573991783304</v>
      </c>
      <c r="R422">
        <f t="shared" si="240"/>
        <v>2295.0387576635912</v>
      </c>
      <c r="S422">
        <f t="shared" si="240"/>
        <v>2284.9060693330289</v>
      </c>
      <c r="T422">
        <f t="shared" si="240"/>
        <v>2258.7144322947438</v>
      </c>
      <c r="U422">
        <f t="shared" si="240"/>
        <v>2190.05588157703</v>
      </c>
      <c r="V422">
        <f t="shared" si="240"/>
        <v>2400.9737750534377</v>
      </c>
      <c r="W422">
        <f t="shared" si="240"/>
        <v>2517.4503867067051</v>
      </c>
      <c r="Y422" s="15">
        <f t="shared" si="225"/>
        <v>50012.323734265854</v>
      </c>
      <c r="Z422">
        <f t="shared" si="226"/>
        <v>-6698.6566518093523</v>
      </c>
    </row>
    <row r="423" spans="1:26" x14ac:dyDescent="0.25">
      <c r="A423" t="s">
        <v>58</v>
      </c>
      <c r="D423">
        <f t="shared" ref="D423:W423" si="241">D46*D104</f>
        <v>2574.1959183673471</v>
      </c>
      <c r="E423">
        <f t="shared" si="241"/>
        <v>3108.7102040816326</v>
      </c>
      <c r="F423">
        <f t="shared" si="241"/>
        <v>2659.0816326530612</v>
      </c>
      <c r="G423">
        <f t="shared" si="241"/>
        <v>2435.014285714286</v>
      </c>
      <c r="H423">
        <f t="shared" si="241"/>
        <v>2616.7176754274819</v>
      </c>
      <c r="I423">
        <f t="shared" si="241"/>
        <v>2515.6530688755333</v>
      </c>
      <c r="J423">
        <f t="shared" si="241"/>
        <v>2284.7186532210385</v>
      </c>
      <c r="K423">
        <f t="shared" si="241"/>
        <v>2517.8735473721622</v>
      </c>
      <c r="L423">
        <f t="shared" si="241"/>
        <v>2177.1744247669762</v>
      </c>
      <c r="M423">
        <f t="shared" si="241"/>
        <v>1890.272273451847</v>
      </c>
      <c r="N423">
        <f t="shared" si="241"/>
        <v>2014.6687220692288</v>
      </c>
      <c r="O423">
        <f t="shared" si="241"/>
        <v>2370.8937832959014</v>
      </c>
      <c r="P423">
        <f t="shared" si="241"/>
        <v>1822.3747925830457</v>
      </c>
      <c r="Q423">
        <f t="shared" si="241"/>
        <v>2090.9575979092497</v>
      </c>
      <c r="R423">
        <f t="shared" si="241"/>
        <v>1706.8069475648954</v>
      </c>
      <c r="S423">
        <f t="shared" si="241"/>
        <v>1974.0951908272782</v>
      </c>
      <c r="T423">
        <f t="shared" si="241"/>
        <v>2371.2442894338528</v>
      </c>
      <c r="U423">
        <f t="shared" si="241"/>
        <v>2145.6122056560507</v>
      </c>
      <c r="V423">
        <f t="shared" si="241"/>
        <v>2329.9672078190479</v>
      </c>
      <c r="W423">
        <f t="shared" si="241"/>
        <v>2207.8042651912078</v>
      </c>
      <c r="Y423" s="15">
        <f t="shared" si="225"/>
        <v>45813.836686281124</v>
      </c>
      <c r="Z423">
        <f t="shared" si="226"/>
        <v>-5741.0741153748677</v>
      </c>
    </row>
    <row r="424" spans="1:26" x14ac:dyDescent="0.25">
      <c r="A424" t="s">
        <v>59</v>
      </c>
      <c r="D424">
        <f t="shared" ref="D424:W424" si="242">D47*D105</f>
        <v>2566.3026889194502</v>
      </c>
      <c r="E424">
        <f t="shared" si="242"/>
        <v>2471.8633747088602</v>
      </c>
      <c r="F424">
        <f t="shared" si="242"/>
        <v>2477.0338402362122</v>
      </c>
      <c r="G424">
        <f t="shared" si="242"/>
        <v>2550.4293774631324</v>
      </c>
      <c r="H424">
        <f t="shared" si="242"/>
        <v>2254.9167885012384</v>
      </c>
      <c r="I424">
        <f t="shared" si="242"/>
        <v>2934.1098769722294</v>
      </c>
      <c r="J424">
        <f t="shared" si="242"/>
        <v>2608.3104375258504</v>
      </c>
      <c r="K424">
        <f t="shared" si="242"/>
        <v>2133.8291207703669</v>
      </c>
      <c r="L424">
        <f t="shared" si="242"/>
        <v>2601.2914346377165</v>
      </c>
      <c r="M424">
        <f t="shared" si="242"/>
        <v>2191.9327459771253</v>
      </c>
      <c r="N424">
        <f t="shared" si="242"/>
        <v>2282.3320335294229</v>
      </c>
      <c r="O424">
        <f t="shared" si="242"/>
        <v>2452.8274169314918</v>
      </c>
      <c r="P424">
        <f t="shared" si="242"/>
        <v>2295.8969964571284</v>
      </c>
      <c r="Q424">
        <f t="shared" si="242"/>
        <v>2242.939516576354</v>
      </c>
      <c r="R424">
        <f t="shared" si="242"/>
        <v>2200.3483476418824</v>
      </c>
      <c r="S424">
        <f t="shared" si="242"/>
        <v>1930.4428968319526</v>
      </c>
      <c r="T424">
        <f t="shared" si="242"/>
        <v>2047.857874650834</v>
      </c>
      <c r="U424">
        <f t="shared" si="242"/>
        <v>2416.9393758832225</v>
      </c>
      <c r="V424">
        <f t="shared" si="242"/>
        <v>2048.9604696470888</v>
      </c>
      <c r="W424">
        <f t="shared" si="242"/>
        <v>1840.5398513125579</v>
      </c>
      <c r="Y424" s="15">
        <f t="shared" si="225"/>
        <v>46549.104465174125</v>
      </c>
      <c r="Z424">
        <f t="shared" si="226"/>
        <v>-6641.4906341683172</v>
      </c>
    </row>
    <row r="425" spans="1:26" x14ac:dyDescent="0.25">
      <c r="A425" t="s">
        <v>60</v>
      </c>
      <c r="D425">
        <f t="shared" ref="D425:W425" si="243">D48*D106</f>
        <v>2139.5954001373125</v>
      </c>
      <c r="E425">
        <f t="shared" si="243"/>
        <v>2519.8821848072239</v>
      </c>
      <c r="F425">
        <f t="shared" si="243"/>
        <v>2752.8523559953519</v>
      </c>
      <c r="G425">
        <f t="shared" si="243"/>
        <v>2392.9850352388094</v>
      </c>
      <c r="H425">
        <f t="shared" si="243"/>
        <v>2429.631070909154</v>
      </c>
      <c r="I425">
        <f t="shared" si="243"/>
        <v>2404.586005478463</v>
      </c>
      <c r="J425">
        <f t="shared" si="243"/>
        <v>2770.5214437976288</v>
      </c>
      <c r="K425">
        <f t="shared" si="243"/>
        <v>2547.7022061005546</v>
      </c>
      <c r="L425">
        <f t="shared" si="243"/>
        <v>2368.1695601420415</v>
      </c>
      <c r="M425">
        <f t="shared" si="243"/>
        <v>2199.2525962606137</v>
      </c>
      <c r="N425">
        <f t="shared" si="243"/>
        <v>2052.4114922907543</v>
      </c>
      <c r="O425">
        <f t="shared" si="243"/>
        <v>2416.9254740110655</v>
      </c>
      <c r="P425">
        <f t="shared" si="243"/>
        <v>2566.9376412736692</v>
      </c>
      <c r="Q425">
        <f t="shared" si="243"/>
        <v>2180.236752035174</v>
      </c>
      <c r="R425">
        <f t="shared" si="243"/>
        <v>2247.1387657377063</v>
      </c>
      <c r="S425">
        <f t="shared" si="243"/>
        <v>1933.9697384365081</v>
      </c>
      <c r="T425">
        <f t="shared" si="243"/>
        <v>1938.7537996132348</v>
      </c>
      <c r="U425">
        <f t="shared" si="243"/>
        <v>2120.4809094355051</v>
      </c>
      <c r="V425">
        <f t="shared" si="243"/>
        <v>2081.5557010551529</v>
      </c>
      <c r="W425">
        <f t="shared" si="243"/>
        <v>2624.4710675202077</v>
      </c>
      <c r="Y425" s="15">
        <f t="shared" si="225"/>
        <v>46688.05920027614</v>
      </c>
      <c r="Z425">
        <f t="shared" si="226"/>
        <v>-6465.9532220568963</v>
      </c>
    </row>
    <row r="426" spans="1:26" x14ac:dyDescent="0.25">
      <c r="A426" t="s">
        <v>61</v>
      </c>
      <c r="D426">
        <f t="shared" ref="D426:W426" si="244">D49*D107</f>
        <v>2439.16979122782</v>
      </c>
      <c r="E426">
        <f t="shared" si="244"/>
        <v>2337.7952712748015</v>
      </c>
      <c r="F426">
        <f t="shared" si="244"/>
        <v>2800.7768098743572</v>
      </c>
      <c r="G426">
        <f t="shared" si="244"/>
        <v>2466.152564007502</v>
      </c>
      <c r="H426">
        <f t="shared" si="244"/>
        <v>2572.0668690568182</v>
      </c>
      <c r="I426">
        <f t="shared" si="244"/>
        <v>2216.8778849142823</v>
      </c>
      <c r="J426">
        <f t="shared" si="244"/>
        <v>2367.4174521180571</v>
      </c>
      <c r="K426">
        <f t="shared" si="244"/>
        <v>2469.0020745406932</v>
      </c>
      <c r="L426">
        <f t="shared" si="244"/>
        <v>2424.148021282786</v>
      </c>
      <c r="M426">
        <f t="shared" si="244"/>
        <v>1485.9900923028324</v>
      </c>
      <c r="N426">
        <f t="shared" si="244"/>
        <v>2370.7633680307099</v>
      </c>
      <c r="O426">
        <f t="shared" si="244"/>
        <v>2356.6570375973774</v>
      </c>
      <c r="P426">
        <f t="shared" si="244"/>
        <v>2176.9358940140023</v>
      </c>
      <c r="Q426">
        <f t="shared" si="244"/>
        <v>2399.4102227021845</v>
      </c>
      <c r="R426">
        <f t="shared" si="244"/>
        <v>2821.3431172366677</v>
      </c>
      <c r="S426">
        <f t="shared" si="244"/>
        <v>2588.4659020235158</v>
      </c>
      <c r="T426">
        <f t="shared" si="244"/>
        <v>2002.8714984848332</v>
      </c>
      <c r="U426">
        <f t="shared" si="244"/>
        <v>2406.2195737205552</v>
      </c>
      <c r="V426">
        <f t="shared" si="244"/>
        <v>2610.4787024871425</v>
      </c>
      <c r="W426">
        <f t="shared" si="244"/>
        <v>2186.5727475121298</v>
      </c>
      <c r="Y426" s="15">
        <f t="shared" si="225"/>
        <v>47499.11489440906</v>
      </c>
      <c r="Z426">
        <f t="shared" si="226"/>
        <v>-6168.7117197969483</v>
      </c>
    </row>
    <row r="427" spans="1:26" x14ac:dyDescent="0.25">
      <c r="A427" t="s">
        <v>62</v>
      </c>
      <c r="D427">
        <f t="shared" ref="D427:W427" si="245">D50*D108</f>
        <v>2313.2011196253516</v>
      </c>
      <c r="E427">
        <f t="shared" si="245"/>
        <v>2303.1944293364722</v>
      </c>
      <c r="F427">
        <f t="shared" si="245"/>
        <v>2174.1473079581965</v>
      </c>
      <c r="G427">
        <f t="shared" si="245"/>
        <v>2305.6633510228248</v>
      </c>
      <c r="H427">
        <f t="shared" si="245"/>
        <v>2444.1608209743163</v>
      </c>
      <c r="I427">
        <f t="shared" si="245"/>
        <v>2912.9797218980134</v>
      </c>
      <c r="J427">
        <f t="shared" si="245"/>
        <v>2413.0605733512029</v>
      </c>
      <c r="K427">
        <f t="shared" si="245"/>
        <v>2893.625916659405</v>
      </c>
      <c r="L427">
        <f t="shared" si="245"/>
        <v>2793.1794581799259</v>
      </c>
      <c r="M427">
        <f t="shared" si="245"/>
        <v>2278.6995965866522</v>
      </c>
      <c r="N427">
        <f t="shared" si="245"/>
        <v>1733.6576263932777</v>
      </c>
      <c r="O427">
        <f t="shared" si="245"/>
        <v>1800.1560477693074</v>
      </c>
      <c r="P427">
        <f t="shared" si="245"/>
        <v>1894.5147242802882</v>
      </c>
      <c r="Q427">
        <f t="shared" si="245"/>
        <v>1742.1707279191819</v>
      </c>
      <c r="R427">
        <f t="shared" si="245"/>
        <v>1455.7177421396848</v>
      </c>
      <c r="S427">
        <f t="shared" si="245"/>
        <v>1937.2433553188405</v>
      </c>
      <c r="T427">
        <f t="shared" si="245"/>
        <v>2351.9440127117527</v>
      </c>
      <c r="U427">
        <f t="shared" si="245"/>
        <v>2272.5852912305704</v>
      </c>
      <c r="V427">
        <f t="shared" si="245"/>
        <v>2142.8317526537912</v>
      </c>
      <c r="W427">
        <f t="shared" si="245"/>
        <v>1888.860688889878</v>
      </c>
      <c r="Y427" s="15">
        <f t="shared" si="225"/>
        <v>44051.594264898944</v>
      </c>
      <c r="Z427">
        <f t="shared" si="226"/>
        <v>-5608.6798945913333</v>
      </c>
    </row>
    <row r="428" spans="1:26" x14ac:dyDescent="0.25">
      <c r="Y428" s="15"/>
    </row>
    <row r="429" spans="1:26" x14ac:dyDescent="0.25">
      <c r="A429" t="s">
        <v>63</v>
      </c>
      <c r="D429">
        <f t="shared" ref="D429:W429" si="246">D52*D110</f>
        <v>2214.7471012065353</v>
      </c>
      <c r="E429">
        <f t="shared" si="246"/>
        <v>2188.0754939023686</v>
      </c>
      <c r="F429">
        <f t="shared" si="246"/>
        <v>1808.3589060922641</v>
      </c>
      <c r="G429">
        <f t="shared" si="246"/>
        <v>2110.6636779872165</v>
      </c>
      <c r="H429">
        <f t="shared" si="246"/>
        <v>2568.1266467379774</v>
      </c>
      <c r="I429">
        <f t="shared" si="246"/>
        <v>2580.6872690201271</v>
      </c>
      <c r="J429">
        <f t="shared" si="246"/>
        <v>2367.6098185426476</v>
      </c>
      <c r="K429">
        <f t="shared" si="246"/>
        <v>2518.8878691624245</v>
      </c>
      <c r="L429">
        <f t="shared" si="246"/>
        <v>2188.1443137932988</v>
      </c>
      <c r="M429">
        <f t="shared" si="246"/>
        <v>2076.2021690734396</v>
      </c>
      <c r="N429">
        <f t="shared" si="246"/>
        <v>2269.7242816050161</v>
      </c>
      <c r="O429">
        <f t="shared" si="246"/>
        <v>2307.9734017321393</v>
      </c>
      <c r="P429">
        <f t="shared" si="246"/>
        <v>1908.1641608140474</v>
      </c>
      <c r="Q429">
        <f t="shared" si="246"/>
        <v>1981.8395618764166</v>
      </c>
      <c r="R429">
        <f t="shared" si="246"/>
        <v>2346.9031759360682</v>
      </c>
      <c r="S429">
        <f t="shared" si="246"/>
        <v>2279.701128817755</v>
      </c>
      <c r="T429">
        <f t="shared" si="246"/>
        <v>2361.2660110810552</v>
      </c>
      <c r="U429">
        <f t="shared" si="246"/>
        <v>2184.4066750221436</v>
      </c>
      <c r="V429">
        <f t="shared" si="246"/>
        <v>2340.6871553658607</v>
      </c>
      <c r="W429">
        <f t="shared" si="246"/>
        <v>2391.9727238158052</v>
      </c>
      <c r="Y429" s="15">
        <f t="shared" si="225"/>
        <v>44994.141541584613</v>
      </c>
      <c r="Z429">
        <f>SUMPRODUCT($D$433:$S$433,D429:S429)</f>
        <v>-6231.1466554464942</v>
      </c>
    </row>
    <row r="430" spans="1:26" x14ac:dyDescent="0.25">
      <c r="A430" t="s">
        <v>307</v>
      </c>
      <c r="D430">
        <f t="shared" ref="D430:W430" si="247">D53*D111</f>
        <v>3228.6857142857143</v>
      </c>
      <c r="E430">
        <f t="shared" si="247"/>
        <v>3387.15</v>
      </c>
      <c r="F430">
        <f t="shared" si="247"/>
        <v>1983.2199999999998</v>
      </c>
      <c r="G430">
        <f t="shared" si="247"/>
        <v>2132.0400000000004</v>
      </c>
      <c r="H430">
        <f t="shared" si="247"/>
        <v>2515.4836734693872</v>
      </c>
      <c r="I430">
        <f t="shared" si="247"/>
        <v>2857.7448979591832</v>
      </c>
      <c r="J430">
        <f t="shared" si="247"/>
        <v>2846.6</v>
      </c>
      <c r="K430">
        <f t="shared" si="247"/>
        <v>2725.1632653061224</v>
      </c>
      <c r="L430">
        <f t="shared" si="247"/>
        <v>1774.3515625</v>
      </c>
      <c r="M430">
        <f t="shared" si="247"/>
        <v>2495.3346938775512</v>
      </c>
      <c r="N430">
        <f t="shared" si="247"/>
        <v>2391.5102040816332</v>
      </c>
      <c r="O430">
        <f t="shared" si="247"/>
        <v>2446.9959183673468</v>
      </c>
      <c r="P430">
        <f t="shared" si="247"/>
        <v>2386.2000000000003</v>
      </c>
      <c r="Q430">
        <f t="shared" si="247"/>
        <v>2817.9</v>
      </c>
      <c r="R430">
        <f t="shared" si="247"/>
        <v>2575.2000000000003</v>
      </c>
      <c r="S430">
        <f t="shared" si="247"/>
        <v>2537</v>
      </c>
      <c r="T430">
        <f t="shared" si="247"/>
        <v>2492.1</v>
      </c>
      <c r="U430">
        <f t="shared" si="247"/>
        <v>2238.2000000000003</v>
      </c>
      <c r="V430">
        <f t="shared" si="247"/>
        <v>2254.0099999999998</v>
      </c>
      <c r="W430">
        <f t="shared" si="247"/>
        <v>2452.31</v>
      </c>
      <c r="Y430" s="15">
        <f t="shared" si="225"/>
        <v>50537.199929846931</v>
      </c>
      <c r="Z430">
        <f>SUMPRODUCT($D$433:$S$433,D430:S430)</f>
        <v>-7185.5510118471375</v>
      </c>
    </row>
    <row r="431" spans="1:26" x14ac:dyDescent="0.25">
      <c r="A431" t="s">
        <v>308</v>
      </c>
      <c r="D431">
        <f t="shared" ref="D431:W431" si="248">D54*D112</f>
        <v>2603.804979843816</v>
      </c>
      <c r="E431">
        <f t="shared" si="248"/>
        <v>2936.0799999999995</v>
      </c>
      <c r="F431">
        <f t="shared" si="248"/>
        <v>1984.48</v>
      </c>
      <c r="G431">
        <f t="shared" si="248"/>
        <v>2128.7800000000002</v>
      </c>
      <c r="H431">
        <f t="shared" si="248"/>
        <v>2545.2799999999997</v>
      </c>
      <c r="I431">
        <f t="shared" si="248"/>
        <v>2842.56</v>
      </c>
      <c r="J431">
        <f t="shared" si="248"/>
        <v>2429.61</v>
      </c>
      <c r="K431">
        <f t="shared" si="248"/>
        <v>2325.8000000000002</v>
      </c>
      <c r="L431">
        <f t="shared" si="248"/>
        <v>1963.28</v>
      </c>
      <c r="M431">
        <f t="shared" si="248"/>
        <v>2105.66</v>
      </c>
      <c r="N431">
        <f t="shared" si="248"/>
        <v>2068.2400000000002</v>
      </c>
      <c r="O431">
        <f t="shared" si="248"/>
        <v>1980.99</v>
      </c>
      <c r="P431">
        <f t="shared" si="248"/>
        <v>2260.3807944830146</v>
      </c>
      <c r="Q431">
        <f t="shared" si="248"/>
        <v>2225.2259649069465</v>
      </c>
      <c r="R431">
        <f t="shared" si="248"/>
        <v>2117.7310245799604</v>
      </c>
      <c r="S431">
        <f t="shared" si="248"/>
        <v>2029.311253297439</v>
      </c>
      <c r="T431">
        <f t="shared" si="248"/>
        <v>2156.8958380990739</v>
      </c>
      <c r="U431">
        <f t="shared" si="248"/>
        <v>2218.1469386645099</v>
      </c>
      <c r="V431">
        <f t="shared" si="248"/>
        <v>2214.2323034926353</v>
      </c>
      <c r="W431">
        <f t="shared" si="248"/>
        <v>2296.1236630384301</v>
      </c>
      <c r="Y431" s="15">
        <f t="shared" si="225"/>
        <v>45432.612760405827</v>
      </c>
      <c r="Z431">
        <f>SUMPRODUCT($D$433:$S$433,D431:S431)</f>
        <v>-6116.1764952459025</v>
      </c>
    </row>
    <row r="432" spans="1:26" x14ac:dyDescent="0.25">
      <c r="A432" t="s">
        <v>670</v>
      </c>
      <c r="D432">
        <f t="shared" ref="D432:W432" si="249">D55*D113</f>
        <v>2060.54976556568</v>
      </c>
      <c r="E432">
        <f t="shared" si="249"/>
        <v>2184.6769434249172</v>
      </c>
      <c r="F432">
        <f t="shared" si="249"/>
        <v>2261.4475447714744</v>
      </c>
      <c r="G432">
        <f t="shared" si="249"/>
        <v>2308.0840441237751</v>
      </c>
      <c r="H432">
        <f t="shared" si="249"/>
        <v>2130.2209942296636</v>
      </c>
      <c r="I432">
        <f t="shared" si="249"/>
        <v>2051.7249369923261</v>
      </c>
      <c r="J432">
        <f t="shared" si="249"/>
        <v>1727.0761010276076</v>
      </c>
      <c r="K432">
        <f t="shared" si="249"/>
        <v>1605.4139597328376</v>
      </c>
      <c r="L432">
        <f t="shared" si="249"/>
        <v>1676.4155821415688</v>
      </c>
      <c r="M432">
        <f t="shared" si="249"/>
        <v>2209.8216424776688</v>
      </c>
      <c r="N432">
        <f t="shared" si="249"/>
        <v>2343.5643774602672</v>
      </c>
      <c r="O432">
        <f t="shared" si="249"/>
        <v>2350.5151648779424</v>
      </c>
      <c r="P432">
        <f t="shared" si="249"/>
        <v>2291.9740100737413</v>
      </c>
      <c r="Q432">
        <f t="shared" si="249"/>
        <v>2331.9649672763362</v>
      </c>
      <c r="R432">
        <f t="shared" si="249"/>
        <v>2266.3744318540621</v>
      </c>
      <c r="S432">
        <f t="shared" si="249"/>
        <v>2288.9052748408194</v>
      </c>
      <c r="T432">
        <f t="shared" si="249"/>
        <v>2361.1323094513232</v>
      </c>
      <c r="U432">
        <f t="shared" si="249"/>
        <v>2220.2049071090914</v>
      </c>
      <c r="V432">
        <f t="shared" si="249"/>
        <v>2278.4228538637667</v>
      </c>
      <c r="W432">
        <f t="shared" si="249"/>
        <v>2298.4555596870123</v>
      </c>
      <c r="Y432" s="15">
        <f t="shared" ref="Y432" si="250">SUM(D432:W432)</f>
        <v>43246.945370981884</v>
      </c>
      <c r="Z432">
        <f>SUMPRODUCT($D$433:$S$433,D432:S432)</f>
        <v>-6326.6503132447842</v>
      </c>
    </row>
    <row r="433" spans="1:26" x14ac:dyDescent="0.25">
      <c r="A433" s="2" t="s">
        <v>64</v>
      </c>
      <c r="D433" s="3">
        <f>CORREL($B$2:$B$21,D408:D427)</f>
        <v>-0.32247808535129258</v>
      </c>
      <c r="E433" s="3">
        <f t="shared" ref="E433:W433" si="251">CORREL($B$2:$B$21,E408:E427)</f>
        <v>0.21301610014012226</v>
      </c>
      <c r="F433" s="3">
        <f t="shared" si="251"/>
        <v>0.18897741450800207</v>
      </c>
      <c r="G433" s="3">
        <f t="shared" si="251"/>
        <v>-0.26878289143897299</v>
      </c>
      <c r="H433" s="3">
        <f t="shared" si="251"/>
        <v>-7.8018934416479117E-3</v>
      </c>
      <c r="I433" s="3">
        <f t="shared" si="251"/>
        <v>-0.11127678299363745</v>
      </c>
      <c r="J433" s="3">
        <f t="shared" si="251"/>
        <v>-1.4047183601900824E-2</v>
      </c>
      <c r="K433" s="3">
        <f t="shared" si="251"/>
        <v>-0.16125764782913446</v>
      </c>
      <c r="L433" s="3">
        <f t="shared" si="251"/>
        <v>6.3513225104964821E-2</v>
      </c>
      <c r="M433" s="3">
        <f t="shared" si="251"/>
        <v>-0.57154196738340746</v>
      </c>
      <c r="N433" s="3">
        <f t="shared" si="251"/>
        <v>-0.32919619020595192</v>
      </c>
      <c r="O433" s="3">
        <f t="shared" si="251"/>
        <v>-0.62874282234196699</v>
      </c>
      <c r="P433" s="3">
        <f t="shared" si="251"/>
        <v>-0.49195105994944283</v>
      </c>
      <c r="Q433" s="3">
        <f t="shared" si="251"/>
        <v>-0.21188582480530627</v>
      </c>
      <c r="R433" s="3">
        <f t="shared" si="251"/>
        <v>-0.32135491300911667</v>
      </c>
      <c r="S433" s="3">
        <f t="shared" si="251"/>
        <v>0.15264920777398333</v>
      </c>
      <c r="T433" s="3">
        <f t="shared" si="251"/>
        <v>-0.34873791699635304</v>
      </c>
      <c r="U433" s="3">
        <f t="shared" si="251"/>
        <v>-0.2289165855835904</v>
      </c>
      <c r="V433" s="3">
        <f t="shared" si="251"/>
        <v>-0.27838530405300282</v>
      </c>
      <c r="W433" s="3">
        <f t="shared" si="251"/>
        <v>-0.29541672674495006</v>
      </c>
    </row>
    <row r="436" spans="1:26" x14ac:dyDescent="0.25">
      <c r="D436" t="s">
        <v>173</v>
      </c>
      <c r="E436" t="s">
        <v>174</v>
      </c>
      <c r="F436" t="s">
        <v>175</v>
      </c>
      <c r="G436" t="s">
        <v>176</v>
      </c>
      <c r="H436" t="s">
        <v>177</v>
      </c>
      <c r="I436" t="s">
        <v>178</v>
      </c>
      <c r="J436" t="s">
        <v>179</v>
      </c>
      <c r="K436" t="s">
        <v>180</v>
      </c>
      <c r="L436" t="s">
        <v>348</v>
      </c>
      <c r="M436" t="s">
        <v>406</v>
      </c>
      <c r="N436" t="s">
        <v>407</v>
      </c>
      <c r="O436" t="s">
        <v>408</v>
      </c>
      <c r="P436" t="s">
        <v>506</v>
      </c>
      <c r="Q436" t="s">
        <v>507</v>
      </c>
      <c r="R436" t="s">
        <v>508</v>
      </c>
      <c r="S436" t="s">
        <v>509</v>
      </c>
      <c r="T436" t="s">
        <v>618</v>
      </c>
      <c r="U436" t="s">
        <v>619</v>
      </c>
      <c r="V436" t="s">
        <v>620</v>
      </c>
      <c r="W436" t="s">
        <v>621</v>
      </c>
      <c r="Y436" t="s">
        <v>181</v>
      </c>
      <c r="Z436" t="s">
        <v>182</v>
      </c>
    </row>
    <row r="437" spans="1:26" x14ac:dyDescent="0.25">
      <c r="A437" t="s">
        <v>43</v>
      </c>
      <c r="D437">
        <f t="shared" ref="D437:W437" si="252">D31*D118</f>
        <v>1925</v>
      </c>
      <c r="E437">
        <f t="shared" si="252"/>
        <v>701.64081632653074</v>
      </c>
      <c r="F437">
        <f t="shared" si="252"/>
        <v>1037.3469387755104</v>
      </c>
      <c r="G437">
        <f t="shared" si="252"/>
        <v>1194.0306122448981</v>
      </c>
      <c r="H437">
        <f t="shared" si="252"/>
        <v>1575.5421952722697</v>
      </c>
      <c r="I437">
        <f t="shared" si="252"/>
        <v>1704.2218080870455</v>
      </c>
      <c r="J437">
        <f t="shared" si="252"/>
        <v>1389.5127975963503</v>
      </c>
      <c r="K437">
        <f t="shared" si="252"/>
        <v>1577.9463998891019</v>
      </c>
      <c r="L437">
        <f t="shared" si="252"/>
        <v>1344.2561646057416</v>
      </c>
      <c r="M437">
        <f t="shared" si="252"/>
        <v>1504.6821665596369</v>
      </c>
      <c r="N437">
        <f t="shared" si="252"/>
        <v>1469.1299452991525</v>
      </c>
      <c r="O437">
        <f t="shared" si="252"/>
        <v>1368.9167245202059</v>
      </c>
      <c r="P437">
        <f t="shared" si="252"/>
        <v>1186.8638218933811</v>
      </c>
      <c r="Q437">
        <f t="shared" si="252"/>
        <v>1139.289596293971</v>
      </c>
      <c r="R437">
        <f t="shared" si="252"/>
        <v>986.68050185548748</v>
      </c>
      <c r="S437">
        <f t="shared" si="252"/>
        <v>635.21474332871981</v>
      </c>
      <c r="T437">
        <f t="shared" si="252"/>
        <v>975.3326943723722</v>
      </c>
      <c r="U437">
        <f t="shared" si="252"/>
        <v>1166.1761970877549</v>
      </c>
      <c r="V437">
        <f t="shared" si="252"/>
        <v>878.07096691404354</v>
      </c>
      <c r="W437">
        <f t="shared" si="252"/>
        <v>1348.9224706371199</v>
      </c>
      <c r="Y437" s="15">
        <f t="shared" ref="Y437:Y460" si="253">SUM(D437:W437)</f>
        <v>25108.777561559295</v>
      </c>
      <c r="Z437">
        <f t="shared" ref="Z437:Z456" si="254">SUMPRODUCT($D$462:$S$462,D437:S437)</f>
        <v>-3536.5354484676745</v>
      </c>
    </row>
    <row r="438" spans="1:26" x14ac:dyDescent="0.25">
      <c r="A438" t="s">
        <v>44</v>
      </c>
      <c r="D438">
        <f t="shared" ref="D438:W438" si="255">D32*D119</f>
        <v>1066.7755102040817</v>
      </c>
      <c r="E438">
        <f t="shared" si="255"/>
        <v>986.01632653061222</v>
      </c>
      <c r="F438">
        <f t="shared" si="255"/>
        <v>1312.8081632653061</v>
      </c>
      <c r="G438">
        <f t="shared" si="255"/>
        <v>1698.5387755102042</v>
      </c>
      <c r="H438">
        <f t="shared" si="255"/>
        <v>1570.2451952020958</v>
      </c>
      <c r="I438">
        <f t="shared" si="255"/>
        <v>1495.3859735684396</v>
      </c>
      <c r="J438">
        <f t="shared" si="255"/>
        <v>1385.5742002609404</v>
      </c>
      <c r="K438">
        <f t="shared" si="255"/>
        <v>1294.2731392073285</v>
      </c>
      <c r="L438">
        <f t="shared" si="255"/>
        <v>1065.887653792749</v>
      </c>
      <c r="M438">
        <f t="shared" si="255"/>
        <v>762.57789415157742</v>
      </c>
      <c r="N438">
        <f t="shared" si="255"/>
        <v>960.33264687195822</v>
      </c>
      <c r="O438">
        <f t="shared" si="255"/>
        <v>970.14165205203562</v>
      </c>
      <c r="P438">
        <f t="shared" si="255"/>
        <v>992.26060068065431</v>
      </c>
      <c r="Q438">
        <f t="shared" si="255"/>
        <v>1499.3384159485693</v>
      </c>
      <c r="R438">
        <f t="shared" si="255"/>
        <v>1010.3270371544156</v>
      </c>
      <c r="S438">
        <f t="shared" si="255"/>
        <v>604.02733343276998</v>
      </c>
      <c r="T438">
        <f t="shared" si="255"/>
        <v>714.16526654374991</v>
      </c>
      <c r="U438">
        <f t="shared" si="255"/>
        <v>866.7851598125053</v>
      </c>
      <c r="V438">
        <f t="shared" si="255"/>
        <v>934.40038897795978</v>
      </c>
      <c r="W438">
        <f t="shared" si="255"/>
        <v>583.92596761848506</v>
      </c>
      <c r="Y438" s="15">
        <f t="shared" si="253"/>
        <v>21773.78730078644</v>
      </c>
      <c r="Z438">
        <f t="shared" si="254"/>
        <v>-2264.7923998776109</v>
      </c>
    </row>
    <row r="439" spans="1:26" x14ac:dyDescent="0.25">
      <c r="A439" t="s">
        <v>45</v>
      </c>
      <c r="D439">
        <f t="shared" ref="D439:W439" si="256">D33*D120</f>
        <v>1559.7131692999833</v>
      </c>
      <c r="E439">
        <f t="shared" si="256"/>
        <v>903.47959183673481</v>
      </c>
      <c r="F439">
        <f t="shared" si="256"/>
        <v>1106.9632653061226</v>
      </c>
      <c r="G439">
        <f t="shared" si="256"/>
        <v>843.29183673469379</v>
      </c>
      <c r="H439">
        <f t="shared" si="256"/>
        <v>1695.2393364689326</v>
      </c>
      <c r="I439">
        <f t="shared" si="256"/>
        <v>1523.4992571291277</v>
      </c>
      <c r="J439">
        <f t="shared" si="256"/>
        <v>1450.2358359869086</v>
      </c>
      <c r="K439">
        <f t="shared" si="256"/>
        <v>1340.1735885774508</v>
      </c>
      <c r="L439">
        <f t="shared" si="256"/>
        <v>1238.525357160164</v>
      </c>
      <c r="M439">
        <f t="shared" si="256"/>
        <v>1176.4880722250969</v>
      </c>
      <c r="N439">
        <f t="shared" si="256"/>
        <v>1202.5021036448313</v>
      </c>
      <c r="O439">
        <f t="shared" si="256"/>
        <v>1340.8429961928957</v>
      </c>
      <c r="P439">
        <f t="shared" si="256"/>
        <v>984.53086179444858</v>
      </c>
      <c r="Q439">
        <f t="shared" si="256"/>
        <v>981.05795562136359</v>
      </c>
      <c r="R439">
        <f t="shared" si="256"/>
        <v>1050.3316470236346</v>
      </c>
      <c r="S439">
        <f t="shared" si="256"/>
        <v>981.85117400731269</v>
      </c>
      <c r="T439">
        <f t="shared" si="256"/>
        <v>533.99586626220935</v>
      </c>
      <c r="U439">
        <f t="shared" si="256"/>
        <v>3266.4615683933253</v>
      </c>
      <c r="V439">
        <f t="shared" si="256"/>
        <v>1079.7704742508861</v>
      </c>
      <c r="W439">
        <f t="shared" si="256"/>
        <v>1193.6056480585539</v>
      </c>
      <c r="Y439" s="15">
        <f t="shared" si="253"/>
        <v>25452.559605974675</v>
      </c>
      <c r="Z439">
        <f t="shared" si="254"/>
        <v>-2938.1252699496308</v>
      </c>
    </row>
    <row r="440" spans="1:26" x14ac:dyDescent="0.25">
      <c r="A440" t="s">
        <v>46</v>
      </c>
      <c r="D440">
        <f t="shared" ref="D440:W440" si="257">D34*D121</f>
        <v>1834.3773875964109</v>
      </c>
      <c r="E440">
        <f t="shared" si="257"/>
        <v>1446.7553234147458</v>
      </c>
      <c r="F440">
        <f t="shared" si="257"/>
        <v>1036.94694180955</v>
      </c>
      <c r="G440">
        <f t="shared" si="257"/>
        <v>719.01506862088638</v>
      </c>
      <c r="H440">
        <f t="shared" si="257"/>
        <v>1193.8921055287537</v>
      </c>
      <c r="I440">
        <f t="shared" si="257"/>
        <v>739.59451182124121</v>
      </c>
      <c r="J440">
        <f t="shared" si="257"/>
        <v>1775.7374255218131</v>
      </c>
      <c r="K440">
        <f t="shared" si="257"/>
        <v>1345.2884644236913</v>
      </c>
      <c r="L440">
        <f t="shared" si="257"/>
        <v>1932.8320847846383</v>
      </c>
      <c r="M440">
        <f t="shared" si="257"/>
        <v>1977.390807847886</v>
      </c>
      <c r="N440">
        <f t="shared" si="257"/>
        <v>1457.6203575935449</v>
      </c>
      <c r="O440">
        <f t="shared" si="257"/>
        <v>1455.6445112521785</v>
      </c>
      <c r="P440">
        <f t="shared" si="257"/>
        <v>986.76720484613156</v>
      </c>
      <c r="Q440">
        <f t="shared" si="257"/>
        <v>517.80061707121604</v>
      </c>
      <c r="R440">
        <f t="shared" si="257"/>
        <v>757.77675881394316</v>
      </c>
      <c r="S440">
        <f t="shared" si="257"/>
        <v>470.85833718485668</v>
      </c>
      <c r="T440">
        <f t="shared" si="257"/>
        <v>882.72627742960594</v>
      </c>
      <c r="U440">
        <f t="shared" si="257"/>
        <v>803.99321142422502</v>
      </c>
      <c r="V440">
        <f t="shared" si="257"/>
        <v>1054.6772282354846</v>
      </c>
      <c r="W440">
        <f t="shared" si="257"/>
        <v>1367.4810644172701</v>
      </c>
      <c r="Y440" s="15">
        <f t="shared" si="253"/>
        <v>23757.175689638072</v>
      </c>
      <c r="Z440">
        <f t="shared" si="254"/>
        <v>-3686.2006889418535</v>
      </c>
    </row>
    <row r="441" spans="1:26" x14ac:dyDescent="0.25">
      <c r="A441" t="s">
        <v>47</v>
      </c>
      <c r="D441">
        <f t="shared" ref="D441:W441" si="258">D35*D122</f>
        <v>1230.5889901896587</v>
      </c>
      <c r="E441">
        <f t="shared" si="258"/>
        <v>1040.2532296004088</v>
      </c>
      <c r="F441">
        <f t="shared" si="258"/>
        <v>994.44307562541587</v>
      </c>
      <c r="G441">
        <f t="shared" si="258"/>
        <v>849.60159770244275</v>
      </c>
      <c r="H441">
        <f t="shared" si="258"/>
        <v>770.77462692698498</v>
      </c>
      <c r="I441">
        <f t="shared" si="258"/>
        <v>869.37292280438328</v>
      </c>
      <c r="J441">
        <f t="shared" si="258"/>
        <v>648.29583443188994</v>
      </c>
      <c r="K441">
        <f t="shared" si="258"/>
        <v>583.99790676941598</v>
      </c>
      <c r="L441">
        <f t="shared" si="258"/>
        <v>939.95466248921764</v>
      </c>
      <c r="M441">
        <f t="shared" si="258"/>
        <v>1043.4044777194897</v>
      </c>
      <c r="N441">
        <f t="shared" si="258"/>
        <v>1044.106062639527</v>
      </c>
      <c r="O441">
        <f t="shared" si="258"/>
        <v>937.3772878935805</v>
      </c>
      <c r="P441">
        <f t="shared" si="258"/>
        <v>867.54869773444341</v>
      </c>
      <c r="Q441">
        <f t="shared" si="258"/>
        <v>1017.3063327152225</v>
      </c>
      <c r="R441">
        <f t="shared" si="258"/>
        <v>627.61179958775062</v>
      </c>
      <c r="S441">
        <f t="shared" si="258"/>
        <v>948.1912511595466</v>
      </c>
      <c r="T441">
        <f t="shared" si="258"/>
        <v>1120.9986887895454</v>
      </c>
      <c r="U441">
        <f t="shared" si="258"/>
        <v>837.72719150578632</v>
      </c>
      <c r="V441">
        <f t="shared" si="258"/>
        <v>926.9408188167007</v>
      </c>
      <c r="W441">
        <f t="shared" si="258"/>
        <v>1095.1282317116247</v>
      </c>
      <c r="Y441" s="15">
        <f t="shared" si="253"/>
        <v>18393.623686813033</v>
      </c>
      <c r="Z441">
        <f t="shared" si="254"/>
        <v>-1960.8818936608666</v>
      </c>
    </row>
    <row r="442" spans="1:26" x14ac:dyDescent="0.25">
      <c r="A442" t="s">
        <v>48</v>
      </c>
      <c r="D442">
        <f t="shared" ref="D442:W442" si="259">D36*D123</f>
        <v>1357.2133236452298</v>
      </c>
      <c r="E442">
        <f t="shared" si="259"/>
        <v>1106.5461313808071</v>
      </c>
      <c r="F442">
        <f t="shared" si="259"/>
        <v>959.53784455750679</v>
      </c>
      <c r="G442">
        <f t="shared" si="259"/>
        <v>1132.7183438705495</v>
      </c>
      <c r="H442">
        <f t="shared" si="259"/>
        <v>1407.21308159255</v>
      </c>
      <c r="I442">
        <f t="shared" si="259"/>
        <v>1181.422703401849</v>
      </c>
      <c r="J442">
        <f t="shared" si="259"/>
        <v>715.18372664260721</v>
      </c>
      <c r="K442">
        <f t="shared" si="259"/>
        <v>1081.3925404317406</v>
      </c>
      <c r="L442">
        <f t="shared" si="259"/>
        <v>873.81795846588443</v>
      </c>
      <c r="M442">
        <f t="shared" si="259"/>
        <v>690.73863706988561</v>
      </c>
      <c r="N442">
        <f t="shared" si="259"/>
        <v>806.19963865724185</v>
      </c>
      <c r="O442">
        <f t="shared" si="259"/>
        <v>708.2382123332186</v>
      </c>
      <c r="P442">
        <f t="shared" si="259"/>
        <v>822.26289555029007</v>
      </c>
      <c r="Q442">
        <f t="shared" si="259"/>
        <v>717.7729766632757</v>
      </c>
      <c r="R442">
        <f t="shared" si="259"/>
        <v>553.51074489438747</v>
      </c>
      <c r="S442">
        <f t="shared" si="259"/>
        <v>737.48780983602387</v>
      </c>
      <c r="T442">
        <f t="shared" si="259"/>
        <v>695.43836581606718</v>
      </c>
      <c r="U442">
        <f t="shared" si="259"/>
        <v>767.56180632086466</v>
      </c>
      <c r="V442">
        <f t="shared" si="259"/>
        <v>717.76685434821854</v>
      </c>
      <c r="W442">
        <f t="shared" si="259"/>
        <v>885.36729899840543</v>
      </c>
      <c r="Y442" s="15">
        <f t="shared" si="253"/>
        <v>17917.390894476604</v>
      </c>
      <c r="Z442">
        <f t="shared" si="254"/>
        <v>-1621.4757037992126</v>
      </c>
    </row>
    <row r="443" spans="1:26" x14ac:dyDescent="0.25">
      <c r="A443" t="s">
        <v>49</v>
      </c>
      <c r="D443">
        <f t="shared" ref="D443:W443" si="260">D37*D124</f>
        <v>1671.7871503684571</v>
      </c>
      <c r="E443">
        <f t="shared" si="260"/>
        <v>1100.9715264715408</v>
      </c>
      <c r="F443">
        <f t="shared" si="260"/>
        <v>1263.0239439498218</v>
      </c>
      <c r="G443">
        <f t="shared" si="260"/>
        <v>1404.831169065631</v>
      </c>
      <c r="H443">
        <f t="shared" si="260"/>
        <v>1090.8322210945591</v>
      </c>
      <c r="I443">
        <f t="shared" si="260"/>
        <v>1268.1693535250654</v>
      </c>
      <c r="J443">
        <f t="shared" si="260"/>
        <v>1239.0367782937519</v>
      </c>
      <c r="K443">
        <f t="shared" si="260"/>
        <v>1535.7905482794902</v>
      </c>
      <c r="L443">
        <f t="shared" si="260"/>
        <v>1048.4409482852611</v>
      </c>
      <c r="M443">
        <f t="shared" si="260"/>
        <v>1243.2575030615476</v>
      </c>
      <c r="N443">
        <f t="shared" si="260"/>
        <v>947.03145178729733</v>
      </c>
      <c r="O443">
        <f t="shared" si="260"/>
        <v>1132.8983361755943</v>
      </c>
      <c r="P443">
        <f t="shared" si="260"/>
        <v>1365.8153966636162</v>
      </c>
      <c r="Q443">
        <f t="shared" si="260"/>
        <v>1314.7635242918677</v>
      </c>
      <c r="R443">
        <f t="shared" si="260"/>
        <v>1065.449029031003</v>
      </c>
      <c r="S443">
        <f t="shared" si="260"/>
        <v>1373.2920909342217</v>
      </c>
      <c r="T443">
        <f t="shared" si="260"/>
        <v>1370.00450325478</v>
      </c>
      <c r="U443">
        <f t="shared" si="260"/>
        <v>1195.7333293546676</v>
      </c>
      <c r="V443">
        <f t="shared" si="260"/>
        <v>1382.3412926452822</v>
      </c>
      <c r="W443">
        <f t="shared" si="260"/>
        <v>1182.5253952403521</v>
      </c>
      <c r="Y443" s="15">
        <f t="shared" si="253"/>
        <v>25195.995491773807</v>
      </c>
      <c r="Z443">
        <f t="shared" si="254"/>
        <v>-2678.4736073346767</v>
      </c>
    </row>
    <row r="444" spans="1:26" x14ac:dyDescent="0.25">
      <c r="A444" t="s">
        <v>50</v>
      </c>
      <c r="D444">
        <f t="shared" ref="D444:W444" si="261">D38*D125</f>
        <v>1410.0139638552862</v>
      </c>
      <c r="E444">
        <f t="shared" si="261"/>
        <v>907.60816326530596</v>
      </c>
      <c r="F444">
        <f t="shared" si="261"/>
        <v>791.71428571428567</v>
      </c>
      <c r="G444">
        <f t="shared" si="261"/>
        <v>961.55714285714294</v>
      </c>
      <c r="H444">
        <f t="shared" si="261"/>
        <v>2787.4579814644708</v>
      </c>
      <c r="I444">
        <f t="shared" si="261"/>
        <v>470.78870672632951</v>
      </c>
      <c r="J444">
        <f t="shared" si="261"/>
        <v>1245.3705563250421</v>
      </c>
      <c r="K444">
        <f t="shared" si="261"/>
        <v>1184.6571935199343</v>
      </c>
      <c r="L444">
        <f t="shared" si="261"/>
        <v>557.71795496064067</v>
      </c>
      <c r="M444">
        <f t="shared" si="261"/>
        <v>632.66374865368937</v>
      </c>
      <c r="N444">
        <f t="shared" si="261"/>
        <v>636.57132217540936</v>
      </c>
      <c r="O444">
        <f t="shared" si="261"/>
        <v>617.43510434170912</v>
      </c>
      <c r="P444">
        <f t="shared" si="261"/>
        <v>647.5391092296652</v>
      </c>
      <c r="Q444">
        <f t="shared" si="261"/>
        <v>691.23373335928295</v>
      </c>
      <c r="R444">
        <f t="shared" si="261"/>
        <v>608.05858368732686</v>
      </c>
      <c r="S444">
        <f t="shared" si="261"/>
        <v>749.468957159909</v>
      </c>
      <c r="T444">
        <f t="shared" si="261"/>
        <v>1045.8543706315797</v>
      </c>
      <c r="U444">
        <f t="shared" si="261"/>
        <v>909.66925708201109</v>
      </c>
      <c r="V444">
        <f t="shared" si="261"/>
        <v>494.62818227056073</v>
      </c>
      <c r="W444">
        <f t="shared" si="261"/>
        <v>1023.838550472597</v>
      </c>
      <c r="Y444" s="15">
        <f t="shared" si="253"/>
        <v>18373.846867752174</v>
      </c>
      <c r="Z444">
        <f t="shared" si="254"/>
        <v>-1621.4321736931292</v>
      </c>
    </row>
    <row r="445" spans="1:26" x14ac:dyDescent="0.25">
      <c r="A445" t="s">
        <v>51</v>
      </c>
      <c r="D445">
        <f t="shared" ref="D445:W445" si="262">D39*D126</f>
        <v>678.93332856216773</v>
      </c>
      <c r="E445">
        <f t="shared" si="262"/>
        <v>824.22311231943911</v>
      </c>
      <c r="F445">
        <f t="shared" si="262"/>
        <v>1054.9598307160854</v>
      </c>
      <c r="G445">
        <f t="shared" si="262"/>
        <v>666.87872682897694</v>
      </c>
      <c r="H445">
        <f t="shared" si="262"/>
        <v>1313.9957219823584</v>
      </c>
      <c r="I445">
        <f t="shared" si="262"/>
        <v>1270.1532276177998</v>
      </c>
      <c r="J445">
        <f t="shared" si="262"/>
        <v>1312.0240727044416</v>
      </c>
      <c r="K445">
        <f t="shared" si="262"/>
        <v>1171.7280067828015</v>
      </c>
      <c r="L445">
        <f t="shared" si="262"/>
        <v>1347.7306464146891</v>
      </c>
      <c r="M445">
        <f t="shared" si="262"/>
        <v>1138.0619033031969</v>
      </c>
      <c r="N445">
        <f t="shared" si="262"/>
        <v>1265.0016698637</v>
      </c>
      <c r="O445">
        <f t="shared" si="262"/>
        <v>1410.5333397134864</v>
      </c>
      <c r="P445">
        <f t="shared" si="262"/>
        <v>1145.9050207041807</v>
      </c>
      <c r="Q445">
        <f t="shared" si="262"/>
        <v>1018.7118346729266</v>
      </c>
      <c r="R445">
        <f t="shared" si="262"/>
        <v>1120.831136248248</v>
      </c>
      <c r="S445">
        <f t="shared" si="262"/>
        <v>1113.713529924818</v>
      </c>
      <c r="T445">
        <f t="shared" si="262"/>
        <v>995.9614185273166</v>
      </c>
      <c r="U445">
        <f t="shared" si="262"/>
        <v>1010.9412272380858</v>
      </c>
      <c r="V445">
        <f t="shared" si="262"/>
        <v>1031.5369725398418</v>
      </c>
      <c r="W445">
        <f t="shared" si="262"/>
        <v>762.20168601283694</v>
      </c>
      <c r="Y445" s="15">
        <f t="shared" si="253"/>
        <v>21654.026412677398</v>
      </c>
      <c r="Z445">
        <f t="shared" si="254"/>
        <v>-2745.0139867494199</v>
      </c>
    </row>
    <row r="446" spans="1:26" x14ac:dyDescent="0.25">
      <c r="A446" t="s">
        <v>52</v>
      </c>
      <c r="D446">
        <f t="shared" ref="D446:W446" si="263">D40*D127</f>
        <v>986.47982800110958</v>
      </c>
      <c r="E446">
        <f t="shared" si="263"/>
        <v>662.68604913592128</v>
      </c>
      <c r="F446">
        <f t="shared" si="263"/>
        <v>713.17838993498708</v>
      </c>
      <c r="G446">
        <f t="shared" si="263"/>
        <v>491.78786593006998</v>
      </c>
      <c r="H446">
        <f t="shared" si="263"/>
        <v>1346.0182555244721</v>
      </c>
      <c r="I446">
        <f t="shared" si="263"/>
        <v>1196.8005180816945</v>
      </c>
      <c r="J446">
        <f t="shared" si="263"/>
        <v>1302.0479785101722</v>
      </c>
      <c r="K446">
        <f t="shared" si="263"/>
        <v>1238.0845360280239</v>
      </c>
      <c r="L446">
        <f t="shared" si="263"/>
        <v>1254.6516715479586</v>
      </c>
      <c r="M446">
        <f t="shared" si="263"/>
        <v>1250.1674141411452</v>
      </c>
      <c r="N446">
        <f t="shared" si="263"/>
        <v>1289.2142594827653</v>
      </c>
      <c r="O446">
        <f t="shared" si="263"/>
        <v>1371.4320430811451</v>
      </c>
      <c r="P446">
        <f t="shared" si="263"/>
        <v>1044.6880311509503</v>
      </c>
      <c r="Q446">
        <f t="shared" si="263"/>
        <v>981.35518427901889</v>
      </c>
      <c r="R446">
        <f t="shared" si="263"/>
        <v>1068.6378727560716</v>
      </c>
      <c r="S446">
        <f t="shared" si="263"/>
        <v>1085.3623915082494</v>
      </c>
      <c r="T446">
        <f t="shared" si="263"/>
        <v>994.18231801067793</v>
      </c>
      <c r="U446">
        <f t="shared" si="263"/>
        <v>1083.1546688857284</v>
      </c>
      <c r="V446">
        <f t="shared" si="263"/>
        <v>1024.4191766839192</v>
      </c>
      <c r="W446">
        <f t="shared" si="263"/>
        <v>546.7035781475762</v>
      </c>
      <c r="Y446" s="15">
        <f t="shared" si="253"/>
        <v>20931.052030821651</v>
      </c>
      <c r="Z446">
        <f t="shared" si="254"/>
        <v>-2952.275936870074</v>
      </c>
    </row>
    <row r="447" spans="1:26" x14ac:dyDescent="0.25">
      <c r="A447" t="s">
        <v>53</v>
      </c>
      <c r="D447">
        <f t="shared" ref="D447:W447" si="264">D41*D128</f>
        <v>1018.2317680843161</v>
      </c>
      <c r="E447">
        <f t="shared" si="264"/>
        <v>1053.4769307322617</v>
      </c>
      <c r="F447">
        <f t="shared" si="264"/>
        <v>741.30770170361461</v>
      </c>
      <c r="G447">
        <f t="shared" si="264"/>
        <v>403.12844264843238</v>
      </c>
      <c r="H447">
        <f t="shared" si="264"/>
        <v>1309.6725158064883</v>
      </c>
      <c r="I447">
        <f t="shared" si="264"/>
        <v>1181.5369278508003</v>
      </c>
      <c r="J447">
        <f t="shared" si="264"/>
        <v>1273.2586681700895</v>
      </c>
      <c r="K447">
        <f t="shared" si="264"/>
        <v>1276.6605609610183</v>
      </c>
      <c r="L447">
        <f t="shared" si="264"/>
        <v>1264.8351869134922</v>
      </c>
      <c r="M447">
        <f t="shared" si="264"/>
        <v>1139.803421271369</v>
      </c>
      <c r="N447">
        <f t="shared" si="264"/>
        <v>1384.9954584217908</v>
      </c>
      <c r="O447">
        <f t="shared" si="264"/>
        <v>1245.7566600830296</v>
      </c>
      <c r="P447">
        <f t="shared" si="264"/>
        <v>1060.2153443384773</v>
      </c>
      <c r="Q447">
        <f t="shared" si="264"/>
        <v>926.91788654566437</v>
      </c>
      <c r="R447">
        <f t="shared" si="264"/>
        <v>948.2907256377614</v>
      </c>
      <c r="S447">
        <f t="shared" si="264"/>
        <v>927.28835913464525</v>
      </c>
      <c r="T447">
        <f t="shared" si="264"/>
        <v>788.21007016946203</v>
      </c>
      <c r="U447">
        <f t="shared" si="264"/>
        <v>934.91181048140982</v>
      </c>
      <c r="V447">
        <f t="shared" si="264"/>
        <v>1047.3284924094253</v>
      </c>
      <c r="W447">
        <f t="shared" si="264"/>
        <v>260.14414147069942</v>
      </c>
      <c r="Y447" s="15">
        <f t="shared" si="253"/>
        <v>20185.971072834254</v>
      </c>
      <c r="Z447">
        <f t="shared" si="254"/>
        <v>-2804.8937370245822</v>
      </c>
    </row>
    <row r="448" spans="1:26" x14ac:dyDescent="0.25">
      <c r="A448" t="s">
        <v>54</v>
      </c>
      <c r="D448">
        <f t="shared" ref="D448:W448" si="265">D42*D129</f>
        <v>867.51823255676572</v>
      </c>
      <c r="E448">
        <f t="shared" si="265"/>
        <v>1175.5186494249008</v>
      </c>
      <c r="F448">
        <f t="shared" si="265"/>
        <v>923.40092297020806</v>
      </c>
      <c r="G448">
        <f t="shared" si="265"/>
        <v>949.58365475259382</v>
      </c>
      <c r="H448">
        <f t="shared" si="265"/>
        <v>775.83129102234807</v>
      </c>
      <c r="I448">
        <f t="shared" si="265"/>
        <v>854.29688451670711</v>
      </c>
      <c r="J448">
        <f t="shared" si="265"/>
        <v>466.67296304693826</v>
      </c>
      <c r="K448">
        <f t="shared" si="265"/>
        <v>360.25761753273906</v>
      </c>
      <c r="L448">
        <f t="shared" si="265"/>
        <v>658.16869144165059</v>
      </c>
      <c r="M448">
        <f t="shared" si="265"/>
        <v>404.16454702704601</v>
      </c>
      <c r="N448">
        <f t="shared" si="265"/>
        <v>1374.9546700121791</v>
      </c>
      <c r="O448">
        <f t="shared" si="265"/>
        <v>1314.7694213070838</v>
      </c>
      <c r="P448">
        <f t="shared" si="265"/>
        <v>956.49228082855211</v>
      </c>
      <c r="Q448">
        <f t="shared" si="265"/>
        <v>1008.7578825214348</v>
      </c>
      <c r="R448">
        <f t="shared" si="265"/>
        <v>876.296316522143</v>
      </c>
      <c r="S448">
        <f t="shared" si="265"/>
        <v>566.90883327317567</v>
      </c>
      <c r="T448">
        <f t="shared" si="265"/>
        <v>286.09815931453716</v>
      </c>
      <c r="U448">
        <f t="shared" si="265"/>
        <v>400.79425997739855</v>
      </c>
      <c r="V448">
        <f t="shared" si="265"/>
        <v>1089.0958311112161</v>
      </c>
      <c r="W448">
        <f t="shared" si="265"/>
        <v>269.97221357044782</v>
      </c>
      <c r="Y448" s="15">
        <f t="shared" si="253"/>
        <v>15579.553322730066</v>
      </c>
      <c r="Z448">
        <f t="shared" si="254"/>
        <v>-1728.6288708712705</v>
      </c>
    </row>
    <row r="449" spans="1:26" x14ac:dyDescent="0.25">
      <c r="A449" t="s">
        <v>55</v>
      </c>
      <c r="D449">
        <f t="shared" ref="D449:W449" si="266">D43*D130</f>
        <v>730.05492535568033</v>
      </c>
      <c r="E449">
        <f t="shared" si="266"/>
        <v>774.72705005435489</v>
      </c>
      <c r="F449">
        <f t="shared" si="266"/>
        <v>895.22467266140882</v>
      </c>
      <c r="G449">
        <f t="shared" si="266"/>
        <v>575.55410429300684</v>
      </c>
      <c r="H449">
        <f t="shared" si="266"/>
        <v>447.98086986276297</v>
      </c>
      <c r="I449">
        <f t="shared" si="266"/>
        <v>599.62266060023205</v>
      </c>
      <c r="J449">
        <f t="shared" si="266"/>
        <v>353.79122984239115</v>
      </c>
      <c r="K449">
        <f t="shared" si="266"/>
        <v>196.31936096385772</v>
      </c>
      <c r="L449">
        <f t="shared" si="266"/>
        <v>514.74625252643136</v>
      </c>
      <c r="M449">
        <f t="shared" si="266"/>
        <v>984.09371145946034</v>
      </c>
      <c r="N449">
        <f t="shared" si="266"/>
        <v>1173.26439977375</v>
      </c>
      <c r="O449">
        <f t="shared" si="266"/>
        <v>1198.7039939776996</v>
      </c>
      <c r="P449">
        <f t="shared" si="266"/>
        <v>941.53643073793728</v>
      </c>
      <c r="Q449">
        <f t="shared" si="266"/>
        <v>868.17327715638226</v>
      </c>
      <c r="R449">
        <f t="shared" si="266"/>
        <v>665.78596126633886</v>
      </c>
      <c r="S449">
        <f t="shared" si="266"/>
        <v>810.12222561245142</v>
      </c>
      <c r="T449">
        <f t="shared" si="266"/>
        <v>103.61595890960699</v>
      </c>
      <c r="U449">
        <f t="shared" si="266"/>
        <v>665.42662717133987</v>
      </c>
      <c r="V449">
        <f t="shared" si="266"/>
        <v>896.54099472806547</v>
      </c>
      <c r="W449">
        <f t="shared" si="266"/>
        <v>1004.3212900915851</v>
      </c>
      <c r="Y449" s="15">
        <f t="shared" si="253"/>
        <v>14399.605997044742</v>
      </c>
      <c r="Z449">
        <f t="shared" si="254"/>
        <v>-1800.8832437697047</v>
      </c>
    </row>
    <row r="450" spans="1:26" x14ac:dyDescent="0.25">
      <c r="A450" t="s">
        <v>56</v>
      </c>
      <c r="D450">
        <f t="shared" ref="D450:W450" si="267">D44*D131</f>
        <v>1339.8609430908953</v>
      </c>
      <c r="E450">
        <f t="shared" si="267"/>
        <v>1217.3</v>
      </c>
      <c r="F450">
        <f t="shared" si="267"/>
        <v>1404.4285714285713</v>
      </c>
      <c r="G450">
        <f t="shared" si="267"/>
        <v>992</v>
      </c>
      <c r="H450">
        <f t="shared" si="267"/>
        <v>1534.7315173251859</v>
      </c>
      <c r="I450">
        <f t="shared" si="267"/>
        <v>987.38152034549637</v>
      </c>
      <c r="J450">
        <f t="shared" si="267"/>
        <v>1122.0848155992455</v>
      </c>
      <c r="K450">
        <f t="shared" si="267"/>
        <v>1038.464813179367</v>
      </c>
      <c r="L450">
        <f t="shared" si="267"/>
        <v>2655.5334224943626</v>
      </c>
      <c r="M450">
        <f t="shared" si="267"/>
        <v>610.78519386085918</v>
      </c>
      <c r="N450">
        <f t="shared" si="267"/>
        <v>710.99590260052344</v>
      </c>
      <c r="O450">
        <f t="shared" si="267"/>
        <v>1158.3970127893381</v>
      </c>
      <c r="P450">
        <f t="shared" si="267"/>
        <v>835.51923603806176</v>
      </c>
      <c r="Q450">
        <f t="shared" si="267"/>
        <v>851.93621340738059</v>
      </c>
      <c r="R450">
        <f t="shared" si="267"/>
        <v>984.87527826830717</v>
      </c>
      <c r="S450">
        <f t="shared" si="267"/>
        <v>995.14079055308105</v>
      </c>
      <c r="T450">
        <f t="shared" si="267"/>
        <v>1051.2884631133254</v>
      </c>
      <c r="U450">
        <f t="shared" si="267"/>
        <v>960.06362208162329</v>
      </c>
      <c r="V450">
        <f t="shared" si="267"/>
        <v>1404.4361146558042</v>
      </c>
      <c r="W450">
        <f t="shared" si="267"/>
        <v>1810.6778945504016</v>
      </c>
      <c r="Y450" s="15">
        <f t="shared" si="253"/>
        <v>23665.901325381827</v>
      </c>
      <c r="Z450">
        <f t="shared" si="254"/>
        <v>-2283.8697765357174</v>
      </c>
    </row>
    <row r="451" spans="1:26" x14ac:dyDescent="0.25">
      <c r="A451" t="s">
        <v>57</v>
      </c>
      <c r="D451">
        <f t="shared" ref="D451:W451" si="268">D45*D132</f>
        <v>1207</v>
      </c>
      <c r="E451">
        <f t="shared" si="268"/>
        <v>1300.5326530612244</v>
      </c>
      <c r="F451">
        <f t="shared" si="268"/>
        <v>1895.0673469387755</v>
      </c>
      <c r="G451">
        <f t="shared" si="268"/>
        <v>1086.1387755102039</v>
      </c>
      <c r="H451">
        <f t="shared" si="268"/>
        <v>1056.9389155280862</v>
      </c>
      <c r="I451">
        <f t="shared" si="268"/>
        <v>1022.2403238929813</v>
      </c>
      <c r="J451">
        <f t="shared" si="268"/>
        <v>953.19208202763048</v>
      </c>
      <c r="K451">
        <f t="shared" si="268"/>
        <v>856.42503092708534</v>
      </c>
      <c r="L451">
        <f t="shared" si="268"/>
        <v>998.69291771974383</v>
      </c>
      <c r="M451">
        <f t="shared" si="268"/>
        <v>1116.8495690597613</v>
      </c>
      <c r="N451">
        <f t="shared" si="268"/>
        <v>1075.5308081731569</v>
      </c>
      <c r="O451">
        <f t="shared" si="268"/>
        <v>1050.3368697115905</v>
      </c>
      <c r="P451">
        <f t="shared" si="268"/>
        <v>998.8925213826534</v>
      </c>
      <c r="Q451">
        <f t="shared" si="268"/>
        <v>976.28572839136768</v>
      </c>
      <c r="R451">
        <f t="shared" si="268"/>
        <v>841.57264682395726</v>
      </c>
      <c r="S451">
        <f t="shared" si="268"/>
        <v>990.02795166241856</v>
      </c>
      <c r="T451">
        <f t="shared" si="268"/>
        <v>925.65379889997439</v>
      </c>
      <c r="U451">
        <f t="shared" si="268"/>
        <v>1184.7008338464964</v>
      </c>
      <c r="V451">
        <f t="shared" si="268"/>
        <v>964.50903344284961</v>
      </c>
      <c r="W451">
        <f t="shared" si="268"/>
        <v>960.45660590951275</v>
      </c>
      <c r="Y451" s="15">
        <f t="shared" si="253"/>
        <v>21461.044412909465</v>
      </c>
      <c r="Z451">
        <f t="shared" si="254"/>
        <v>-2051.9898128514583</v>
      </c>
    </row>
    <row r="452" spans="1:26" x14ac:dyDescent="0.25">
      <c r="A452" t="s">
        <v>58</v>
      </c>
      <c r="D452">
        <f t="shared" ref="D452:W452" si="269">D46*D133</f>
        <v>1237.0163265306121</v>
      </c>
      <c r="E452">
        <f t="shared" si="269"/>
        <v>1112.4306122448979</v>
      </c>
      <c r="F452">
        <f t="shared" si="269"/>
        <v>836.40204081632658</v>
      </c>
      <c r="G452">
        <f t="shared" si="269"/>
        <v>660.34285714285727</v>
      </c>
      <c r="H452">
        <f t="shared" si="269"/>
        <v>1244.0820115308813</v>
      </c>
      <c r="I452">
        <f t="shared" si="269"/>
        <v>1112.6451591304217</v>
      </c>
      <c r="J452">
        <f t="shared" si="269"/>
        <v>1186.8030263387407</v>
      </c>
      <c r="K452">
        <f t="shared" si="269"/>
        <v>1129.1897855603002</v>
      </c>
      <c r="L452">
        <f t="shared" si="269"/>
        <v>1124.503664129207</v>
      </c>
      <c r="M452">
        <f t="shared" si="269"/>
        <v>1222.4831439506618</v>
      </c>
      <c r="N452">
        <f t="shared" si="269"/>
        <v>1316.5864423677351</v>
      </c>
      <c r="O452">
        <f t="shared" si="269"/>
        <v>1327.2192518720231</v>
      </c>
      <c r="P452">
        <f t="shared" si="269"/>
        <v>724.33231484648843</v>
      </c>
      <c r="Q452">
        <f t="shared" si="269"/>
        <v>927.54467598188137</v>
      </c>
      <c r="R452">
        <f t="shared" si="269"/>
        <v>686.53686412380478</v>
      </c>
      <c r="S452">
        <f t="shared" si="269"/>
        <v>995.03378339212532</v>
      </c>
      <c r="T452">
        <f t="shared" si="269"/>
        <v>1304.5879918901082</v>
      </c>
      <c r="U452">
        <f t="shared" si="269"/>
        <v>1458.7035511994181</v>
      </c>
      <c r="V452">
        <f t="shared" si="269"/>
        <v>1595.1103236360252</v>
      </c>
      <c r="W452">
        <f t="shared" si="269"/>
        <v>1563.5371600438611</v>
      </c>
      <c r="Y452" s="15">
        <f t="shared" si="253"/>
        <v>22765.090986728377</v>
      </c>
      <c r="Z452">
        <f t="shared" si="254"/>
        <v>-2571.6508020251194</v>
      </c>
    </row>
    <row r="453" spans="1:26" x14ac:dyDescent="0.25">
      <c r="A453" t="s">
        <v>59</v>
      </c>
      <c r="D453">
        <f t="shared" ref="D453:W453" si="270">D47*D134</f>
        <v>906.76979386080018</v>
      </c>
      <c r="E453">
        <f t="shared" si="270"/>
        <v>895.24192826576632</v>
      </c>
      <c r="F453">
        <f t="shared" si="270"/>
        <v>1224.1404792728647</v>
      </c>
      <c r="G453">
        <f t="shared" si="270"/>
        <v>1678.7591289538705</v>
      </c>
      <c r="H453">
        <f t="shared" si="270"/>
        <v>1810.1623825946667</v>
      </c>
      <c r="I453">
        <f t="shared" si="270"/>
        <v>2544.7462562020519</v>
      </c>
      <c r="J453">
        <f t="shared" si="270"/>
        <v>1955.9472841587162</v>
      </c>
      <c r="K453">
        <f t="shared" si="270"/>
        <v>1234.3445495736726</v>
      </c>
      <c r="L453">
        <f t="shared" si="270"/>
        <v>1004.8643751446278</v>
      </c>
      <c r="M453">
        <f t="shared" si="270"/>
        <v>1104.4564801882427</v>
      </c>
      <c r="N453">
        <f t="shared" si="270"/>
        <v>1509.0958566067518</v>
      </c>
      <c r="O453">
        <f t="shared" si="270"/>
        <v>1225.433303421421</v>
      </c>
      <c r="P453">
        <f t="shared" si="270"/>
        <v>1104.9536220132165</v>
      </c>
      <c r="Q453">
        <f t="shared" si="270"/>
        <v>827.40882546335308</v>
      </c>
      <c r="R453">
        <f t="shared" si="270"/>
        <v>955.09137906441504</v>
      </c>
      <c r="S453">
        <f t="shared" si="270"/>
        <v>867.60565522115883</v>
      </c>
      <c r="T453">
        <f t="shared" si="270"/>
        <v>836.4301340890753</v>
      </c>
      <c r="U453">
        <f t="shared" si="270"/>
        <v>694.61671311398345</v>
      </c>
      <c r="V453">
        <f t="shared" si="270"/>
        <v>738.27257243135773</v>
      </c>
      <c r="W453">
        <f t="shared" si="270"/>
        <v>681.831843689469</v>
      </c>
      <c r="Y453" s="15">
        <f t="shared" si="253"/>
        <v>23800.172563329481</v>
      </c>
      <c r="Z453">
        <f t="shared" si="254"/>
        <v>-2799.1246479716765</v>
      </c>
    </row>
    <row r="454" spans="1:26" x14ac:dyDescent="0.25">
      <c r="A454" t="s">
        <v>60</v>
      </c>
      <c r="D454">
        <f t="shared" ref="D454:W454" si="271">D48*D135</f>
        <v>688.40751272768193</v>
      </c>
      <c r="E454">
        <f t="shared" si="271"/>
        <v>1413.1216469656781</v>
      </c>
      <c r="F454">
        <f t="shared" si="271"/>
        <v>1877.2214638243499</v>
      </c>
      <c r="G454">
        <f t="shared" si="271"/>
        <v>1156.816790043458</v>
      </c>
      <c r="H454">
        <f t="shared" si="271"/>
        <v>1198.344374642056</v>
      </c>
      <c r="I454">
        <f t="shared" si="271"/>
        <v>1103.3030094557705</v>
      </c>
      <c r="J454">
        <f t="shared" si="271"/>
        <v>1423.9984411104051</v>
      </c>
      <c r="K454">
        <f t="shared" si="271"/>
        <v>1636.1769362166344</v>
      </c>
      <c r="L454">
        <f t="shared" si="271"/>
        <v>1011.3236450945536</v>
      </c>
      <c r="M454">
        <f t="shared" si="271"/>
        <v>1203.1518894600779</v>
      </c>
      <c r="N454">
        <f t="shared" si="271"/>
        <v>998.83641452466247</v>
      </c>
      <c r="O454">
        <f t="shared" si="271"/>
        <v>1074.0205586123427</v>
      </c>
      <c r="P454">
        <f t="shared" si="271"/>
        <v>989.47358590937949</v>
      </c>
      <c r="Q454">
        <f t="shared" si="271"/>
        <v>1105.4409616694322</v>
      </c>
      <c r="R454">
        <f t="shared" si="271"/>
        <v>1312.4727155718961</v>
      </c>
      <c r="S454">
        <f t="shared" si="271"/>
        <v>1037.1578229793136</v>
      </c>
      <c r="T454">
        <f t="shared" si="271"/>
        <v>874.53290502775735</v>
      </c>
      <c r="U454">
        <f t="shared" si="271"/>
        <v>850.0905051346532</v>
      </c>
      <c r="V454">
        <f t="shared" si="271"/>
        <v>964.45287285794143</v>
      </c>
      <c r="W454">
        <f t="shared" si="271"/>
        <v>687.6160831245619</v>
      </c>
      <c r="Y454" s="15">
        <f t="shared" si="253"/>
        <v>22605.960134952609</v>
      </c>
      <c r="Z454">
        <f t="shared" si="254"/>
        <v>-2275.1785443681506</v>
      </c>
    </row>
    <row r="455" spans="1:26" x14ac:dyDescent="0.25">
      <c r="A455" t="s">
        <v>61</v>
      </c>
      <c r="D455">
        <f t="shared" ref="D455:W455" si="272">D49*D136</f>
        <v>1198.5749588651311</v>
      </c>
      <c r="E455">
        <f t="shared" si="272"/>
        <v>1517.8015798554632</v>
      </c>
      <c r="F455">
        <f t="shared" si="272"/>
        <v>1746.651969416537</v>
      </c>
      <c r="G455">
        <f t="shared" si="272"/>
        <v>1971.1989668631061</v>
      </c>
      <c r="H455">
        <f t="shared" si="272"/>
        <v>1861.1656773266345</v>
      </c>
      <c r="I455">
        <f t="shared" si="272"/>
        <v>1346.9891652051494</v>
      </c>
      <c r="J455">
        <f t="shared" si="272"/>
        <v>930.41835065307168</v>
      </c>
      <c r="K455">
        <f t="shared" si="272"/>
        <v>886.6336428893992</v>
      </c>
      <c r="L455">
        <f t="shared" si="272"/>
        <v>1143.129625507846</v>
      </c>
      <c r="M455">
        <f t="shared" si="272"/>
        <v>897.64953224308465</v>
      </c>
      <c r="N455">
        <f t="shared" si="272"/>
        <v>980.27583945187325</v>
      </c>
      <c r="O455">
        <f t="shared" si="272"/>
        <v>1725.8243329773638</v>
      </c>
      <c r="P455">
        <f t="shared" si="272"/>
        <v>1224.3592634704614</v>
      </c>
      <c r="Q455">
        <f t="shared" si="272"/>
        <v>945.97750494221225</v>
      </c>
      <c r="R455">
        <f t="shared" si="272"/>
        <v>1117.0968094475224</v>
      </c>
      <c r="S455">
        <f t="shared" si="272"/>
        <v>1142.3876802898633</v>
      </c>
      <c r="T455">
        <f t="shared" si="272"/>
        <v>761.54272033505549</v>
      </c>
      <c r="U455">
        <f t="shared" si="272"/>
        <v>915.00048573688196</v>
      </c>
      <c r="V455">
        <f t="shared" si="272"/>
        <v>803.24057928206093</v>
      </c>
      <c r="W455">
        <f t="shared" si="272"/>
        <v>815.55343591016867</v>
      </c>
      <c r="Y455" s="15">
        <f t="shared" si="253"/>
        <v>23931.472120668885</v>
      </c>
      <c r="Z455">
        <f t="shared" si="254"/>
        <v>-1974.5109098067364</v>
      </c>
    </row>
    <row r="456" spans="1:26" x14ac:dyDescent="0.25">
      <c r="A456" t="s">
        <v>62</v>
      </c>
      <c r="D456">
        <f t="shared" ref="D456:W456" si="273">D50*D137</f>
        <v>997.74030118026144</v>
      </c>
      <c r="E456">
        <f t="shared" si="273"/>
        <v>1160.968221687823</v>
      </c>
      <c r="F456">
        <f t="shared" si="273"/>
        <v>1083.9627280007878</v>
      </c>
      <c r="G456">
        <f t="shared" si="273"/>
        <v>1024.9595533463596</v>
      </c>
      <c r="H456">
        <f t="shared" si="273"/>
        <v>1313.5648498447067</v>
      </c>
      <c r="I456">
        <f t="shared" si="273"/>
        <v>1482.8537344463005</v>
      </c>
      <c r="J456">
        <f t="shared" si="273"/>
        <v>1211.0816423794524</v>
      </c>
      <c r="K456">
        <f t="shared" si="273"/>
        <v>1432.2132826654956</v>
      </c>
      <c r="L456">
        <f t="shared" si="273"/>
        <v>1423.192320226751</v>
      </c>
      <c r="M456">
        <f t="shared" si="273"/>
        <v>1148.4712883647585</v>
      </c>
      <c r="N456">
        <f t="shared" si="273"/>
        <v>801.10689385053217</v>
      </c>
      <c r="O456">
        <f t="shared" si="273"/>
        <v>905.66717263860551</v>
      </c>
      <c r="P456">
        <f t="shared" si="273"/>
        <v>949.47243491228835</v>
      </c>
      <c r="Q456">
        <f t="shared" si="273"/>
        <v>1107.057538831531</v>
      </c>
      <c r="R456">
        <f t="shared" si="273"/>
        <v>696.71668585660314</v>
      </c>
      <c r="S456">
        <f t="shared" si="273"/>
        <v>897.88326117078839</v>
      </c>
      <c r="T456">
        <f t="shared" si="273"/>
        <v>752.43433025002525</v>
      </c>
      <c r="U456">
        <f t="shared" si="273"/>
        <v>992.97235379086487</v>
      </c>
      <c r="V456">
        <f t="shared" si="273"/>
        <v>1045.7303990205153</v>
      </c>
      <c r="W456">
        <f t="shared" si="273"/>
        <v>948.49167324903499</v>
      </c>
      <c r="Y456" s="15">
        <f t="shared" si="253"/>
        <v>21376.540665713481</v>
      </c>
      <c r="Z456">
        <f t="shared" si="254"/>
        <v>-2258.761637056572</v>
      </c>
    </row>
    <row r="457" spans="1:26" x14ac:dyDescent="0.25">
      <c r="Y457" s="15"/>
    </row>
    <row r="458" spans="1:26" x14ac:dyDescent="0.25">
      <c r="A458" t="s">
        <v>63</v>
      </c>
      <c r="D458">
        <f t="shared" ref="D458:W458" si="274">D52*D139</f>
        <v>927.89578828890126</v>
      </c>
      <c r="E458">
        <f t="shared" si="274"/>
        <v>852.90697093136328</v>
      </c>
      <c r="F458">
        <f t="shared" si="274"/>
        <v>1101.4914396438421</v>
      </c>
      <c r="G458">
        <f t="shared" si="274"/>
        <v>813.43305164228991</v>
      </c>
      <c r="H458">
        <f t="shared" si="274"/>
        <v>1614.0540183260061</v>
      </c>
      <c r="I458">
        <f t="shared" si="274"/>
        <v>1502.2663022301986</v>
      </c>
      <c r="J458">
        <f t="shared" si="274"/>
        <v>1009.3281782164969</v>
      </c>
      <c r="K458">
        <f t="shared" si="274"/>
        <v>1201.4498717987938</v>
      </c>
      <c r="L458">
        <f t="shared" si="274"/>
        <v>1076.6749539797654</v>
      </c>
      <c r="M458">
        <f t="shared" si="274"/>
        <v>920.77299565134274</v>
      </c>
      <c r="N458">
        <f t="shared" si="274"/>
        <v>1111.023605570233</v>
      </c>
      <c r="O458">
        <f t="shared" si="274"/>
        <v>1186.6499700166626</v>
      </c>
      <c r="P458">
        <f t="shared" si="274"/>
        <v>820.61206385046466</v>
      </c>
      <c r="Q458">
        <f t="shared" si="274"/>
        <v>831.22656587940173</v>
      </c>
      <c r="R458">
        <f t="shared" si="274"/>
        <v>895.27184278131881</v>
      </c>
      <c r="S458">
        <f t="shared" si="274"/>
        <v>950.25682768993579</v>
      </c>
      <c r="T458">
        <f t="shared" si="274"/>
        <v>872.6070056441331</v>
      </c>
      <c r="U458">
        <f t="shared" si="274"/>
        <v>960.08649060819334</v>
      </c>
      <c r="V458">
        <f t="shared" si="274"/>
        <v>1063.3036060306345</v>
      </c>
      <c r="W458">
        <f t="shared" si="274"/>
        <v>933.92619910233941</v>
      </c>
      <c r="Y458" s="15">
        <f t="shared" si="253"/>
        <v>20645.237747882318</v>
      </c>
      <c r="Z458">
        <f>SUMPRODUCT($D$462:$S$462,D458:S458)</f>
        <v>-2210.9052506553153</v>
      </c>
    </row>
    <row r="459" spans="1:26" x14ac:dyDescent="0.25">
      <c r="A459" t="s">
        <v>307</v>
      </c>
      <c r="D459">
        <f t="shared" ref="D459:W459" si="275">D53*D140</f>
        <v>1557.8285714285714</v>
      </c>
      <c r="E459">
        <f t="shared" si="275"/>
        <v>2267.46</v>
      </c>
      <c r="F459">
        <f t="shared" si="275"/>
        <v>1120.55</v>
      </c>
      <c r="G459">
        <f t="shared" si="275"/>
        <v>1261.6200000000001</v>
      </c>
      <c r="H459">
        <f t="shared" si="275"/>
        <v>1337.6346938775509</v>
      </c>
      <c r="I459">
        <f t="shared" si="275"/>
        <v>1227.2795918367347</v>
      </c>
      <c r="J459">
        <f t="shared" si="275"/>
        <v>1135.2</v>
      </c>
      <c r="K459">
        <f t="shared" si="275"/>
        <v>1133.4387755102041</v>
      </c>
      <c r="L459">
        <f t="shared" si="275"/>
        <v>1193.6546874999999</v>
      </c>
      <c r="M459">
        <f t="shared" si="275"/>
        <v>1383.3653061224493</v>
      </c>
      <c r="N459">
        <f t="shared" si="275"/>
        <v>1285.436734693878</v>
      </c>
      <c r="O459">
        <f t="shared" si="275"/>
        <v>1103.4000000000001</v>
      </c>
      <c r="P459">
        <f t="shared" si="275"/>
        <v>1648.2</v>
      </c>
      <c r="Q459">
        <f t="shared" si="275"/>
        <v>1272.6000000000001</v>
      </c>
      <c r="R459">
        <f t="shared" si="275"/>
        <v>1255.04</v>
      </c>
      <c r="S459">
        <f t="shared" si="275"/>
        <v>1256.7</v>
      </c>
      <c r="T459">
        <f t="shared" si="275"/>
        <v>916.11000000000013</v>
      </c>
      <c r="U459">
        <f t="shared" si="275"/>
        <v>978.31000000000006</v>
      </c>
      <c r="V459">
        <f t="shared" si="275"/>
        <v>1026.4100000000001</v>
      </c>
      <c r="W459">
        <f t="shared" si="275"/>
        <v>920.08</v>
      </c>
      <c r="Y459" s="15">
        <f t="shared" si="253"/>
        <v>25280.318360969392</v>
      </c>
      <c r="Z459">
        <f>SUMPRODUCT($D$462:$S$462,D459:S459)</f>
        <v>-2577.3783104180839</v>
      </c>
    </row>
    <row r="460" spans="1:26" x14ac:dyDescent="0.25">
      <c r="A460" t="s">
        <v>308</v>
      </c>
      <c r="D460">
        <f t="shared" ref="D460:W460" si="276">D54*D141</f>
        <v>992.88224140140937</v>
      </c>
      <c r="E460">
        <f t="shared" si="276"/>
        <v>1907.08</v>
      </c>
      <c r="F460">
        <f t="shared" si="276"/>
        <v>1352.48</v>
      </c>
      <c r="G460">
        <f t="shared" si="276"/>
        <v>1186.6400000000001</v>
      </c>
      <c r="H460">
        <f t="shared" si="276"/>
        <v>1403.8399999999997</v>
      </c>
      <c r="I460">
        <f t="shared" si="276"/>
        <v>1152.48</v>
      </c>
      <c r="J460">
        <f t="shared" si="276"/>
        <v>1066.0200000000002</v>
      </c>
      <c r="K460">
        <f t="shared" si="276"/>
        <v>1122.3000000000002</v>
      </c>
      <c r="L460">
        <f t="shared" si="276"/>
        <v>1057.54</v>
      </c>
      <c r="M460">
        <f t="shared" si="276"/>
        <v>1226.82</v>
      </c>
      <c r="N460">
        <f t="shared" si="276"/>
        <v>1074.28</v>
      </c>
      <c r="O460">
        <f t="shared" si="276"/>
        <v>1027.18</v>
      </c>
      <c r="P460">
        <f t="shared" si="276"/>
        <v>933.78363165157418</v>
      </c>
      <c r="Q460">
        <f t="shared" si="276"/>
        <v>927.78326433657287</v>
      </c>
      <c r="R460">
        <f t="shared" si="276"/>
        <v>925.34274575544907</v>
      </c>
      <c r="S460">
        <f t="shared" si="276"/>
        <v>964.50677326914183</v>
      </c>
      <c r="T460">
        <f t="shared" si="276"/>
        <v>988.26972840673909</v>
      </c>
      <c r="U460">
        <f t="shared" si="276"/>
        <v>1036.1621249476643</v>
      </c>
      <c r="V460">
        <f t="shared" si="276"/>
        <v>1158.7544598436646</v>
      </c>
      <c r="W460">
        <f t="shared" si="276"/>
        <v>1192.5635718394558</v>
      </c>
      <c r="Y460" s="15">
        <f t="shared" si="253"/>
        <v>22696.708541451677</v>
      </c>
      <c r="Z460">
        <f>SUMPRODUCT($D$462:$S$462,D460:S460)</f>
        <v>-1954.2402059717431</v>
      </c>
    </row>
    <row r="461" spans="1:26" x14ac:dyDescent="0.25">
      <c r="A461" t="s">
        <v>670</v>
      </c>
      <c r="D461">
        <f t="shared" ref="D461:W461" si="277">D55*D142</f>
        <v>1174.0297251357488</v>
      </c>
      <c r="E461">
        <f t="shared" si="277"/>
        <v>1372.4423209837112</v>
      </c>
      <c r="F461">
        <f t="shared" si="277"/>
        <v>1206.6761353186687</v>
      </c>
      <c r="G461">
        <f t="shared" si="277"/>
        <v>1158.3733585233788</v>
      </c>
      <c r="H461">
        <f t="shared" si="277"/>
        <v>1090.3075408976217</v>
      </c>
      <c r="I461">
        <f t="shared" si="277"/>
        <v>1065.0121352682875</v>
      </c>
      <c r="J461">
        <f t="shared" si="277"/>
        <v>943.01441643191913</v>
      </c>
      <c r="K461">
        <f t="shared" si="277"/>
        <v>849.59708776719549</v>
      </c>
      <c r="L461">
        <f t="shared" si="277"/>
        <v>829.00860861932733</v>
      </c>
      <c r="M461">
        <f t="shared" si="277"/>
        <v>1003.0295970269367</v>
      </c>
      <c r="N461">
        <f t="shared" si="277"/>
        <v>1193.7873178537006</v>
      </c>
      <c r="O461">
        <f t="shared" si="277"/>
        <v>1266.4135752367276</v>
      </c>
      <c r="P461">
        <f t="shared" si="277"/>
        <v>872.83410718091068</v>
      </c>
      <c r="Q461">
        <f t="shared" si="277"/>
        <v>911.40586688421752</v>
      </c>
      <c r="R461">
        <f t="shared" si="277"/>
        <v>909.91229677696867</v>
      </c>
      <c r="S461">
        <f t="shared" si="277"/>
        <v>952.21429862370189</v>
      </c>
      <c r="T461">
        <f t="shared" si="277"/>
        <v>870.49219887967388</v>
      </c>
      <c r="U461">
        <f t="shared" si="277"/>
        <v>957.93422079818708</v>
      </c>
      <c r="V461">
        <f t="shared" si="277"/>
        <v>1064.0555427594766</v>
      </c>
      <c r="W461">
        <f t="shared" si="277"/>
        <v>933.84068311805049</v>
      </c>
      <c r="Y461" s="15">
        <f t="shared" ref="Y461" si="278">SUM(D461:W461)</f>
        <v>20624.38103408441</v>
      </c>
      <c r="Z461">
        <f>SUMPRODUCT($D$462:$S$462,D461:S461)</f>
        <v>-2069.4745996704146</v>
      </c>
    </row>
    <row r="462" spans="1:26" x14ac:dyDescent="0.25">
      <c r="A462" s="2" t="s">
        <v>64</v>
      </c>
      <c r="D462" s="3">
        <f>CORREL($B$2:$B$21,D437:D456)</f>
        <v>-0.33172626269106109</v>
      </c>
      <c r="E462" s="3">
        <f t="shared" ref="E462:W462" si="279">CORREL($B$2:$B$21,E437:E456)</f>
        <v>0.31768679452092974</v>
      </c>
      <c r="F462" s="3">
        <f t="shared" si="279"/>
        <v>0.10854152906513577</v>
      </c>
      <c r="G462" s="3">
        <f t="shared" si="279"/>
        <v>0.16415149652130478</v>
      </c>
      <c r="H462" s="3">
        <f t="shared" si="279"/>
        <v>6.7535823196264361E-2</v>
      </c>
      <c r="I462" s="3">
        <f t="shared" si="279"/>
        <v>-1.9728483450238025E-2</v>
      </c>
      <c r="J462" s="3">
        <f t="shared" si="279"/>
        <v>-0.40740562734825714</v>
      </c>
      <c r="K462" s="3">
        <f t="shared" si="279"/>
        <v>-0.15098339633145003</v>
      </c>
      <c r="L462" s="3">
        <f t="shared" si="279"/>
        <v>-0.25710980507654102</v>
      </c>
      <c r="M462" s="3">
        <f t="shared" si="279"/>
        <v>-0.45775241688351459</v>
      </c>
      <c r="N462" s="3">
        <f t="shared" si="279"/>
        <v>-0.44783287059964205</v>
      </c>
      <c r="O462" s="3">
        <f t="shared" si="279"/>
        <v>-0.27404359134337364</v>
      </c>
      <c r="P462" s="3">
        <f t="shared" si="279"/>
        <v>-0.28428450783340764</v>
      </c>
      <c r="Q462" s="3">
        <f t="shared" si="279"/>
        <v>-0.15512221500739345</v>
      </c>
      <c r="R462" s="3">
        <f t="shared" si="279"/>
        <v>-0.24687598649741632</v>
      </c>
      <c r="S462" s="3">
        <f t="shared" si="279"/>
        <v>0.2003706378109236</v>
      </c>
      <c r="T462" s="3">
        <f t="shared" si="279"/>
        <v>-0.1084085047337197</v>
      </c>
      <c r="U462" s="3">
        <f t="shared" si="279"/>
        <v>-0.13694591902017217</v>
      </c>
      <c r="V462" s="3">
        <f t="shared" si="279"/>
        <v>-0.1666015107349598</v>
      </c>
      <c r="W462" s="3">
        <f t="shared" si="279"/>
        <v>-0.15397757611045676</v>
      </c>
    </row>
    <row r="465" spans="1:26" x14ac:dyDescent="0.25">
      <c r="D465" t="s">
        <v>183</v>
      </c>
      <c r="E465" t="s">
        <v>184</v>
      </c>
      <c r="F465" t="s">
        <v>185</v>
      </c>
      <c r="G465" t="s">
        <v>186</v>
      </c>
      <c r="H465" t="s">
        <v>187</v>
      </c>
      <c r="I465" t="s">
        <v>188</v>
      </c>
      <c r="J465" t="s">
        <v>189</v>
      </c>
      <c r="K465" t="s">
        <v>190</v>
      </c>
      <c r="L465" t="s">
        <v>349</v>
      </c>
      <c r="M465" t="s">
        <v>409</v>
      </c>
      <c r="N465" t="s">
        <v>410</v>
      </c>
      <c r="O465" t="s">
        <v>411</v>
      </c>
      <c r="P465" t="s">
        <v>510</v>
      </c>
      <c r="Q465" t="s">
        <v>511</v>
      </c>
      <c r="R465" t="s">
        <v>512</v>
      </c>
      <c r="S465" t="s">
        <v>513</v>
      </c>
      <c r="T465" t="s">
        <v>622</v>
      </c>
      <c r="U465" t="s">
        <v>623</v>
      </c>
      <c r="V465" t="s">
        <v>624</v>
      </c>
      <c r="W465" t="s">
        <v>625</v>
      </c>
      <c r="Y465" t="s">
        <v>191</v>
      </c>
      <c r="Z465" t="s">
        <v>192</v>
      </c>
    </row>
    <row r="466" spans="1:26" x14ac:dyDescent="0.25">
      <c r="A466" t="s">
        <v>43</v>
      </c>
      <c r="D466">
        <f t="shared" ref="D466:W466" si="280">D31*D147</f>
        <v>534.3712568620349</v>
      </c>
      <c r="E466">
        <f t="shared" si="280"/>
        <v>332.33122448979594</v>
      </c>
      <c r="F466">
        <f t="shared" si="280"/>
        <v>365.18367346938777</v>
      </c>
      <c r="G466">
        <f t="shared" si="280"/>
        <v>399.04591836734699</v>
      </c>
      <c r="H466">
        <f t="shared" si="280"/>
        <v>350.70564152326455</v>
      </c>
      <c r="I466">
        <f t="shared" si="280"/>
        <v>418.56994604189299</v>
      </c>
      <c r="J466">
        <f t="shared" si="280"/>
        <v>295.32995739285667</v>
      </c>
      <c r="K466">
        <f t="shared" si="280"/>
        <v>336.64562554022871</v>
      </c>
      <c r="L466">
        <f t="shared" si="280"/>
        <v>301.83632401330351</v>
      </c>
      <c r="M466">
        <f t="shared" si="280"/>
        <v>399.41474919844353</v>
      </c>
      <c r="N466">
        <f t="shared" si="280"/>
        <v>351.23203056780858</v>
      </c>
      <c r="O466">
        <f t="shared" si="280"/>
        <v>288.32421263071876</v>
      </c>
      <c r="P466">
        <f t="shared" si="280"/>
        <v>283.80539488411125</v>
      </c>
      <c r="Q466">
        <f t="shared" si="280"/>
        <v>271.49842039426119</v>
      </c>
      <c r="R466">
        <f t="shared" si="280"/>
        <v>304.0537005471034</v>
      </c>
      <c r="S466">
        <f t="shared" si="280"/>
        <v>386.61971709140448</v>
      </c>
      <c r="T466">
        <f t="shared" si="280"/>
        <v>272.00733697455541</v>
      </c>
      <c r="U466">
        <f t="shared" si="280"/>
        <v>414.18631037155779</v>
      </c>
      <c r="V466">
        <f t="shared" si="280"/>
        <v>547.09260627596734</v>
      </c>
      <c r="W466">
        <f t="shared" si="280"/>
        <v>579.33352397322926</v>
      </c>
      <c r="Y466" s="15">
        <f t="shared" ref="Y466:Y489" si="281">SUM(D466:W466)</f>
        <v>7431.5875706092729</v>
      </c>
      <c r="Z466">
        <f t="shared" ref="Z466:Z485" si="282">SUMPRODUCT($D$491:$S$491,D466:S466)</f>
        <v>-173.05795391276737</v>
      </c>
    </row>
    <row r="467" spans="1:26" x14ac:dyDescent="0.25">
      <c r="A467" t="s">
        <v>44</v>
      </c>
      <c r="D467">
        <f t="shared" ref="D467:W467" si="283">D32*D148</f>
        <v>489.74693877551022</v>
      </c>
      <c r="E467">
        <f t="shared" si="283"/>
        <v>451.14897959183673</v>
      </c>
      <c r="F467">
        <f t="shared" si="283"/>
        <v>459.93244897959181</v>
      </c>
      <c r="G467">
        <f t="shared" si="283"/>
        <v>453.98938775510209</v>
      </c>
      <c r="H467">
        <f t="shared" si="283"/>
        <v>1507.592432276384</v>
      </c>
      <c r="I467">
        <f t="shared" si="283"/>
        <v>1349.5795685022015</v>
      </c>
      <c r="J467">
        <f t="shared" si="283"/>
        <v>1247.1824658426567</v>
      </c>
      <c r="K467">
        <f t="shared" si="283"/>
        <v>1182.4486444508959</v>
      </c>
      <c r="L467">
        <f t="shared" si="283"/>
        <v>1238.7830275055107</v>
      </c>
      <c r="M467">
        <f t="shared" si="283"/>
        <v>320.63448742490135</v>
      </c>
      <c r="N467">
        <f t="shared" si="283"/>
        <v>329.60848566136536</v>
      </c>
      <c r="O467">
        <f t="shared" si="283"/>
        <v>272.74165144945658</v>
      </c>
      <c r="P467">
        <f t="shared" si="283"/>
        <v>402.09320654633882</v>
      </c>
      <c r="Q467">
        <f t="shared" si="283"/>
        <v>286.17026189511301</v>
      </c>
      <c r="R467">
        <f t="shared" si="283"/>
        <v>263.56564764990731</v>
      </c>
      <c r="S467">
        <f t="shared" si="283"/>
        <v>276.90439126612046</v>
      </c>
      <c r="T467">
        <f t="shared" si="283"/>
        <v>315.03935938083458</v>
      </c>
      <c r="U467">
        <f t="shared" si="283"/>
        <v>258.11051210548538</v>
      </c>
      <c r="V467">
        <f t="shared" si="283"/>
        <v>390.03826250429</v>
      </c>
      <c r="W467">
        <f t="shared" si="283"/>
        <v>491.65245741292125</v>
      </c>
      <c r="Y467" s="15">
        <f t="shared" si="281"/>
        <v>11986.962616976423</v>
      </c>
      <c r="Z467">
        <f t="shared" si="282"/>
        <v>-921.5036371455127</v>
      </c>
    </row>
    <row r="468" spans="1:26" x14ac:dyDescent="0.25">
      <c r="A468" t="s">
        <v>45</v>
      </c>
      <c r="D468">
        <f t="shared" ref="D468:W468" si="284">D33*D149</f>
        <v>645.71711733017139</v>
      </c>
      <c r="E468">
        <f t="shared" si="284"/>
        <v>361.39183673469392</v>
      </c>
      <c r="F468">
        <f t="shared" si="284"/>
        <v>430.48571428571427</v>
      </c>
      <c r="G468">
        <f t="shared" si="284"/>
        <v>283.57326530612244</v>
      </c>
      <c r="H468">
        <f t="shared" si="284"/>
        <v>374.61707995450814</v>
      </c>
      <c r="I468">
        <f t="shared" si="284"/>
        <v>342.37392037847064</v>
      </c>
      <c r="J468">
        <f t="shared" si="284"/>
        <v>227.21680333518438</v>
      </c>
      <c r="K468">
        <f t="shared" si="284"/>
        <v>300.00315372163658</v>
      </c>
      <c r="L468">
        <f t="shared" si="284"/>
        <v>212.03344778572483</v>
      </c>
      <c r="M468">
        <f t="shared" si="284"/>
        <v>128.98560030841332</v>
      </c>
      <c r="N468">
        <f t="shared" si="284"/>
        <v>134.61799990690389</v>
      </c>
      <c r="O468">
        <f t="shared" si="284"/>
        <v>138.46214304539853</v>
      </c>
      <c r="P468">
        <f t="shared" si="284"/>
        <v>134.09490447983023</v>
      </c>
      <c r="Q468">
        <f t="shared" si="284"/>
        <v>133.43799394350523</v>
      </c>
      <c r="R468">
        <f t="shared" si="284"/>
        <v>140.28689453519027</v>
      </c>
      <c r="S468">
        <f t="shared" si="284"/>
        <v>143.88773747504601</v>
      </c>
      <c r="T468">
        <f t="shared" si="284"/>
        <v>143.3524770380404</v>
      </c>
      <c r="U468">
        <f t="shared" si="284"/>
        <v>201.62793109742412</v>
      </c>
      <c r="V468">
        <f t="shared" si="284"/>
        <v>372.1217746987565</v>
      </c>
      <c r="W468">
        <f t="shared" si="284"/>
        <v>527.50277535990631</v>
      </c>
      <c r="Y468" s="15">
        <f t="shared" si="281"/>
        <v>5375.7905707206419</v>
      </c>
      <c r="Z468">
        <f t="shared" si="282"/>
        <v>109.18357626376313</v>
      </c>
    </row>
    <row r="469" spans="1:26" x14ac:dyDescent="0.25">
      <c r="A469" t="s">
        <v>46</v>
      </c>
      <c r="D469">
        <f t="shared" ref="D469:W469" si="285">D34*D150</f>
        <v>555.8405098949338</v>
      </c>
      <c r="E469">
        <f t="shared" si="285"/>
        <v>475.36841683152818</v>
      </c>
      <c r="F469">
        <f t="shared" si="285"/>
        <v>388.18572711068231</v>
      </c>
      <c r="G469">
        <f t="shared" si="285"/>
        <v>413.79795340061213</v>
      </c>
      <c r="H469">
        <f t="shared" si="285"/>
        <v>362.99303185653463</v>
      </c>
      <c r="I469">
        <f t="shared" si="285"/>
        <v>361.57325250479499</v>
      </c>
      <c r="J469">
        <f t="shared" si="285"/>
        <v>380.46721749287741</v>
      </c>
      <c r="K469">
        <f t="shared" si="285"/>
        <v>348.40398549515828</v>
      </c>
      <c r="L469">
        <f t="shared" si="285"/>
        <v>279.36551345614976</v>
      </c>
      <c r="M469">
        <f t="shared" si="285"/>
        <v>380.80764249339035</v>
      </c>
      <c r="N469">
        <f t="shared" si="285"/>
        <v>343.60504561266106</v>
      </c>
      <c r="O469">
        <f t="shared" si="285"/>
        <v>346.08893674426349</v>
      </c>
      <c r="P469">
        <f t="shared" si="285"/>
        <v>424.69544128201881</v>
      </c>
      <c r="Q469">
        <f t="shared" si="285"/>
        <v>483.30071421529885</v>
      </c>
      <c r="R469">
        <f t="shared" si="285"/>
        <v>328.57260306182934</v>
      </c>
      <c r="S469">
        <f t="shared" si="285"/>
        <v>392.82838467240401</v>
      </c>
      <c r="T469">
        <f t="shared" si="285"/>
        <v>541.48634608714485</v>
      </c>
      <c r="U469">
        <f t="shared" si="285"/>
        <v>361.81518311037291</v>
      </c>
      <c r="V469">
        <f t="shared" si="285"/>
        <v>542.78874967717877</v>
      </c>
      <c r="W469">
        <f t="shared" si="285"/>
        <v>612.8038325684463</v>
      </c>
      <c r="Y469" s="15">
        <f t="shared" si="281"/>
        <v>8324.7884875682812</v>
      </c>
      <c r="Z469">
        <f t="shared" si="282"/>
        <v>-151.67979567412186</v>
      </c>
    </row>
    <row r="470" spans="1:26" x14ac:dyDescent="0.25">
      <c r="A470" t="s">
        <v>47</v>
      </c>
      <c r="D470">
        <f t="shared" ref="D470:W470" si="286">D35*D151</f>
        <v>551.7930150085374</v>
      </c>
      <c r="E470">
        <f t="shared" si="286"/>
        <v>533.96220520717975</v>
      </c>
      <c r="F470">
        <f t="shared" si="286"/>
        <v>465.72050922961108</v>
      </c>
      <c r="G470">
        <f t="shared" si="286"/>
        <v>389.36206286108802</v>
      </c>
      <c r="H470">
        <f t="shared" si="286"/>
        <v>389.28960550303543</v>
      </c>
      <c r="I470">
        <f t="shared" si="286"/>
        <v>326.38806480807074</v>
      </c>
      <c r="J470">
        <f t="shared" si="286"/>
        <v>264.53850892022001</v>
      </c>
      <c r="K470">
        <f t="shared" si="286"/>
        <v>422.01497681041587</v>
      </c>
      <c r="L470">
        <f t="shared" si="286"/>
        <v>385.11810913227987</v>
      </c>
      <c r="M470">
        <f t="shared" si="286"/>
        <v>288.90187534305272</v>
      </c>
      <c r="N470">
        <f t="shared" si="286"/>
        <v>267.70361140212293</v>
      </c>
      <c r="O470">
        <f t="shared" si="286"/>
        <v>278.21762846066957</v>
      </c>
      <c r="P470">
        <f t="shared" si="286"/>
        <v>276.01917150582125</v>
      </c>
      <c r="Q470">
        <f t="shared" si="286"/>
        <v>282.42869843514183</v>
      </c>
      <c r="R470">
        <f t="shared" si="286"/>
        <v>236.55472476131322</v>
      </c>
      <c r="S470">
        <f t="shared" si="286"/>
        <v>346.78520461714021</v>
      </c>
      <c r="T470">
        <f t="shared" si="286"/>
        <v>292.48963423629294</v>
      </c>
      <c r="U470">
        <f t="shared" si="286"/>
        <v>392.60677194635451</v>
      </c>
      <c r="V470">
        <f t="shared" si="286"/>
        <v>424.02299322631023</v>
      </c>
      <c r="W470">
        <f t="shared" si="286"/>
        <v>511.48653720013078</v>
      </c>
      <c r="Y470" s="15">
        <f t="shared" si="281"/>
        <v>7325.4039086147868</v>
      </c>
      <c r="Z470">
        <f t="shared" si="282"/>
        <v>27.771507511592695</v>
      </c>
    </row>
    <row r="471" spans="1:26" x14ac:dyDescent="0.25">
      <c r="A471" t="s">
        <v>48</v>
      </c>
      <c r="D471">
        <f t="shared" ref="D471:W471" si="287">D36*D152</f>
        <v>657.39585567745632</v>
      </c>
      <c r="E471">
        <f t="shared" si="287"/>
        <v>589.52604127757752</v>
      </c>
      <c r="F471">
        <f t="shared" si="287"/>
        <v>515.58992132231674</v>
      </c>
      <c r="G471">
        <f t="shared" si="287"/>
        <v>506.04043150828926</v>
      </c>
      <c r="H471">
        <f t="shared" si="287"/>
        <v>438.89034560452336</v>
      </c>
      <c r="I471">
        <f t="shared" si="287"/>
        <v>394.36141777743114</v>
      </c>
      <c r="J471">
        <f t="shared" si="287"/>
        <v>301.88360471498095</v>
      </c>
      <c r="K471">
        <f t="shared" si="287"/>
        <v>326.87754992251871</v>
      </c>
      <c r="L471">
        <f t="shared" si="287"/>
        <v>256.02372108243679</v>
      </c>
      <c r="M471">
        <f t="shared" si="287"/>
        <v>329.33234730940427</v>
      </c>
      <c r="N471">
        <f t="shared" si="287"/>
        <v>383.06178869294189</v>
      </c>
      <c r="O471">
        <f t="shared" si="287"/>
        <v>180.2145422420972</v>
      </c>
      <c r="P471">
        <f t="shared" si="287"/>
        <v>269.21661539641497</v>
      </c>
      <c r="Q471">
        <f t="shared" si="287"/>
        <v>361.56962485970655</v>
      </c>
      <c r="R471">
        <f t="shared" si="287"/>
        <v>257.47851687762216</v>
      </c>
      <c r="S471">
        <f t="shared" si="287"/>
        <v>397.05998958069358</v>
      </c>
      <c r="T471">
        <f t="shared" si="287"/>
        <v>240.8433699564529</v>
      </c>
      <c r="U471">
        <f t="shared" si="287"/>
        <v>318.03237857232182</v>
      </c>
      <c r="V471">
        <f t="shared" si="287"/>
        <v>393.45865364235522</v>
      </c>
      <c r="W471">
        <f t="shared" si="287"/>
        <v>459.40208737509494</v>
      </c>
      <c r="Y471" s="15">
        <f t="shared" si="281"/>
        <v>7576.2588033926377</v>
      </c>
      <c r="Z471">
        <f t="shared" si="282"/>
        <v>158.99845412400319</v>
      </c>
    </row>
    <row r="472" spans="1:26" x14ac:dyDescent="0.25">
      <c r="A472" t="s">
        <v>49</v>
      </c>
      <c r="D472">
        <f t="shared" ref="D472:W472" si="288">D37*D153</f>
        <v>681.63919630440387</v>
      </c>
      <c r="E472">
        <f t="shared" si="288"/>
        <v>552.18677830237539</v>
      </c>
      <c r="F472">
        <f t="shared" si="288"/>
        <v>483.73664772021391</v>
      </c>
      <c r="G472">
        <f t="shared" si="288"/>
        <v>369.4086814357218</v>
      </c>
      <c r="H472">
        <f t="shared" si="288"/>
        <v>371.46661755533694</v>
      </c>
      <c r="I472">
        <f t="shared" si="288"/>
        <v>331.35605731379638</v>
      </c>
      <c r="J472">
        <f t="shared" si="288"/>
        <v>323.06327779218708</v>
      </c>
      <c r="K472">
        <f t="shared" si="288"/>
        <v>316.29004920411887</v>
      </c>
      <c r="L472">
        <f t="shared" si="288"/>
        <v>192.82205987513896</v>
      </c>
      <c r="M472">
        <f t="shared" si="288"/>
        <v>308.47982525642357</v>
      </c>
      <c r="N472">
        <f t="shared" si="288"/>
        <v>276.55896324340802</v>
      </c>
      <c r="O472">
        <f t="shared" si="288"/>
        <v>342.22261697409618</v>
      </c>
      <c r="P472">
        <f t="shared" si="288"/>
        <v>313.34068030884015</v>
      </c>
      <c r="Q472">
        <f t="shared" si="288"/>
        <v>252.71757010777824</v>
      </c>
      <c r="R472">
        <f t="shared" si="288"/>
        <v>366.15374420133628</v>
      </c>
      <c r="S472">
        <f t="shared" si="288"/>
        <v>463.49574139071035</v>
      </c>
      <c r="T472">
        <f t="shared" si="288"/>
        <v>453.33278955742395</v>
      </c>
      <c r="U472">
        <f t="shared" si="288"/>
        <v>524.99502907866588</v>
      </c>
      <c r="V472">
        <f t="shared" si="288"/>
        <v>475.28223282531769</v>
      </c>
      <c r="W472">
        <f t="shared" si="288"/>
        <v>487.86513319306238</v>
      </c>
      <c r="Y472" s="15">
        <f t="shared" si="281"/>
        <v>7886.4136916403568</v>
      </c>
      <c r="Z472">
        <f t="shared" si="282"/>
        <v>26.070110499680617</v>
      </c>
    </row>
    <row r="473" spans="1:26" x14ac:dyDescent="0.25">
      <c r="A473" t="s">
        <v>50</v>
      </c>
      <c r="D473">
        <f t="shared" ref="D473:W473" si="289">D38*D154</f>
        <v>514.22331597056075</v>
      </c>
      <c r="E473">
        <f t="shared" si="289"/>
        <v>458.73673469387751</v>
      </c>
      <c r="F473">
        <f t="shared" si="289"/>
        <v>398.28571428571428</v>
      </c>
      <c r="G473">
        <f t="shared" si="289"/>
        <v>349.5328571428571</v>
      </c>
      <c r="H473">
        <f t="shared" si="289"/>
        <v>165.74970779281489</v>
      </c>
      <c r="I473">
        <f t="shared" si="289"/>
        <v>325.27759850888174</v>
      </c>
      <c r="J473">
        <f t="shared" si="289"/>
        <v>287.92890338856847</v>
      </c>
      <c r="K473">
        <f t="shared" si="289"/>
        <v>258.18859940994309</v>
      </c>
      <c r="L473">
        <f t="shared" si="289"/>
        <v>260.17373236837352</v>
      </c>
      <c r="M473">
        <f t="shared" si="289"/>
        <v>229.57373592218164</v>
      </c>
      <c r="N473">
        <f t="shared" si="289"/>
        <v>307.2822704547753</v>
      </c>
      <c r="O473">
        <f t="shared" si="289"/>
        <v>275.99389690280765</v>
      </c>
      <c r="P473">
        <f t="shared" si="289"/>
        <v>266.02005638579249</v>
      </c>
      <c r="Q473">
        <f t="shared" si="289"/>
        <v>323.6463285557337</v>
      </c>
      <c r="R473">
        <f t="shared" si="289"/>
        <v>328.04976300640845</v>
      </c>
      <c r="S473">
        <f t="shared" si="289"/>
        <v>265.24815480569748</v>
      </c>
      <c r="T473">
        <f t="shared" si="289"/>
        <v>278.93488187884344</v>
      </c>
      <c r="U473">
        <f t="shared" si="289"/>
        <v>279.45914419016106</v>
      </c>
      <c r="V473">
        <f t="shared" si="289"/>
        <v>433.97793271820967</v>
      </c>
      <c r="W473">
        <f t="shared" si="289"/>
        <v>553.71625254678395</v>
      </c>
      <c r="Y473" s="15">
        <f t="shared" si="281"/>
        <v>6559.9995809289858</v>
      </c>
      <c r="Z473">
        <f t="shared" si="282"/>
        <v>18.600035082702455</v>
      </c>
    </row>
    <row r="474" spans="1:26" x14ac:dyDescent="0.25">
      <c r="A474" t="s">
        <v>51</v>
      </c>
      <c r="D474">
        <f t="shared" ref="D474:W474" si="290">D39*D155</f>
        <v>535.70233046710848</v>
      </c>
      <c r="E474">
        <f t="shared" si="290"/>
        <v>567.87644009344046</v>
      </c>
      <c r="F474">
        <f t="shared" si="290"/>
        <v>676.83650692194112</v>
      </c>
      <c r="G474">
        <f t="shared" si="290"/>
        <v>477.48500374087462</v>
      </c>
      <c r="H474">
        <f t="shared" si="290"/>
        <v>321.86908443113481</v>
      </c>
      <c r="I474">
        <f t="shared" si="290"/>
        <v>250.73958850534734</v>
      </c>
      <c r="J474">
        <f t="shared" si="290"/>
        <v>305.41550475318866</v>
      </c>
      <c r="K474">
        <f t="shared" si="290"/>
        <v>294.00023191610325</v>
      </c>
      <c r="L474">
        <f t="shared" si="290"/>
        <v>262.19925011074696</v>
      </c>
      <c r="M474">
        <f t="shared" si="290"/>
        <v>254.51896075500827</v>
      </c>
      <c r="N474">
        <f t="shared" si="290"/>
        <v>236.19988156981452</v>
      </c>
      <c r="O474">
        <f t="shared" si="290"/>
        <v>303.77627786794648</v>
      </c>
      <c r="P474">
        <f t="shared" si="290"/>
        <v>236.38614064662343</v>
      </c>
      <c r="Q474">
        <f t="shared" si="290"/>
        <v>232.24635264028603</v>
      </c>
      <c r="R474">
        <f t="shared" si="290"/>
        <v>243.32545085610286</v>
      </c>
      <c r="S474">
        <f t="shared" si="290"/>
        <v>290.74966522515922</v>
      </c>
      <c r="T474">
        <f t="shared" si="290"/>
        <v>432.34280633670488</v>
      </c>
      <c r="U474">
        <f t="shared" si="290"/>
        <v>274.38275471065458</v>
      </c>
      <c r="V474">
        <f t="shared" si="290"/>
        <v>367.35533556123903</v>
      </c>
      <c r="W474">
        <f t="shared" si="290"/>
        <v>504.51329880687189</v>
      </c>
      <c r="Y474" s="15">
        <f t="shared" si="281"/>
        <v>7067.9208659162969</v>
      </c>
      <c r="Z474">
        <f t="shared" si="282"/>
        <v>251.48560011752545</v>
      </c>
    </row>
    <row r="475" spans="1:26" x14ac:dyDescent="0.25">
      <c r="A475" t="s">
        <v>52</v>
      </c>
      <c r="D475">
        <f t="shared" ref="D475:W475" si="291">D40*D156</f>
        <v>630.22513981194982</v>
      </c>
      <c r="E475">
        <f t="shared" si="291"/>
        <v>440.8047514137433</v>
      </c>
      <c r="F475">
        <f t="shared" si="291"/>
        <v>490.55460120419349</v>
      </c>
      <c r="G475">
        <f t="shared" si="291"/>
        <v>418.04363172152193</v>
      </c>
      <c r="H475">
        <f t="shared" si="291"/>
        <v>309.41980755592255</v>
      </c>
      <c r="I475">
        <f t="shared" si="291"/>
        <v>367.56646666209525</v>
      </c>
      <c r="J475">
        <f t="shared" si="291"/>
        <v>325.092106074404</v>
      </c>
      <c r="K475">
        <f t="shared" si="291"/>
        <v>322.91273083664919</v>
      </c>
      <c r="L475">
        <f t="shared" si="291"/>
        <v>244.48735026961575</v>
      </c>
      <c r="M475">
        <f t="shared" si="291"/>
        <v>305.42922944195277</v>
      </c>
      <c r="N475">
        <f t="shared" si="291"/>
        <v>342.92682095937869</v>
      </c>
      <c r="O475">
        <f t="shared" si="291"/>
        <v>323.97133230702349</v>
      </c>
      <c r="P475">
        <f t="shared" si="291"/>
        <v>300.42943887277283</v>
      </c>
      <c r="Q475">
        <f t="shared" si="291"/>
        <v>239.83962811501431</v>
      </c>
      <c r="R475">
        <f t="shared" si="291"/>
        <v>261.33687424169426</v>
      </c>
      <c r="S475">
        <f t="shared" si="291"/>
        <v>343.44971595321408</v>
      </c>
      <c r="T475">
        <f t="shared" si="291"/>
        <v>404.74640030045799</v>
      </c>
      <c r="U475">
        <f t="shared" si="291"/>
        <v>437.2558081907498</v>
      </c>
      <c r="V475">
        <f t="shared" si="291"/>
        <v>433.00124702273388</v>
      </c>
      <c r="W475">
        <f t="shared" si="291"/>
        <v>460.04183713070108</v>
      </c>
      <c r="Y475" s="15">
        <f t="shared" si="281"/>
        <v>7401.5349180857893</v>
      </c>
      <c r="Z475">
        <f t="shared" si="282"/>
        <v>-13.964100604706358</v>
      </c>
    </row>
    <row r="476" spans="1:26" x14ac:dyDescent="0.25">
      <c r="A476" t="s">
        <v>53</v>
      </c>
      <c r="D476">
        <f t="shared" ref="D476:W476" si="292">D41*D157</f>
        <v>509.81709216733356</v>
      </c>
      <c r="E476">
        <f t="shared" si="292"/>
        <v>521.22383759290949</v>
      </c>
      <c r="F476">
        <f t="shared" si="292"/>
        <v>497.1518525797635</v>
      </c>
      <c r="G476">
        <f t="shared" si="292"/>
        <v>455.44166381920752</v>
      </c>
      <c r="H476">
        <f t="shared" si="292"/>
        <v>337.46519488780149</v>
      </c>
      <c r="I476">
        <f t="shared" si="292"/>
        <v>290.42752406674106</v>
      </c>
      <c r="J476">
        <f t="shared" si="292"/>
        <v>292.36158564145302</v>
      </c>
      <c r="K476">
        <f t="shared" si="292"/>
        <v>293.15081656663597</v>
      </c>
      <c r="L476">
        <f t="shared" si="292"/>
        <v>237.57156776908735</v>
      </c>
      <c r="M476">
        <f t="shared" si="292"/>
        <v>375.86864581304303</v>
      </c>
      <c r="N476">
        <f t="shared" si="292"/>
        <v>382.25493777615861</v>
      </c>
      <c r="O476">
        <f t="shared" si="292"/>
        <v>315.32218254380189</v>
      </c>
      <c r="P476">
        <f t="shared" si="292"/>
        <v>383.34128793108124</v>
      </c>
      <c r="Q476">
        <f t="shared" si="292"/>
        <v>406.45841272883774</v>
      </c>
      <c r="R476">
        <f t="shared" si="292"/>
        <v>381.46365357724864</v>
      </c>
      <c r="S476">
        <f t="shared" si="292"/>
        <v>377.50147353032861</v>
      </c>
      <c r="T476">
        <f t="shared" si="292"/>
        <v>382.96763043528625</v>
      </c>
      <c r="U476">
        <f t="shared" si="292"/>
        <v>358.34397420502256</v>
      </c>
      <c r="V476">
        <f t="shared" si="292"/>
        <v>393.96015224049705</v>
      </c>
      <c r="W476">
        <f t="shared" si="292"/>
        <v>443.64004021360233</v>
      </c>
      <c r="Y476" s="15">
        <f t="shared" si="281"/>
        <v>7635.7335260858408</v>
      </c>
      <c r="Z476">
        <f t="shared" si="282"/>
        <v>16.104358505851721</v>
      </c>
    </row>
    <row r="477" spans="1:26" x14ac:dyDescent="0.25">
      <c r="A477" t="s">
        <v>54</v>
      </c>
      <c r="D477">
        <f t="shared" ref="D477:W477" si="293">D42*D158</f>
        <v>559.94043410476411</v>
      </c>
      <c r="E477">
        <f t="shared" si="293"/>
        <v>639.97289333579965</v>
      </c>
      <c r="F477">
        <f t="shared" si="293"/>
        <v>498.92179279380167</v>
      </c>
      <c r="G477">
        <f t="shared" si="293"/>
        <v>450.1490308141602</v>
      </c>
      <c r="H477">
        <f t="shared" si="293"/>
        <v>431.73568640395894</v>
      </c>
      <c r="I477">
        <f t="shared" si="293"/>
        <v>472.51465735461596</v>
      </c>
      <c r="J477">
        <f t="shared" si="293"/>
        <v>380.50501070074108</v>
      </c>
      <c r="K477">
        <f t="shared" si="293"/>
        <v>308.36617924384018</v>
      </c>
      <c r="L477">
        <f t="shared" si="293"/>
        <v>223.22766391157396</v>
      </c>
      <c r="M477">
        <f t="shared" si="293"/>
        <v>315.66521316496716</v>
      </c>
      <c r="N477">
        <f t="shared" si="293"/>
        <v>306.86704316798455</v>
      </c>
      <c r="O477">
        <f t="shared" si="293"/>
        <v>321.86887235224589</v>
      </c>
      <c r="P477">
        <f t="shared" si="293"/>
        <v>285.63386425352587</v>
      </c>
      <c r="Q477">
        <f t="shared" si="293"/>
        <v>293.12910123530662</v>
      </c>
      <c r="R477">
        <f t="shared" si="293"/>
        <v>257.64846547493164</v>
      </c>
      <c r="S477">
        <f t="shared" si="293"/>
        <v>397.65180022863325</v>
      </c>
      <c r="T477">
        <f t="shared" si="293"/>
        <v>415.58860026237812</v>
      </c>
      <c r="U477">
        <f t="shared" si="293"/>
        <v>422.83679554775023</v>
      </c>
      <c r="V477">
        <f t="shared" si="293"/>
        <v>316.96387334817325</v>
      </c>
      <c r="W477">
        <f t="shared" si="293"/>
        <v>487.13179075364582</v>
      </c>
      <c r="Y477" s="15">
        <f t="shared" si="281"/>
        <v>7786.3187684527984</v>
      </c>
      <c r="Z477">
        <f t="shared" si="282"/>
        <v>84.194940083933503</v>
      </c>
    </row>
    <row r="478" spans="1:26" x14ac:dyDescent="0.25">
      <c r="A478" t="s">
        <v>55</v>
      </c>
      <c r="D478">
        <f t="shared" ref="D478:W478" si="294">D43*D159</f>
        <v>503.91896286149608</v>
      </c>
      <c r="E478">
        <f t="shared" si="294"/>
        <v>454.83178539888996</v>
      </c>
      <c r="F478">
        <f t="shared" si="294"/>
        <v>540.75533306614091</v>
      </c>
      <c r="G478">
        <f t="shared" si="294"/>
        <v>485.14338053642888</v>
      </c>
      <c r="H478">
        <f t="shared" si="294"/>
        <v>426.62632428748486</v>
      </c>
      <c r="I478">
        <f t="shared" si="294"/>
        <v>370.14287621046049</v>
      </c>
      <c r="J478">
        <f t="shared" si="294"/>
        <v>384.52597745901795</v>
      </c>
      <c r="K478">
        <f t="shared" si="294"/>
        <v>345.85870159930272</v>
      </c>
      <c r="L478">
        <f t="shared" si="294"/>
        <v>311.15721206866374</v>
      </c>
      <c r="M478">
        <f t="shared" si="294"/>
        <v>240.99225077663129</v>
      </c>
      <c r="N478">
        <f t="shared" si="294"/>
        <v>334.85050076854714</v>
      </c>
      <c r="O478">
        <f t="shared" si="294"/>
        <v>244.954832945741</v>
      </c>
      <c r="P478">
        <f t="shared" si="294"/>
        <v>254.55247149425938</v>
      </c>
      <c r="Q478">
        <f t="shared" si="294"/>
        <v>306.79491431378437</v>
      </c>
      <c r="R478">
        <f t="shared" si="294"/>
        <v>428.62182107216131</v>
      </c>
      <c r="S478">
        <f t="shared" si="294"/>
        <v>381.60056880418642</v>
      </c>
      <c r="T478">
        <f t="shared" si="294"/>
        <v>211.72946904243403</v>
      </c>
      <c r="U478">
        <f t="shared" si="294"/>
        <v>413.64643297053692</v>
      </c>
      <c r="V478">
        <f t="shared" si="294"/>
        <v>543.91397245994528</v>
      </c>
      <c r="W478">
        <f t="shared" si="294"/>
        <v>462.44215140285934</v>
      </c>
      <c r="Y478" s="15">
        <f t="shared" si="281"/>
        <v>7647.0599395389727</v>
      </c>
      <c r="Z478">
        <f t="shared" si="282"/>
        <v>38.263642185039515</v>
      </c>
    </row>
    <row r="479" spans="1:26" x14ac:dyDescent="0.25">
      <c r="A479" t="s">
        <v>56</v>
      </c>
      <c r="D479">
        <f t="shared" ref="D479:W479" si="295">D44*D160</f>
        <v>475.57697946208179</v>
      </c>
      <c r="E479">
        <f t="shared" si="295"/>
        <v>506.65999999999997</v>
      </c>
      <c r="F479">
        <f t="shared" si="295"/>
        <v>494.93999999999994</v>
      </c>
      <c r="G479">
        <f t="shared" si="295"/>
        <v>441.6</v>
      </c>
      <c r="H479">
        <f t="shared" si="295"/>
        <v>449.98403359319764</v>
      </c>
      <c r="I479">
        <f t="shared" si="295"/>
        <v>428.12527524342022</v>
      </c>
      <c r="J479">
        <f t="shared" si="295"/>
        <v>378.64248686890016</v>
      </c>
      <c r="K479">
        <f t="shared" si="295"/>
        <v>378.2800361375879</v>
      </c>
      <c r="L479">
        <f t="shared" si="295"/>
        <v>160.1735247245185</v>
      </c>
      <c r="M479">
        <f t="shared" si="295"/>
        <v>223.18396139122675</v>
      </c>
      <c r="N479">
        <f t="shared" si="295"/>
        <v>254.42053744799304</v>
      </c>
      <c r="O479">
        <f t="shared" si="295"/>
        <v>352.33462771384757</v>
      </c>
      <c r="P479">
        <f t="shared" si="295"/>
        <v>260.41612402424522</v>
      </c>
      <c r="Q479">
        <f t="shared" si="295"/>
        <v>317.94282683033725</v>
      </c>
      <c r="R479">
        <f t="shared" si="295"/>
        <v>344.65649512945487</v>
      </c>
      <c r="S479">
        <f t="shared" si="295"/>
        <v>402.26496303567893</v>
      </c>
      <c r="T479">
        <f t="shared" si="295"/>
        <v>515.40325730211259</v>
      </c>
      <c r="U479">
        <f t="shared" si="295"/>
        <v>483.71289223881791</v>
      </c>
      <c r="V479">
        <f t="shared" si="295"/>
        <v>385.26183986114387</v>
      </c>
      <c r="W479">
        <f t="shared" si="295"/>
        <v>434.97917736978502</v>
      </c>
      <c r="Y479" s="15">
        <f t="shared" si="281"/>
        <v>7688.5590383743502</v>
      </c>
      <c r="Z479">
        <f t="shared" si="282"/>
        <v>12.03309937133711</v>
      </c>
    </row>
    <row r="480" spans="1:26" x14ac:dyDescent="0.25">
      <c r="A480" t="s">
        <v>57</v>
      </c>
      <c r="D480">
        <f t="shared" ref="D480:W480" si="296">D45*D161</f>
        <v>483.29265306122454</v>
      </c>
      <c r="E480">
        <f t="shared" si="296"/>
        <v>494.10571428571427</v>
      </c>
      <c r="F480">
        <f t="shared" si="296"/>
        <v>507.8971428571428</v>
      </c>
      <c r="G480">
        <f t="shared" si="296"/>
        <v>445.69142857142845</v>
      </c>
      <c r="H480">
        <f t="shared" si="296"/>
        <v>452.00310917520801</v>
      </c>
      <c r="I480">
        <f t="shared" si="296"/>
        <v>433.04083643900839</v>
      </c>
      <c r="J480">
        <f t="shared" si="296"/>
        <v>383.67165117752711</v>
      </c>
      <c r="K480">
        <f t="shared" si="296"/>
        <v>385.5884225870247</v>
      </c>
      <c r="L480">
        <f t="shared" si="296"/>
        <v>259.53406898096983</v>
      </c>
      <c r="M480">
        <f t="shared" si="296"/>
        <v>284.69304459723492</v>
      </c>
      <c r="N480">
        <f t="shared" si="296"/>
        <v>291.20692039044235</v>
      </c>
      <c r="O480">
        <f t="shared" si="296"/>
        <v>274.8075080293479</v>
      </c>
      <c r="P480">
        <f t="shared" si="296"/>
        <v>291.58225231560317</v>
      </c>
      <c r="Q480">
        <f t="shared" si="296"/>
        <v>287.80307285019882</v>
      </c>
      <c r="R480">
        <f t="shared" si="296"/>
        <v>270.37961883383929</v>
      </c>
      <c r="S480">
        <f t="shared" si="296"/>
        <v>323.69514837461293</v>
      </c>
      <c r="T480">
        <f t="shared" si="296"/>
        <v>341.72984432044922</v>
      </c>
      <c r="U480">
        <f t="shared" si="296"/>
        <v>338.46238898575871</v>
      </c>
      <c r="V480">
        <f t="shared" si="296"/>
        <v>425.9671115510335</v>
      </c>
      <c r="W480">
        <f t="shared" si="296"/>
        <v>512.09412572954807</v>
      </c>
      <c r="Y480" s="15">
        <f t="shared" si="281"/>
        <v>7487.2460631133163</v>
      </c>
      <c r="Z480">
        <f t="shared" si="282"/>
        <v>5.4173355233293403</v>
      </c>
    </row>
    <row r="481" spans="1:26" x14ac:dyDescent="0.25">
      <c r="A481" t="s">
        <v>58</v>
      </c>
      <c r="D481">
        <f t="shared" ref="D481:W481" si="297">D46*D162</f>
        <v>537.87673469387755</v>
      </c>
      <c r="E481">
        <f t="shared" si="297"/>
        <v>617.17040816326517</v>
      </c>
      <c r="F481">
        <f t="shared" si="297"/>
        <v>410.94897959183669</v>
      </c>
      <c r="G481">
        <f t="shared" si="297"/>
        <v>313.20428571428567</v>
      </c>
      <c r="H481">
        <f t="shared" si="297"/>
        <v>342.00464211080975</v>
      </c>
      <c r="I481">
        <f t="shared" si="297"/>
        <v>333.47585351452233</v>
      </c>
      <c r="J481">
        <f t="shared" si="297"/>
        <v>300.37613737525186</v>
      </c>
      <c r="K481">
        <f t="shared" si="297"/>
        <v>321.38125021985013</v>
      </c>
      <c r="L481">
        <f t="shared" si="297"/>
        <v>257.77616602282166</v>
      </c>
      <c r="M481">
        <f t="shared" si="297"/>
        <v>269.9044024475549</v>
      </c>
      <c r="N481">
        <f t="shared" si="297"/>
        <v>291.45294930727988</v>
      </c>
      <c r="O481">
        <f t="shared" si="297"/>
        <v>304.13998203925127</v>
      </c>
      <c r="P481">
        <f t="shared" si="297"/>
        <v>194.22125512249235</v>
      </c>
      <c r="Q481">
        <f t="shared" si="297"/>
        <v>234.13956707285311</v>
      </c>
      <c r="R481">
        <f t="shared" si="297"/>
        <v>184.85401560040935</v>
      </c>
      <c r="S481">
        <f t="shared" si="297"/>
        <v>256.98780172505712</v>
      </c>
      <c r="T481">
        <f t="shared" si="297"/>
        <v>334.77781500304684</v>
      </c>
      <c r="U481">
        <f t="shared" si="297"/>
        <v>347.54105082758531</v>
      </c>
      <c r="V481">
        <f t="shared" si="297"/>
        <v>464.50607226233552</v>
      </c>
      <c r="W481">
        <f t="shared" si="297"/>
        <v>503.98153348589904</v>
      </c>
      <c r="Y481" s="15">
        <f t="shared" si="281"/>
        <v>6820.720902300287</v>
      </c>
      <c r="Z481">
        <f t="shared" si="282"/>
        <v>89.857057449040255</v>
      </c>
    </row>
    <row r="482" spans="1:26" x14ac:dyDescent="0.25">
      <c r="A482" t="s">
        <v>59</v>
      </c>
      <c r="D482">
        <f t="shared" ref="D482:W482" si="298">D47*D163</f>
        <v>511.88105319020224</v>
      </c>
      <c r="E482">
        <f t="shared" si="298"/>
        <v>482.33742590513259</v>
      </c>
      <c r="F482">
        <f t="shared" si="298"/>
        <v>473.86536148498806</v>
      </c>
      <c r="G482">
        <f t="shared" si="298"/>
        <v>445.06488525423157</v>
      </c>
      <c r="H482">
        <f t="shared" si="298"/>
        <v>401.83205326373172</v>
      </c>
      <c r="I482">
        <f t="shared" si="298"/>
        <v>560.10050772122599</v>
      </c>
      <c r="J482">
        <f t="shared" si="298"/>
        <v>458.58994534928627</v>
      </c>
      <c r="K482">
        <f t="shared" si="298"/>
        <v>396.68763384687111</v>
      </c>
      <c r="L482">
        <f t="shared" si="298"/>
        <v>311.11288149756257</v>
      </c>
      <c r="M482">
        <f t="shared" si="298"/>
        <v>276.81520554132607</v>
      </c>
      <c r="N482">
        <f t="shared" si="298"/>
        <v>341.67346473781305</v>
      </c>
      <c r="O482">
        <f t="shared" si="298"/>
        <v>435.55036622396392</v>
      </c>
      <c r="P482">
        <f t="shared" si="298"/>
        <v>322.16952016629244</v>
      </c>
      <c r="Q482">
        <f t="shared" si="298"/>
        <v>293.31426605975366</v>
      </c>
      <c r="R482">
        <f t="shared" si="298"/>
        <v>303.71237900727994</v>
      </c>
      <c r="S482">
        <f t="shared" si="298"/>
        <v>304.05391589974056</v>
      </c>
      <c r="T482">
        <f t="shared" si="298"/>
        <v>382.67494655551718</v>
      </c>
      <c r="U482">
        <f t="shared" si="298"/>
        <v>478.08066966336133</v>
      </c>
      <c r="V482">
        <f t="shared" si="298"/>
        <v>389.38357647975909</v>
      </c>
      <c r="W482">
        <f t="shared" si="298"/>
        <v>404.72306285116213</v>
      </c>
      <c r="Y482" s="15">
        <f t="shared" si="281"/>
        <v>7973.6231206992034</v>
      </c>
      <c r="Z482">
        <f t="shared" si="282"/>
        <v>-146.91542717675864</v>
      </c>
    </row>
    <row r="483" spans="1:26" x14ac:dyDescent="0.25">
      <c r="A483" t="s">
        <v>60</v>
      </c>
      <c r="D483">
        <f t="shared" ref="D483:W483" si="299">D48*D164</f>
        <v>422.61903453007272</v>
      </c>
      <c r="E483">
        <f t="shared" si="299"/>
        <v>518.54821725626618</v>
      </c>
      <c r="F483">
        <f t="shared" si="299"/>
        <v>524.91772659439084</v>
      </c>
      <c r="G483">
        <f t="shared" si="299"/>
        <v>424.1296761808</v>
      </c>
      <c r="H483">
        <f t="shared" si="299"/>
        <v>395.24451844869213</v>
      </c>
      <c r="I483">
        <f t="shared" si="299"/>
        <v>373.81410248605317</v>
      </c>
      <c r="J483">
        <f t="shared" si="299"/>
        <v>449.32524649917849</v>
      </c>
      <c r="K483">
        <f t="shared" si="299"/>
        <v>452.31709113424722</v>
      </c>
      <c r="L483">
        <f t="shared" si="299"/>
        <v>312.2053719981534</v>
      </c>
      <c r="M483">
        <f t="shared" si="299"/>
        <v>313.13833155858799</v>
      </c>
      <c r="N483">
        <f t="shared" si="299"/>
        <v>280.92962091565943</v>
      </c>
      <c r="O483">
        <f t="shared" si="299"/>
        <v>285.14858199524457</v>
      </c>
      <c r="P483">
        <f t="shared" si="299"/>
        <v>331.33984552728759</v>
      </c>
      <c r="Q483">
        <f t="shared" si="299"/>
        <v>352.97513093926023</v>
      </c>
      <c r="R483">
        <f t="shared" si="299"/>
        <v>419.88874651105573</v>
      </c>
      <c r="S483">
        <f t="shared" si="299"/>
        <v>271.56596651741472</v>
      </c>
      <c r="T483">
        <f t="shared" si="299"/>
        <v>353.81366766918296</v>
      </c>
      <c r="U483">
        <f t="shared" si="299"/>
        <v>399.97071599009308</v>
      </c>
      <c r="V483">
        <f t="shared" si="299"/>
        <v>427.70699111591671</v>
      </c>
      <c r="W483">
        <f t="shared" si="299"/>
        <v>562.36794736484887</v>
      </c>
      <c r="Y483" s="15">
        <f t="shared" si="281"/>
        <v>7871.9665312324059</v>
      </c>
      <c r="Z483">
        <f t="shared" si="282"/>
        <v>-39.684491425816766</v>
      </c>
    </row>
    <row r="484" spans="1:26" x14ac:dyDescent="0.25">
      <c r="A484" t="s">
        <v>61</v>
      </c>
      <c r="D484">
        <f t="shared" ref="D484:W484" si="300">D49*D165</f>
        <v>512.48721505292281</v>
      </c>
      <c r="E484">
        <f t="shared" si="300"/>
        <v>537.95195128456464</v>
      </c>
      <c r="F484">
        <f t="shared" si="300"/>
        <v>695.3613850268224</v>
      </c>
      <c r="G484">
        <f t="shared" si="300"/>
        <v>499.33766311978633</v>
      </c>
      <c r="H484">
        <f t="shared" si="300"/>
        <v>500.34899061198109</v>
      </c>
      <c r="I484">
        <f t="shared" si="300"/>
        <v>350.0632371749262</v>
      </c>
      <c r="J484">
        <f t="shared" si="300"/>
        <v>271.90255343004327</v>
      </c>
      <c r="K484">
        <f t="shared" si="300"/>
        <v>263.91536680748152</v>
      </c>
      <c r="L484">
        <f t="shared" si="300"/>
        <v>345.95796566658072</v>
      </c>
      <c r="M484">
        <f t="shared" si="300"/>
        <v>188.56352713797412</v>
      </c>
      <c r="N484">
        <f t="shared" si="300"/>
        <v>241.36673793746363</v>
      </c>
      <c r="O484">
        <f t="shared" si="300"/>
        <v>263.60170576160186</v>
      </c>
      <c r="P484">
        <f t="shared" si="300"/>
        <v>292.16975482215389</v>
      </c>
      <c r="Q484">
        <f t="shared" si="300"/>
        <v>311.38305123270374</v>
      </c>
      <c r="R484">
        <f t="shared" si="300"/>
        <v>410.46091208194747</v>
      </c>
      <c r="S484">
        <f t="shared" si="300"/>
        <v>411.40433918353438</v>
      </c>
      <c r="T484">
        <f t="shared" si="300"/>
        <v>311.45320181218784</v>
      </c>
      <c r="U484">
        <f t="shared" si="300"/>
        <v>392.62751746839274</v>
      </c>
      <c r="V484">
        <f t="shared" si="300"/>
        <v>469.77771169990473</v>
      </c>
      <c r="W484">
        <f t="shared" si="300"/>
        <v>461.96334354287001</v>
      </c>
      <c r="Y484" s="15">
        <f t="shared" si="281"/>
        <v>7732.0981308558439</v>
      </c>
      <c r="Z484">
        <f t="shared" si="282"/>
        <v>205.47963615896811</v>
      </c>
    </row>
    <row r="485" spans="1:26" x14ac:dyDescent="0.25">
      <c r="A485" t="s">
        <v>62</v>
      </c>
      <c r="D485">
        <f t="shared" ref="D485:W485" si="301">D50*D166</f>
        <v>516.83628711282211</v>
      </c>
      <c r="E485">
        <f t="shared" si="301"/>
        <v>540.21214647788054</v>
      </c>
      <c r="F485">
        <f t="shared" si="301"/>
        <v>504.45412961830544</v>
      </c>
      <c r="G485">
        <f t="shared" si="301"/>
        <v>452.78348142104613</v>
      </c>
      <c r="H485">
        <f t="shared" si="301"/>
        <v>545.04761743525557</v>
      </c>
      <c r="I485">
        <f t="shared" si="301"/>
        <v>575.08520768804556</v>
      </c>
      <c r="J485">
        <f t="shared" si="301"/>
        <v>369.74474235238</v>
      </c>
      <c r="K485">
        <f t="shared" si="301"/>
        <v>419.63584908544726</v>
      </c>
      <c r="L485">
        <f t="shared" si="301"/>
        <v>362.18746172531201</v>
      </c>
      <c r="M485">
        <f t="shared" si="301"/>
        <v>303.00249303795027</v>
      </c>
      <c r="N485">
        <f t="shared" si="301"/>
        <v>213.71981912801303</v>
      </c>
      <c r="O485">
        <f t="shared" si="301"/>
        <v>240.03609364251392</v>
      </c>
      <c r="P485">
        <f t="shared" si="301"/>
        <v>263.54451805079816</v>
      </c>
      <c r="Q485">
        <f t="shared" si="301"/>
        <v>258.43232147769737</v>
      </c>
      <c r="R485">
        <f t="shared" si="301"/>
        <v>174.47514262336176</v>
      </c>
      <c r="S485">
        <f t="shared" si="301"/>
        <v>278.96539037969501</v>
      </c>
      <c r="T485">
        <f t="shared" si="301"/>
        <v>367.57877664489757</v>
      </c>
      <c r="U485">
        <f t="shared" si="301"/>
        <v>320.30163619194764</v>
      </c>
      <c r="V485">
        <f t="shared" si="301"/>
        <v>271.1652536950275</v>
      </c>
      <c r="W485">
        <f t="shared" si="301"/>
        <v>257.13681499738618</v>
      </c>
      <c r="Y485" s="15">
        <f t="shared" si="281"/>
        <v>7234.3451827857825</v>
      </c>
      <c r="Z485">
        <f t="shared" si="282"/>
        <v>16.53591591175395</v>
      </c>
    </row>
    <row r="486" spans="1:26" x14ac:dyDescent="0.25">
      <c r="Y486" s="15"/>
    </row>
    <row r="487" spans="1:26" x14ac:dyDescent="0.25">
      <c r="A487" t="s">
        <v>63</v>
      </c>
      <c r="D487">
        <f t="shared" ref="D487:W487" si="302">D52*D168</f>
        <v>442.37346311804328</v>
      </c>
      <c r="E487">
        <f t="shared" si="302"/>
        <v>433.44028078130282</v>
      </c>
      <c r="F487">
        <f t="shared" si="302"/>
        <v>360.69561664052446</v>
      </c>
      <c r="G487">
        <f t="shared" si="302"/>
        <v>357.53531388965712</v>
      </c>
      <c r="H487">
        <f t="shared" si="302"/>
        <v>328.96592389685554</v>
      </c>
      <c r="I487">
        <f t="shared" si="302"/>
        <v>351.52733081008444</v>
      </c>
      <c r="J487">
        <f t="shared" si="302"/>
        <v>302.44914523237418</v>
      </c>
      <c r="K487">
        <f t="shared" si="302"/>
        <v>334.47746184952751</v>
      </c>
      <c r="L487">
        <f t="shared" si="302"/>
        <v>265.17113881658429</v>
      </c>
      <c r="M487">
        <f t="shared" si="302"/>
        <v>260.76122303675953</v>
      </c>
      <c r="N487">
        <f t="shared" si="302"/>
        <v>293.63262838972901</v>
      </c>
      <c r="O487">
        <f t="shared" si="302"/>
        <v>309.34478202544022</v>
      </c>
      <c r="P487">
        <f t="shared" si="302"/>
        <v>235.21493627118139</v>
      </c>
      <c r="Q487">
        <f t="shared" si="302"/>
        <v>254.61854031329841</v>
      </c>
      <c r="R487">
        <f t="shared" si="302"/>
        <v>315.08536439663419</v>
      </c>
      <c r="S487">
        <f t="shared" si="302"/>
        <v>353.27504878501696</v>
      </c>
      <c r="T487">
        <f t="shared" si="302"/>
        <v>370.04948093835117</v>
      </c>
      <c r="U487">
        <f t="shared" si="302"/>
        <v>384.71570099742968</v>
      </c>
      <c r="V487">
        <f t="shared" si="302"/>
        <v>420.99732226810761</v>
      </c>
      <c r="W487">
        <f t="shared" si="302"/>
        <v>482.13131069980079</v>
      </c>
      <c r="Y487" s="15">
        <f t="shared" si="281"/>
        <v>6856.4620131567017</v>
      </c>
      <c r="Z487">
        <f>SUMPRODUCT($D$491:$S$491,D487:S487)</f>
        <v>-67.618402060701527</v>
      </c>
    </row>
    <row r="488" spans="1:26" x14ac:dyDescent="0.25">
      <c r="A488" t="s">
        <v>307</v>
      </c>
      <c r="D488">
        <f t="shared" ref="D488:W488" si="303">D53*D169</f>
        <v>596.10285714285703</v>
      </c>
      <c r="E488">
        <f t="shared" si="303"/>
        <v>477.36</v>
      </c>
      <c r="F488">
        <f t="shared" si="303"/>
        <v>349.98</v>
      </c>
      <c r="G488">
        <f t="shared" si="303"/>
        <v>361.86</v>
      </c>
      <c r="H488">
        <f t="shared" si="303"/>
        <v>408.13836734693871</v>
      </c>
      <c r="I488">
        <f t="shared" si="303"/>
        <v>391.22306122448981</v>
      </c>
      <c r="J488">
        <f t="shared" si="303"/>
        <v>325.07999999999993</v>
      </c>
      <c r="K488">
        <f t="shared" si="303"/>
        <v>298.70408163265313</v>
      </c>
      <c r="L488">
        <f t="shared" si="303"/>
        <v>237.85109375000002</v>
      </c>
      <c r="M488">
        <f t="shared" si="303"/>
        <v>326.05204081632661</v>
      </c>
      <c r="N488">
        <f t="shared" si="303"/>
        <v>264.56081632653064</v>
      </c>
      <c r="O488">
        <f t="shared" si="303"/>
        <v>284.4820408163265</v>
      </c>
      <c r="P488">
        <f t="shared" si="303"/>
        <v>349.32</v>
      </c>
      <c r="Q488">
        <f t="shared" si="303"/>
        <v>354.51</v>
      </c>
      <c r="R488">
        <f t="shared" si="303"/>
        <v>340.40000000000003</v>
      </c>
      <c r="S488">
        <f t="shared" si="303"/>
        <v>342.2</v>
      </c>
      <c r="T488">
        <f t="shared" si="303"/>
        <v>393.12</v>
      </c>
      <c r="U488">
        <f t="shared" si="303"/>
        <v>389.88000000000005</v>
      </c>
      <c r="V488">
        <f t="shared" si="303"/>
        <v>385.33000000000004</v>
      </c>
      <c r="W488">
        <f t="shared" si="303"/>
        <v>463.75</v>
      </c>
      <c r="Y488" s="15">
        <f t="shared" si="281"/>
        <v>7339.9043590561214</v>
      </c>
      <c r="Z488">
        <f>SUMPRODUCT($D$491:$S$491,D488:S488)</f>
        <v>-91.202455194590399</v>
      </c>
    </row>
    <row r="489" spans="1:26" x14ac:dyDescent="0.25">
      <c r="A489" t="s">
        <v>308</v>
      </c>
      <c r="D489">
        <f t="shared" ref="D489:W489" si="304">D54*D170</f>
        <v>516.62991439038046</v>
      </c>
      <c r="E489">
        <f t="shared" si="304"/>
        <v>432.17999999999995</v>
      </c>
      <c r="F489">
        <f t="shared" si="304"/>
        <v>363.40000000000003</v>
      </c>
      <c r="G489">
        <f t="shared" si="304"/>
        <v>404.24</v>
      </c>
      <c r="H489">
        <f t="shared" si="304"/>
        <v>413.28</v>
      </c>
      <c r="I489">
        <f t="shared" si="304"/>
        <v>443.52</v>
      </c>
      <c r="J489">
        <f t="shared" si="304"/>
        <v>281.22000000000003</v>
      </c>
      <c r="K489">
        <f t="shared" si="304"/>
        <v>278.39999999999998</v>
      </c>
      <c r="L489">
        <f t="shared" si="304"/>
        <v>237.82000000000002</v>
      </c>
      <c r="M489">
        <f t="shared" si="304"/>
        <v>259.08</v>
      </c>
      <c r="N489">
        <f t="shared" si="304"/>
        <v>271.08000000000004</v>
      </c>
      <c r="O489">
        <f t="shared" si="304"/>
        <v>247.94000000000003</v>
      </c>
      <c r="P489">
        <f t="shared" si="304"/>
        <v>282.23640257065978</v>
      </c>
      <c r="Q489">
        <f t="shared" si="304"/>
        <v>291.02018178239916</v>
      </c>
      <c r="R489">
        <f t="shared" si="304"/>
        <v>290.44895360533411</v>
      </c>
      <c r="S489">
        <f t="shared" si="304"/>
        <v>288.55035495628226</v>
      </c>
      <c r="T489">
        <f t="shared" si="304"/>
        <v>353.04619494445814</v>
      </c>
      <c r="U489">
        <f t="shared" si="304"/>
        <v>389.79033197666433</v>
      </c>
      <c r="V489">
        <f t="shared" si="304"/>
        <v>426.71520055196612</v>
      </c>
      <c r="W489">
        <f t="shared" si="304"/>
        <v>495.54608003692999</v>
      </c>
      <c r="Y489" s="15">
        <f t="shared" si="281"/>
        <v>6966.1436148150751</v>
      </c>
      <c r="Z489">
        <f>SUMPRODUCT($D$491:$S$491,D489:S489)</f>
        <v>-36.372232375678969</v>
      </c>
    </row>
    <row r="490" spans="1:26" x14ac:dyDescent="0.25">
      <c r="A490" t="s">
        <v>670</v>
      </c>
      <c r="D490">
        <f t="shared" ref="D490:W490" si="305">D55*D171</f>
        <v>502.71685162679159</v>
      </c>
      <c r="E490">
        <f t="shared" si="305"/>
        <v>591.78467749709398</v>
      </c>
      <c r="F490">
        <f t="shared" si="305"/>
        <v>569.08227895025914</v>
      </c>
      <c r="G490">
        <f t="shared" si="305"/>
        <v>571.21763145992895</v>
      </c>
      <c r="H490">
        <f t="shared" si="305"/>
        <v>454.16681460888384</v>
      </c>
      <c r="I490">
        <f t="shared" si="305"/>
        <v>390.55550525588683</v>
      </c>
      <c r="J490">
        <f t="shared" si="305"/>
        <v>275.78593878099758</v>
      </c>
      <c r="K490">
        <f t="shared" si="305"/>
        <v>228.3099190429507</v>
      </c>
      <c r="L490">
        <f t="shared" si="305"/>
        <v>263.60898939681539</v>
      </c>
      <c r="M490">
        <f t="shared" si="305"/>
        <v>284.5948443148576</v>
      </c>
      <c r="N490">
        <f t="shared" si="305"/>
        <v>305.50557836957887</v>
      </c>
      <c r="O490">
        <f t="shared" si="305"/>
        <v>315.99694293701708</v>
      </c>
      <c r="P490">
        <f t="shared" si="305"/>
        <v>259.87775896598708</v>
      </c>
      <c r="Q490">
        <f t="shared" si="305"/>
        <v>277.39928570473057</v>
      </c>
      <c r="R490">
        <f t="shared" si="305"/>
        <v>319.14609355244266</v>
      </c>
      <c r="S490">
        <f t="shared" si="305"/>
        <v>330.87643566975339</v>
      </c>
      <c r="T490">
        <f t="shared" si="305"/>
        <v>368.90591039332884</v>
      </c>
      <c r="U490">
        <f t="shared" si="305"/>
        <v>407.16422405848749</v>
      </c>
      <c r="V490">
        <f t="shared" si="305"/>
        <v>421.12116917863705</v>
      </c>
      <c r="W490">
        <f t="shared" si="305"/>
        <v>470.45692983504711</v>
      </c>
      <c r="Y490" s="15">
        <f t="shared" ref="Y490" si="306">SUM(D490:W490)</f>
        <v>7608.2737795994763</v>
      </c>
      <c r="Z490">
        <f>SUMPRODUCT($D$491:$S$491,D490:S490)</f>
        <v>191.56250940833417</v>
      </c>
    </row>
    <row r="491" spans="1:26" x14ac:dyDescent="0.25">
      <c r="A491" s="2" t="s">
        <v>64</v>
      </c>
      <c r="D491" s="3">
        <f>CORREL($B$2:$B$21,D466:D485)</f>
        <v>2.8437249643130359E-2</v>
      </c>
      <c r="E491" s="3">
        <f t="shared" ref="E491:W491" si="307">CORREL($B$2:$B$21,E466:E485)</f>
        <v>0.59751864058591597</v>
      </c>
      <c r="F491" s="3">
        <f t="shared" si="307"/>
        <v>0.47555259292232488</v>
      </c>
      <c r="G491" s="3">
        <f t="shared" si="307"/>
        <v>0.33181623009245631</v>
      </c>
      <c r="H491" s="3">
        <f t="shared" si="307"/>
        <v>-0.108110533182372</v>
      </c>
      <c r="I491" s="3">
        <f t="shared" si="307"/>
        <v>-0.18039868642682874</v>
      </c>
      <c r="J491" s="3">
        <f t="shared" si="307"/>
        <v>-0.25212803013254881</v>
      </c>
      <c r="K491" s="3">
        <f t="shared" si="307"/>
        <v>-0.22382399027190575</v>
      </c>
      <c r="L491" s="3">
        <f t="shared" si="307"/>
        <v>-0.16329339696648848</v>
      </c>
      <c r="M491" s="3">
        <f t="shared" si="307"/>
        <v>-0.22138311876951305</v>
      </c>
      <c r="N491" s="3">
        <f t="shared" si="307"/>
        <v>-0.10776425768572594</v>
      </c>
      <c r="O491" s="3">
        <f t="shared" si="307"/>
        <v>-0.41026341931946647</v>
      </c>
      <c r="P491" s="3">
        <f t="shared" si="307"/>
        <v>-0.33227396765658773</v>
      </c>
      <c r="Q491" s="3">
        <f t="shared" si="307"/>
        <v>-4.5847080132042101E-3</v>
      </c>
      <c r="R491" s="3">
        <f t="shared" si="307"/>
        <v>-9.522219766505044E-2</v>
      </c>
      <c r="S491" s="3">
        <f t="shared" si="307"/>
        <v>-2.9274358660698437E-2</v>
      </c>
      <c r="T491" s="3">
        <f t="shared" si="307"/>
        <v>-0.28699484144779208</v>
      </c>
      <c r="U491" s="3">
        <f t="shared" si="307"/>
        <v>-0.16420078420390721</v>
      </c>
      <c r="V491" s="3">
        <f t="shared" si="307"/>
        <v>-0.40515474778698762</v>
      </c>
      <c r="W491" s="3">
        <f t="shared" si="307"/>
        <v>-0.42932117866459168</v>
      </c>
    </row>
    <row r="494" spans="1:26" x14ac:dyDescent="0.25">
      <c r="D494" t="s">
        <v>193</v>
      </c>
      <c r="E494" t="s">
        <v>194</v>
      </c>
      <c r="F494" t="s">
        <v>195</v>
      </c>
      <c r="G494" t="s">
        <v>196</v>
      </c>
      <c r="H494" t="s">
        <v>197</v>
      </c>
      <c r="I494" t="s">
        <v>198</v>
      </c>
      <c r="J494" t="s">
        <v>199</v>
      </c>
      <c r="K494" t="s">
        <v>200</v>
      </c>
      <c r="L494" t="s">
        <v>350</v>
      </c>
      <c r="M494" t="s">
        <v>412</v>
      </c>
      <c r="N494" t="s">
        <v>413</v>
      </c>
      <c r="O494" t="s">
        <v>414</v>
      </c>
      <c r="P494" t="s">
        <v>514</v>
      </c>
      <c r="Q494" t="s">
        <v>515</v>
      </c>
      <c r="R494" t="s">
        <v>516</v>
      </c>
      <c r="S494" t="s">
        <v>517</v>
      </c>
      <c r="T494" t="s">
        <v>626</v>
      </c>
      <c r="U494" t="s">
        <v>627</v>
      </c>
      <c r="V494" t="s">
        <v>628</v>
      </c>
      <c r="W494" t="s">
        <v>629</v>
      </c>
      <c r="Y494" t="s">
        <v>201</v>
      </c>
      <c r="Z494" t="s">
        <v>202</v>
      </c>
    </row>
    <row r="495" spans="1:26" x14ac:dyDescent="0.25">
      <c r="A495" t="s">
        <v>43</v>
      </c>
      <c r="D495">
        <f t="shared" ref="D495:W495" si="308">D31*D176</f>
        <v>717.5739389613492</v>
      </c>
      <c r="E495">
        <f t="shared" si="308"/>
        <v>256.00408163265314</v>
      </c>
      <c r="F495">
        <f t="shared" si="308"/>
        <v>365.65306122448987</v>
      </c>
      <c r="G495">
        <f t="shared" si="308"/>
        <v>378.18367346938783</v>
      </c>
      <c r="H495">
        <f t="shared" si="308"/>
        <v>544.55811520279781</v>
      </c>
      <c r="I495">
        <f t="shared" si="308"/>
        <v>573.63961566615365</v>
      </c>
      <c r="J495">
        <f t="shared" si="308"/>
        <v>437.64634278708286</v>
      </c>
      <c r="K495">
        <f t="shared" si="308"/>
        <v>497.71703587033738</v>
      </c>
      <c r="L495">
        <f t="shared" si="308"/>
        <v>371.39758508049795</v>
      </c>
      <c r="M495">
        <f t="shared" si="308"/>
        <v>490.81404421045335</v>
      </c>
      <c r="N495">
        <f t="shared" si="308"/>
        <v>455.5970436141921</v>
      </c>
      <c r="O495">
        <f t="shared" si="308"/>
        <v>372.86036279168064</v>
      </c>
      <c r="P495">
        <f t="shared" si="308"/>
        <v>356.06525245296172</v>
      </c>
      <c r="Q495">
        <f t="shared" si="308"/>
        <v>383.42197131646361</v>
      </c>
      <c r="R495">
        <f t="shared" si="308"/>
        <v>359.95272497919336</v>
      </c>
      <c r="S495">
        <f t="shared" si="308"/>
        <v>232.7175905817893</v>
      </c>
      <c r="T495">
        <f t="shared" si="308"/>
        <v>287.69286117656992</v>
      </c>
      <c r="U495">
        <f t="shared" si="308"/>
        <v>443.37080279589259</v>
      </c>
      <c r="V495">
        <f t="shared" si="308"/>
        <v>414.73963757852829</v>
      </c>
      <c r="W495">
        <f t="shared" si="308"/>
        <v>581.611960785983</v>
      </c>
      <c r="Y495" s="15">
        <f t="shared" ref="Y495:Y518" si="309">SUM(D495:W495)</f>
        <v>8521.2177021784573</v>
      </c>
      <c r="Z495">
        <f t="shared" ref="Z495:Z514" si="310">SUMPRODUCT($D$520:$S$520,D495:S495)</f>
        <v>-139.46399046724491</v>
      </c>
    </row>
    <row r="496" spans="1:26" x14ac:dyDescent="0.25">
      <c r="A496" t="s">
        <v>44</v>
      </c>
      <c r="D496">
        <f t="shared" ref="D496:W496" si="311">D32*D177</f>
        <v>401.4955102040816</v>
      </c>
      <c r="E496">
        <f t="shared" si="311"/>
        <v>376.73265306122448</v>
      </c>
      <c r="F496">
        <f t="shared" si="311"/>
        <v>455.43653061224489</v>
      </c>
      <c r="G496">
        <f t="shared" si="311"/>
        <v>573.64897959183679</v>
      </c>
      <c r="H496">
        <f t="shared" si="311"/>
        <v>300.45595855653266</v>
      </c>
      <c r="I496">
        <f t="shared" si="311"/>
        <v>256.21864924979781</v>
      </c>
      <c r="J496">
        <f t="shared" si="311"/>
        <v>261.57399962295437</v>
      </c>
      <c r="K496">
        <f t="shared" si="311"/>
        <v>257.1452397397909</v>
      </c>
      <c r="L496">
        <f t="shared" si="311"/>
        <v>219.18237674202732</v>
      </c>
      <c r="M496">
        <f t="shared" si="311"/>
        <v>278.22539102220713</v>
      </c>
      <c r="N496">
        <f t="shared" si="311"/>
        <v>312.21529006340467</v>
      </c>
      <c r="O496">
        <f t="shared" si="311"/>
        <v>277.23015028189855</v>
      </c>
      <c r="P496">
        <f t="shared" si="311"/>
        <v>367.98630287510338</v>
      </c>
      <c r="Q496">
        <f t="shared" si="311"/>
        <v>452.4111805724084</v>
      </c>
      <c r="R496">
        <f t="shared" si="311"/>
        <v>302.98192723109821</v>
      </c>
      <c r="S496">
        <f t="shared" si="311"/>
        <v>213.59149950114531</v>
      </c>
      <c r="T496">
        <f t="shared" si="311"/>
        <v>238.67473545933203</v>
      </c>
      <c r="U496">
        <f t="shared" si="311"/>
        <v>159.87407511726767</v>
      </c>
      <c r="V496">
        <f t="shared" si="311"/>
        <v>155.25684317083883</v>
      </c>
      <c r="W496">
        <f t="shared" si="311"/>
        <v>262.44161760442108</v>
      </c>
      <c r="Y496" s="15">
        <f t="shared" si="309"/>
        <v>6122.778910279616</v>
      </c>
      <c r="Z496">
        <f t="shared" si="310"/>
        <v>102.86551745048038</v>
      </c>
    </row>
    <row r="497" spans="1:26" x14ac:dyDescent="0.25">
      <c r="A497" t="s">
        <v>45</v>
      </c>
      <c r="D497">
        <f t="shared" ref="D497:W497" si="312">D33*D178</f>
        <v>550.59031416298001</v>
      </c>
      <c r="E497">
        <f t="shared" si="312"/>
        <v>347.71755102040822</v>
      </c>
      <c r="F497">
        <f t="shared" si="312"/>
        <v>386.01795918367344</v>
      </c>
      <c r="G497">
        <f t="shared" si="312"/>
        <v>263.03714285714284</v>
      </c>
      <c r="H497">
        <f t="shared" si="312"/>
        <v>517.50141819994747</v>
      </c>
      <c r="I497">
        <f t="shared" si="312"/>
        <v>444.95082525451858</v>
      </c>
      <c r="J497">
        <f t="shared" si="312"/>
        <v>337.98792016118699</v>
      </c>
      <c r="K497">
        <f t="shared" si="312"/>
        <v>408.91977544066725</v>
      </c>
      <c r="L497">
        <f t="shared" si="312"/>
        <v>271.58776128503769</v>
      </c>
      <c r="M497">
        <f t="shared" si="312"/>
        <v>99.195974517109519</v>
      </c>
      <c r="N497">
        <f t="shared" si="312"/>
        <v>107.87375790644906</v>
      </c>
      <c r="O497">
        <f t="shared" si="312"/>
        <v>83.101086963384688</v>
      </c>
      <c r="P497">
        <f t="shared" si="312"/>
        <v>103.58704338224287</v>
      </c>
      <c r="Q497">
        <f t="shared" si="312"/>
        <v>181.95114352249476</v>
      </c>
      <c r="R497">
        <f t="shared" si="312"/>
        <v>195.9670561623677</v>
      </c>
      <c r="S497">
        <f t="shared" si="312"/>
        <v>159.85251665769692</v>
      </c>
      <c r="T497">
        <f t="shared" si="312"/>
        <v>129.40470056422635</v>
      </c>
      <c r="U497">
        <f t="shared" si="312"/>
        <v>184.88344734278073</v>
      </c>
      <c r="V497">
        <f t="shared" si="312"/>
        <v>350.35095758655598</v>
      </c>
      <c r="W497">
        <f t="shared" si="312"/>
        <v>490.16609724105467</v>
      </c>
      <c r="Y497" s="15">
        <f t="shared" si="309"/>
        <v>5614.6444494119251</v>
      </c>
      <c r="Z497">
        <f t="shared" si="310"/>
        <v>100.39340331638199</v>
      </c>
    </row>
    <row r="498" spans="1:26" x14ac:dyDescent="0.25">
      <c r="A498" t="s">
        <v>46</v>
      </c>
      <c r="D498">
        <f t="shared" ref="D498:W498" si="313">D34*D179</f>
        <v>693.09797901726188</v>
      </c>
      <c r="E498">
        <f t="shared" si="313"/>
        <v>558.98100455004908</v>
      </c>
      <c r="F498">
        <f t="shared" si="313"/>
        <v>390.13755468463728</v>
      </c>
      <c r="G498">
        <f t="shared" si="313"/>
        <v>274.45928332035783</v>
      </c>
      <c r="H498">
        <f t="shared" si="313"/>
        <v>367.30383861029031</v>
      </c>
      <c r="I498">
        <f t="shared" si="313"/>
        <v>215.53982543541383</v>
      </c>
      <c r="J498">
        <f t="shared" si="313"/>
        <v>609.42577296869456</v>
      </c>
      <c r="K498">
        <f t="shared" si="313"/>
        <v>345.60722167707456</v>
      </c>
      <c r="L498">
        <f t="shared" si="313"/>
        <v>463.50520751770568</v>
      </c>
      <c r="M498">
        <f t="shared" si="313"/>
        <v>483.31972297844806</v>
      </c>
      <c r="N498">
        <f t="shared" si="313"/>
        <v>356.40833468086731</v>
      </c>
      <c r="O498">
        <f t="shared" si="313"/>
        <v>359.77078118290751</v>
      </c>
      <c r="P498">
        <f t="shared" si="313"/>
        <v>324.65447569570381</v>
      </c>
      <c r="Q498">
        <f t="shared" si="313"/>
        <v>172.40075421939005</v>
      </c>
      <c r="R498">
        <f t="shared" si="313"/>
        <v>254.11099114851379</v>
      </c>
      <c r="S498">
        <f t="shared" si="313"/>
        <v>164.71145199240837</v>
      </c>
      <c r="T498">
        <f t="shared" si="313"/>
        <v>320.9040507217569</v>
      </c>
      <c r="U498">
        <f t="shared" si="313"/>
        <v>306.48200620079831</v>
      </c>
      <c r="V498">
        <f t="shared" si="313"/>
        <v>462.8802833953531</v>
      </c>
      <c r="W498">
        <f t="shared" si="313"/>
        <v>533.14577952710522</v>
      </c>
      <c r="Y498" s="15">
        <f t="shared" si="309"/>
        <v>7656.8463195247386</v>
      </c>
      <c r="Z498">
        <f t="shared" si="310"/>
        <v>-87.219826589041276</v>
      </c>
    </row>
    <row r="499" spans="1:26" x14ac:dyDescent="0.25">
      <c r="A499" t="s">
        <v>47</v>
      </c>
      <c r="D499">
        <f t="shared" ref="D499:W499" si="314">D35*D180</f>
        <v>445.90268232094962</v>
      </c>
      <c r="E499">
        <f t="shared" si="314"/>
        <v>402.0431225536052</v>
      </c>
      <c r="F499">
        <f t="shared" si="314"/>
        <v>369.15746151565179</v>
      </c>
      <c r="G499">
        <f t="shared" si="314"/>
        <v>288.37723359654916</v>
      </c>
      <c r="H499">
        <f t="shared" si="314"/>
        <v>256.14289004031809</v>
      </c>
      <c r="I499">
        <f t="shared" si="314"/>
        <v>255.07660915378324</v>
      </c>
      <c r="J499">
        <f t="shared" si="314"/>
        <v>194.18214804542922</v>
      </c>
      <c r="K499">
        <f t="shared" si="314"/>
        <v>223.78816407352045</v>
      </c>
      <c r="L499">
        <f t="shared" si="314"/>
        <v>319.10210128804613</v>
      </c>
      <c r="M499">
        <f t="shared" si="314"/>
        <v>296.04668400890046</v>
      </c>
      <c r="N499">
        <f t="shared" si="314"/>
        <v>281.66226328834932</v>
      </c>
      <c r="O499">
        <f t="shared" si="314"/>
        <v>239.53592640328614</v>
      </c>
      <c r="P499">
        <f t="shared" si="314"/>
        <v>256.18170469733366</v>
      </c>
      <c r="Q499">
        <f t="shared" si="314"/>
        <v>288.20877068078539</v>
      </c>
      <c r="R499">
        <f t="shared" si="314"/>
        <v>185.65327519986889</v>
      </c>
      <c r="S499">
        <f t="shared" si="314"/>
        <v>322.59463457807175</v>
      </c>
      <c r="T499">
        <f t="shared" si="314"/>
        <v>428.36246758480934</v>
      </c>
      <c r="U499">
        <f t="shared" si="314"/>
        <v>320.10951561365158</v>
      </c>
      <c r="V499">
        <f t="shared" si="314"/>
        <v>390.97375167833872</v>
      </c>
      <c r="W499">
        <f t="shared" si="314"/>
        <v>436.65547675597122</v>
      </c>
      <c r="Y499" s="15">
        <f t="shared" si="309"/>
        <v>6199.7568830772207</v>
      </c>
      <c r="Z499">
        <f t="shared" si="310"/>
        <v>76.428545860146571</v>
      </c>
    </row>
    <row r="500" spans="1:26" x14ac:dyDescent="0.25">
      <c r="A500" t="s">
        <v>48</v>
      </c>
      <c r="D500">
        <f t="shared" ref="D500:W500" si="315">D36*D181</f>
        <v>558.7107638302009</v>
      </c>
      <c r="E500">
        <f t="shared" si="315"/>
        <v>454.48631059085159</v>
      </c>
      <c r="F500">
        <f t="shared" si="315"/>
        <v>370.2841524020111</v>
      </c>
      <c r="G500">
        <f t="shared" si="315"/>
        <v>395.21323577505586</v>
      </c>
      <c r="H500">
        <f t="shared" si="315"/>
        <v>438.12886948282056</v>
      </c>
      <c r="I500">
        <f t="shared" si="315"/>
        <v>325.66824243551616</v>
      </c>
      <c r="J500">
        <f t="shared" si="315"/>
        <v>201.9047261256421</v>
      </c>
      <c r="K500">
        <f t="shared" si="315"/>
        <v>285.02497639964827</v>
      </c>
      <c r="L500">
        <f t="shared" si="315"/>
        <v>159.45815504061585</v>
      </c>
      <c r="M500">
        <f t="shared" si="315"/>
        <v>212.0390788298557</v>
      </c>
      <c r="N500">
        <f t="shared" si="315"/>
        <v>265.00982347256962</v>
      </c>
      <c r="O500">
        <f t="shared" si="315"/>
        <v>184.4431282368239</v>
      </c>
      <c r="P500">
        <f t="shared" si="315"/>
        <v>225.24648706257923</v>
      </c>
      <c r="Q500">
        <f t="shared" si="315"/>
        <v>259.43444493776661</v>
      </c>
      <c r="R500">
        <f t="shared" si="315"/>
        <v>206.08233402062828</v>
      </c>
      <c r="S500">
        <f t="shared" si="315"/>
        <v>229.92899984901845</v>
      </c>
      <c r="T500">
        <f t="shared" si="315"/>
        <v>224.70870759032712</v>
      </c>
      <c r="U500">
        <f t="shared" si="315"/>
        <v>283.16713823936067</v>
      </c>
      <c r="V500">
        <f t="shared" si="315"/>
        <v>302.76340033860021</v>
      </c>
      <c r="W500">
        <f t="shared" si="315"/>
        <v>371.96187112767802</v>
      </c>
      <c r="Y500" s="15">
        <f t="shared" si="309"/>
        <v>5953.6648457875699</v>
      </c>
      <c r="Z500">
        <f t="shared" si="310"/>
        <v>139.33194638010741</v>
      </c>
    </row>
    <row r="501" spans="1:26" x14ac:dyDescent="0.25">
      <c r="A501" t="s">
        <v>49</v>
      </c>
      <c r="D501">
        <f t="shared" ref="D501:W501" si="316">D37*D182</f>
        <v>653.78209000624622</v>
      </c>
      <c r="E501">
        <f t="shared" si="316"/>
        <v>416.6967200778081</v>
      </c>
      <c r="F501">
        <f t="shared" si="316"/>
        <v>445.00773349938186</v>
      </c>
      <c r="G501">
        <f t="shared" si="316"/>
        <v>482.42181032861544</v>
      </c>
      <c r="H501">
        <f t="shared" si="316"/>
        <v>379.32419320602821</v>
      </c>
      <c r="I501">
        <f t="shared" si="316"/>
        <v>446.47283553173605</v>
      </c>
      <c r="J501">
        <f t="shared" si="316"/>
        <v>399.88719900696663</v>
      </c>
      <c r="K501">
        <f t="shared" si="316"/>
        <v>479.20867605481379</v>
      </c>
      <c r="L501">
        <f t="shared" si="316"/>
        <v>230.43186733171063</v>
      </c>
      <c r="M501">
        <f t="shared" si="316"/>
        <v>381.65197615583492</v>
      </c>
      <c r="N501">
        <f t="shared" si="316"/>
        <v>291.02069862321304</v>
      </c>
      <c r="O501">
        <f t="shared" si="316"/>
        <v>377.21303726867745</v>
      </c>
      <c r="P501">
        <f t="shared" si="316"/>
        <v>395.99704264512417</v>
      </c>
      <c r="Q501">
        <f t="shared" si="316"/>
        <v>373.33979784006601</v>
      </c>
      <c r="R501">
        <f t="shared" si="316"/>
        <v>350.59893264311586</v>
      </c>
      <c r="S501">
        <f t="shared" si="316"/>
        <v>539.58866248373317</v>
      </c>
      <c r="T501">
        <f t="shared" si="316"/>
        <v>542.49674132284451</v>
      </c>
      <c r="U501">
        <f t="shared" si="316"/>
        <v>531.67266437841943</v>
      </c>
      <c r="V501">
        <f t="shared" si="316"/>
        <v>531.62563484815018</v>
      </c>
      <c r="W501">
        <f t="shared" si="316"/>
        <v>517.39332023233192</v>
      </c>
      <c r="Y501" s="15">
        <f t="shared" si="309"/>
        <v>8765.8316334848187</v>
      </c>
      <c r="Z501">
        <f t="shared" si="310"/>
        <v>54.591821269856183</v>
      </c>
    </row>
    <row r="502" spans="1:26" x14ac:dyDescent="0.25">
      <c r="A502" t="s">
        <v>50</v>
      </c>
      <c r="D502">
        <f t="shared" ref="D502:W502" si="317">D38*D183</f>
        <v>413.15948426514728</v>
      </c>
      <c r="E502">
        <f t="shared" si="317"/>
        <v>356.13755102040813</v>
      </c>
      <c r="F502">
        <f t="shared" si="317"/>
        <v>302.11428571428581</v>
      </c>
      <c r="G502">
        <f t="shared" si="317"/>
        <v>317.63285714285712</v>
      </c>
      <c r="H502">
        <f t="shared" si="317"/>
        <v>137.38530607285048</v>
      </c>
      <c r="I502">
        <f t="shared" si="317"/>
        <v>176.49881573580873</v>
      </c>
      <c r="J502">
        <f t="shared" si="317"/>
        <v>95.260944039263507</v>
      </c>
      <c r="K502">
        <f t="shared" si="317"/>
        <v>67.406603911983993</v>
      </c>
      <c r="L502">
        <f t="shared" si="317"/>
        <v>85.698098749388805</v>
      </c>
      <c r="M502">
        <f t="shared" si="317"/>
        <v>230.05935743488834</v>
      </c>
      <c r="N502">
        <f t="shared" si="317"/>
        <v>235.34387451527908</v>
      </c>
      <c r="O502">
        <f t="shared" si="317"/>
        <v>217.09599321524118</v>
      </c>
      <c r="P502">
        <f t="shared" si="317"/>
        <v>225.62789856523531</v>
      </c>
      <c r="Q502">
        <f t="shared" si="317"/>
        <v>245.92697840200992</v>
      </c>
      <c r="R502">
        <f t="shared" si="317"/>
        <v>201.59933999134572</v>
      </c>
      <c r="S502">
        <f t="shared" si="317"/>
        <v>255.80310872909899</v>
      </c>
      <c r="T502">
        <f t="shared" si="317"/>
        <v>360.41801691017218</v>
      </c>
      <c r="U502">
        <f t="shared" si="317"/>
        <v>362.39459828564151</v>
      </c>
      <c r="V502">
        <f t="shared" si="317"/>
        <v>193.97806025937084</v>
      </c>
      <c r="W502">
        <f t="shared" si="317"/>
        <v>416.31452677207466</v>
      </c>
      <c r="Y502" s="15">
        <f t="shared" si="309"/>
        <v>4895.8556997323522</v>
      </c>
      <c r="Z502">
        <f t="shared" si="310"/>
        <v>83.888507000766822</v>
      </c>
    </row>
    <row r="503" spans="1:26" x14ac:dyDescent="0.25">
      <c r="A503" t="s">
        <v>51</v>
      </c>
      <c r="D503">
        <f t="shared" ref="D503:W503" si="318">D39*D184</f>
        <v>326.8530393638078</v>
      </c>
      <c r="E503">
        <f t="shared" si="318"/>
        <v>383.18962218415203</v>
      </c>
      <c r="F503">
        <f t="shared" si="318"/>
        <v>491.96309598376143</v>
      </c>
      <c r="G503">
        <f t="shared" si="318"/>
        <v>299.58323050391522</v>
      </c>
      <c r="H503">
        <f t="shared" si="318"/>
        <v>121.47407339076521</v>
      </c>
      <c r="I503">
        <f t="shared" si="318"/>
        <v>65.136550022782458</v>
      </c>
      <c r="J503">
        <f t="shared" si="318"/>
        <v>25.754877885535489</v>
      </c>
      <c r="K503">
        <f t="shared" si="318"/>
        <v>61.395090799346569</v>
      </c>
      <c r="L503">
        <f t="shared" si="318"/>
        <v>64.255768075147415</v>
      </c>
      <c r="M503">
        <f t="shared" si="318"/>
        <v>68.596250967253184</v>
      </c>
      <c r="N503">
        <f t="shared" si="318"/>
        <v>69.434886938422054</v>
      </c>
      <c r="O503">
        <f t="shared" si="318"/>
        <v>92.631371231759019</v>
      </c>
      <c r="P503">
        <f t="shared" si="318"/>
        <v>232.07440995281345</v>
      </c>
      <c r="Q503">
        <f t="shared" si="318"/>
        <v>280.45434285714288</v>
      </c>
      <c r="R503">
        <f t="shared" si="318"/>
        <v>205.58877284077866</v>
      </c>
      <c r="S503">
        <f t="shared" si="318"/>
        <v>70.039666548938541</v>
      </c>
      <c r="T503">
        <f t="shared" si="318"/>
        <v>169.96970359436628</v>
      </c>
      <c r="U503">
        <f t="shared" si="318"/>
        <v>58.073464567087385</v>
      </c>
      <c r="V503">
        <f t="shared" si="318"/>
        <v>161.22648564911387</v>
      </c>
      <c r="W503">
        <f t="shared" si="318"/>
        <v>342.84245993732281</v>
      </c>
      <c r="Y503" s="15">
        <f t="shared" si="309"/>
        <v>3590.5371632942115</v>
      </c>
      <c r="Z503">
        <f t="shared" si="310"/>
        <v>195.9489789998068</v>
      </c>
    </row>
    <row r="504" spans="1:26" x14ac:dyDescent="0.25">
      <c r="A504" t="s">
        <v>52</v>
      </c>
      <c r="D504">
        <f t="shared" ref="D504:W504" si="319">D40*D185</f>
        <v>450.48803045479082</v>
      </c>
      <c r="E504">
        <f t="shared" si="319"/>
        <v>271.03583525477916</v>
      </c>
      <c r="F504">
        <f t="shared" si="319"/>
        <v>276.76324240144675</v>
      </c>
      <c r="G504">
        <f t="shared" si="319"/>
        <v>189.81365226506833</v>
      </c>
      <c r="H504">
        <f t="shared" si="319"/>
        <v>88.89650035511572</v>
      </c>
      <c r="I504">
        <f t="shared" si="319"/>
        <v>48.071407312724958</v>
      </c>
      <c r="J504">
        <f t="shared" si="319"/>
        <v>75.505151744886518</v>
      </c>
      <c r="K504">
        <f t="shared" si="319"/>
        <v>76.036412403947082</v>
      </c>
      <c r="L504">
        <f t="shared" si="319"/>
        <v>89.805750456638492</v>
      </c>
      <c r="M504">
        <f t="shared" si="319"/>
        <v>75.188061117421498</v>
      </c>
      <c r="N504">
        <f t="shared" si="319"/>
        <v>90.484224842791036</v>
      </c>
      <c r="O504">
        <f t="shared" si="319"/>
        <v>34.901147092007939</v>
      </c>
      <c r="P504">
        <f t="shared" si="319"/>
        <v>41.254895874238571</v>
      </c>
      <c r="Q504">
        <f t="shared" si="319"/>
        <v>267.83969999999999</v>
      </c>
      <c r="R504">
        <f t="shared" si="319"/>
        <v>205.58877284077866</v>
      </c>
      <c r="S504">
        <f t="shared" si="319"/>
        <v>110.95343788082693</v>
      </c>
      <c r="T504">
        <f t="shared" si="319"/>
        <v>48.310147434317031</v>
      </c>
      <c r="U504">
        <f t="shared" si="319"/>
        <v>112.9788048966585</v>
      </c>
      <c r="V504">
        <f t="shared" si="319"/>
        <v>147.12195114688254</v>
      </c>
      <c r="W504">
        <f t="shared" si="319"/>
        <v>247.97900125113543</v>
      </c>
      <c r="Y504" s="15">
        <f t="shared" si="309"/>
        <v>2949.0161270264557</v>
      </c>
      <c r="Z504">
        <f t="shared" si="310"/>
        <v>29.01372611771848</v>
      </c>
    </row>
    <row r="505" spans="1:26" x14ac:dyDescent="0.25">
      <c r="A505" t="s">
        <v>53</v>
      </c>
      <c r="D505">
        <f t="shared" ref="D505:W505" si="320">D41*D186</f>
        <v>426.26936960871262</v>
      </c>
      <c r="E505">
        <f t="shared" si="320"/>
        <v>403.16477293316069</v>
      </c>
      <c r="F505">
        <f t="shared" si="320"/>
        <v>300.66058518602546</v>
      </c>
      <c r="G505">
        <f t="shared" si="320"/>
        <v>170.19316845470684</v>
      </c>
      <c r="H505">
        <f t="shared" si="320"/>
        <v>68.971021951030124</v>
      </c>
      <c r="I505">
        <f t="shared" si="320"/>
        <v>116.87878950682878</v>
      </c>
      <c r="J505">
        <f t="shared" si="320"/>
        <v>45.831566665811032</v>
      </c>
      <c r="K505">
        <f t="shared" si="320"/>
        <v>213.01996205332301</v>
      </c>
      <c r="L505">
        <f t="shared" si="320"/>
        <v>54.015833660204386</v>
      </c>
      <c r="M505">
        <f t="shared" si="320"/>
        <v>187.44444991792582</v>
      </c>
      <c r="N505">
        <f t="shared" si="320"/>
        <v>189.80292329458555</v>
      </c>
      <c r="O505">
        <f t="shared" si="320"/>
        <v>151.57469122795314</v>
      </c>
      <c r="P505">
        <f t="shared" si="320"/>
        <v>117.40276922138729</v>
      </c>
      <c r="Q505">
        <f t="shared" si="320"/>
        <v>197.7967443356161</v>
      </c>
      <c r="R505">
        <f t="shared" si="320"/>
        <v>128.61017515190852</v>
      </c>
      <c r="S505">
        <f t="shared" si="320"/>
        <v>145.08751442285063</v>
      </c>
      <c r="T505">
        <f t="shared" si="320"/>
        <v>271.32344595320433</v>
      </c>
      <c r="U505">
        <f t="shared" si="320"/>
        <v>401.61591645518916</v>
      </c>
      <c r="V505">
        <f t="shared" si="320"/>
        <v>113.87455052832314</v>
      </c>
      <c r="W505">
        <f t="shared" si="320"/>
        <v>121.24367734046326</v>
      </c>
      <c r="Y505" s="15">
        <f t="shared" si="309"/>
        <v>3824.7819278692104</v>
      </c>
      <c r="Z505">
        <f t="shared" si="310"/>
        <v>86.426902370741729</v>
      </c>
    </row>
    <row r="506" spans="1:26" x14ac:dyDescent="0.25">
      <c r="A506" t="s">
        <v>54</v>
      </c>
      <c r="D506">
        <f t="shared" ref="D506:W506" si="321">D42*D187</f>
        <v>376.61685557398647</v>
      </c>
      <c r="E506">
        <f t="shared" si="321"/>
        <v>500.75022917438412</v>
      </c>
      <c r="F506">
        <f t="shared" si="321"/>
        <v>369.74811881829254</v>
      </c>
      <c r="G506">
        <f t="shared" si="321"/>
        <v>366.39832256610555</v>
      </c>
      <c r="H506">
        <f t="shared" si="321"/>
        <v>291.46967146920628</v>
      </c>
      <c r="I506">
        <f t="shared" si="321"/>
        <v>322.07442599150295</v>
      </c>
      <c r="J506">
        <f t="shared" si="321"/>
        <v>175.20564064995401</v>
      </c>
      <c r="K506">
        <f t="shared" si="321"/>
        <v>130.80988124412818</v>
      </c>
      <c r="L506">
        <f t="shared" si="321"/>
        <v>112.95427251599654</v>
      </c>
      <c r="M506">
        <f t="shared" si="321"/>
        <v>126.0510101308745</v>
      </c>
      <c r="N506">
        <f t="shared" si="321"/>
        <v>56.853554963634089</v>
      </c>
      <c r="O506">
        <f t="shared" si="321"/>
        <v>67.246641556079368</v>
      </c>
      <c r="P506">
        <f t="shared" si="321"/>
        <v>46.085119453180958</v>
      </c>
      <c r="Q506">
        <f t="shared" si="321"/>
        <v>82.374989756800645</v>
      </c>
      <c r="R506">
        <f t="shared" si="321"/>
        <v>198.14183152183713</v>
      </c>
      <c r="S506">
        <f t="shared" si="321"/>
        <v>201.51025518730984</v>
      </c>
      <c r="T506">
        <f t="shared" si="321"/>
        <v>124.94151025291498</v>
      </c>
      <c r="U506">
        <f t="shared" si="321"/>
        <v>194.22611457922963</v>
      </c>
      <c r="V506">
        <f t="shared" si="321"/>
        <v>159.10305846464934</v>
      </c>
      <c r="W506">
        <f t="shared" si="321"/>
        <v>164.77618292240243</v>
      </c>
      <c r="Y506" s="15">
        <f t="shared" si="309"/>
        <v>4067.337686792469</v>
      </c>
      <c r="Z506">
        <f t="shared" si="310"/>
        <v>239.35878152653208</v>
      </c>
    </row>
    <row r="507" spans="1:26" x14ac:dyDescent="0.25">
      <c r="A507" t="s">
        <v>55</v>
      </c>
      <c r="D507">
        <f t="shared" ref="D507:W507" si="322">D43*D188</f>
        <v>310.91852454009683</v>
      </c>
      <c r="E507">
        <f t="shared" si="322"/>
        <v>299.76245564379752</v>
      </c>
      <c r="F507">
        <f t="shared" si="322"/>
        <v>370.11221203245293</v>
      </c>
      <c r="G507">
        <f t="shared" si="322"/>
        <v>240.71946178841034</v>
      </c>
      <c r="H507">
        <f t="shared" si="322"/>
        <v>176.99680766087369</v>
      </c>
      <c r="I507">
        <f t="shared" si="322"/>
        <v>222.96753218810994</v>
      </c>
      <c r="J507">
        <f t="shared" si="322"/>
        <v>129.01791034958654</v>
      </c>
      <c r="K507">
        <f t="shared" si="322"/>
        <v>65.077075577848248</v>
      </c>
      <c r="L507">
        <f t="shared" si="322"/>
        <v>159.62331035319673</v>
      </c>
      <c r="M507">
        <f t="shared" si="322"/>
        <v>43.253367679270276</v>
      </c>
      <c r="N507">
        <f t="shared" si="322"/>
        <v>133.7427922716486</v>
      </c>
      <c r="O507">
        <f t="shared" si="322"/>
        <v>67.938316036326782</v>
      </c>
      <c r="P507">
        <f t="shared" si="322"/>
        <v>92.569535304572099</v>
      </c>
      <c r="Q507">
        <f t="shared" si="322"/>
        <v>86.428590359529721</v>
      </c>
      <c r="R507">
        <f t="shared" si="322"/>
        <v>241.01527351207667</v>
      </c>
      <c r="S507">
        <f t="shared" si="322"/>
        <v>267.35817631206919</v>
      </c>
      <c r="T507">
        <f t="shared" si="322"/>
        <v>30.009618279860355</v>
      </c>
      <c r="U507">
        <f t="shared" si="322"/>
        <v>262.2134141319483</v>
      </c>
      <c r="V507">
        <f t="shared" si="322"/>
        <v>349.42569559916467</v>
      </c>
      <c r="W507">
        <f t="shared" si="322"/>
        <v>410.07707765482354</v>
      </c>
      <c r="Y507" s="15">
        <f t="shared" si="309"/>
        <v>3959.2271472756629</v>
      </c>
      <c r="Z507">
        <f t="shared" si="310"/>
        <v>147.22641091827481</v>
      </c>
    </row>
    <row r="508" spans="1:26" x14ac:dyDescent="0.25">
      <c r="A508" t="s">
        <v>56</v>
      </c>
      <c r="D508">
        <f t="shared" ref="D508:W508" si="323">D44*D189</f>
        <v>506.03943282581434</v>
      </c>
      <c r="E508">
        <f t="shared" si="323"/>
        <v>348.73999999999995</v>
      </c>
      <c r="F508">
        <f t="shared" si="323"/>
        <v>288.14999999999998</v>
      </c>
      <c r="G508">
        <f t="shared" si="323"/>
        <v>294.39999999999998</v>
      </c>
      <c r="H508">
        <f t="shared" si="323"/>
        <v>148.49196590137606</v>
      </c>
      <c r="I508">
        <f t="shared" si="323"/>
        <v>154.3277639836528</v>
      </c>
      <c r="J508">
        <f t="shared" si="323"/>
        <v>89.779836363114043</v>
      </c>
      <c r="K508">
        <f t="shared" si="323"/>
        <v>108.23044339785102</v>
      </c>
      <c r="L508">
        <f t="shared" si="323"/>
        <v>147.00777692135856</v>
      </c>
      <c r="M508">
        <f t="shared" si="323"/>
        <v>170.44214382923161</v>
      </c>
      <c r="N508">
        <f t="shared" si="323"/>
        <v>188.89635790494054</v>
      </c>
      <c r="O508">
        <f t="shared" si="323"/>
        <v>348.2491729081251</v>
      </c>
      <c r="P508">
        <f t="shared" si="323"/>
        <v>236.13982544529344</v>
      </c>
      <c r="Q508">
        <f t="shared" si="323"/>
        <v>298.48558375815475</v>
      </c>
      <c r="R508">
        <f t="shared" si="323"/>
        <v>361.48631181071465</v>
      </c>
      <c r="S508">
        <f t="shared" si="323"/>
        <v>373.764055094372</v>
      </c>
      <c r="T508">
        <f t="shared" si="323"/>
        <v>418.6636883836901</v>
      </c>
      <c r="U508">
        <f t="shared" si="323"/>
        <v>399.30167860299764</v>
      </c>
      <c r="V508">
        <f t="shared" si="323"/>
        <v>405.63282600264228</v>
      </c>
      <c r="W508">
        <f t="shared" si="323"/>
        <v>535.72579463881937</v>
      </c>
      <c r="Y508" s="15">
        <f t="shared" si="309"/>
        <v>5821.9546577721485</v>
      </c>
      <c r="Z508">
        <f t="shared" si="310"/>
        <v>56.753626995410123</v>
      </c>
    </row>
    <row r="509" spans="1:26" x14ac:dyDescent="0.25">
      <c r="A509" t="s">
        <v>57</v>
      </c>
      <c r="D509">
        <f t="shared" ref="D509:W509" si="324">D45*D190</f>
        <v>479.84408163265306</v>
      </c>
      <c r="E509">
        <f t="shared" si="324"/>
        <v>511.02714285714285</v>
      </c>
      <c r="F509">
        <f t="shared" si="324"/>
        <v>460.16244897959183</v>
      </c>
      <c r="G509">
        <f t="shared" si="324"/>
        <v>463.48163265306113</v>
      </c>
      <c r="H509">
        <f t="shared" si="324"/>
        <v>280.446816169204</v>
      </c>
      <c r="I509">
        <f t="shared" si="324"/>
        <v>261.50389697245026</v>
      </c>
      <c r="J509">
        <f t="shared" si="324"/>
        <v>196.13389677627248</v>
      </c>
      <c r="K509">
        <f t="shared" si="324"/>
        <v>240.54531632162389</v>
      </c>
      <c r="L509">
        <f t="shared" si="324"/>
        <v>168.93585372078851</v>
      </c>
      <c r="M509">
        <f t="shared" si="324"/>
        <v>237.101924784402</v>
      </c>
      <c r="N509">
        <f t="shared" si="324"/>
        <v>225.05585861333506</v>
      </c>
      <c r="O509">
        <f t="shared" si="324"/>
        <v>212.56652229083275</v>
      </c>
      <c r="P509">
        <f t="shared" si="324"/>
        <v>241.29773183587974</v>
      </c>
      <c r="Q509">
        <f t="shared" si="324"/>
        <v>281.05020265989799</v>
      </c>
      <c r="R509">
        <f t="shared" si="324"/>
        <v>235.45839819034592</v>
      </c>
      <c r="S509">
        <f t="shared" si="324"/>
        <v>229.37037240076012</v>
      </c>
      <c r="T509">
        <f t="shared" si="324"/>
        <v>276.01145050297941</v>
      </c>
      <c r="U509">
        <f t="shared" si="324"/>
        <v>259.37644333218248</v>
      </c>
      <c r="V509">
        <f t="shared" si="324"/>
        <v>301.2623003302304</v>
      </c>
      <c r="W509">
        <f t="shared" si="324"/>
        <v>402.42149075238257</v>
      </c>
      <c r="Y509" s="15">
        <f t="shared" si="309"/>
        <v>5963.0537817760169</v>
      </c>
      <c r="Z509">
        <f t="shared" si="310"/>
        <v>178.98308317828844</v>
      </c>
    </row>
    <row r="510" spans="1:26" x14ac:dyDescent="0.25">
      <c r="A510" t="s">
        <v>58</v>
      </c>
      <c r="D510">
        <f t="shared" ref="D510:W510" si="325">D46*D191</f>
        <v>514.83918367346939</v>
      </c>
      <c r="E510">
        <f t="shared" si="325"/>
        <v>485.60897959183671</v>
      </c>
      <c r="F510">
        <f t="shared" si="325"/>
        <v>321.99061224489793</v>
      </c>
      <c r="G510">
        <f t="shared" si="325"/>
        <v>232.03714285714284</v>
      </c>
      <c r="H510">
        <f t="shared" si="325"/>
        <v>265.8690327376882</v>
      </c>
      <c r="I510">
        <f t="shared" si="325"/>
        <v>234.01509209470441</v>
      </c>
      <c r="J510">
        <f t="shared" si="325"/>
        <v>220.90909021648235</v>
      </c>
      <c r="K510">
        <f t="shared" si="325"/>
        <v>243.70976464653126</v>
      </c>
      <c r="L510">
        <f t="shared" si="325"/>
        <v>194.84161035594488</v>
      </c>
      <c r="M510">
        <f t="shared" si="325"/>
        <v>347.80907212167682</v>
      </c>
      <c r="N510">
        <f t="shared" si="325"/>
        <v>369.58775795705003</v>
      </c>
      <c r="O510">
        <f t="shared" si="325"/>
        <v>370.02203508018181</v>
      </c>
      <c r="P510">
        <f t="shared" si="325"/>
        <v>175.89413854328205</v>
      </c>
      <c r="Q510">
        <f t="shared" si="325"/>
        <v>213.32381918657373</v>
      </c>
      <c r="R510">
        <f t="shared" si="325"/>
        <v>151.45691778803348</v>
      </c>
      <c r="S510">
        <f t="shared" si="325"/>
        <v>349.25595527559386</v>
      </c>
      <c r="T510">
        <f t="shared" si="325"/>
        <v>463.60679162257941</v>
      </c>
      <c r="U510">
        <f t="shared" si="325"/>
        <v>574.57380284290264</v>
      </c>
      <c r="V510">
        <f t="shared" si="325"/>
        <v>675.671166250635</v>
      </c>
      <c r="W510">
        <f t="shared" si="325"/>
        <v>712.52462526661884</v>
      </c>
      <c r="Y510" s="15">
        <f t="shared" si="309"/>
        <v>7117.5465903538261</v>
      </c>
      <c r="Z510">
        <f t="shared" si="310"/>
        <v>79.350551583836335</v>
      </c>
    </row>
    <row r="511" spans="1:26" x14ac:dyDescent="0.25">
      <c r="A511" t="s">
        <v>59</v>
      </c>
      <c r="D511">
        <f t="shared" ref="D511:W511" si="326">D47*D192</f>
        <v>346.73864151629613</v>
      </c>
      <c r="E511">
        <f t="shared" si="326"/>
        <v>373.9025162230169</v>
      </c>
      <c r="F511">
        <f t="shared" si="326"/>
        <v>420.25205883813459</v>
      </c>
      <c r="G511">
        <f t="shared" si="326"/>
        <v>569.91258650387317</v>
      </c>
      <c r="H511">
        <f t="shared" si="326"/>
        <v>558.62960003836702</v>
      </c>
      <c r="I511">
        <f t="shared" si="326"/>
        <v>996.44814648830879</v>
      </c>
      <c r="J511">
        <f t="shared" si="326"/>
        <v>662.07934085913962</v>
      </c>
      <c r="K511">
        <f t="shared" si="326"/>
        <v>395.34330856213887</v>
      </c>
      <c r="L511">
        <f t="shared" si="326"/>
        <v>298.19502129851156</v>
      </c>
      <c r="M511">
        <f t="shared" si="326"/>
        <v>300.87272456003649</v>
      </c>
      <c r="N511">
        <f t="shared" si="326"/>
        <v>406.63376655724983</v>
      </c>
      <c r="O511">
        <f t="shared" si="326"/>
        <v>410.82024466154775</v>
      </c>
      <c r="P511">
        <f t="shared" si="326"/>
        <v>333.92162398748582</v>
      </c>
      <c r="Q511">
        <f t="shared" si="326"/>
        <v>269.45292053160063</v>
      </c>
      <c r="R511">
        <f t="shared" si="326"/>
        <v>287.10645719791597</v>
      </c>
      <c r="S511">
        <f t="shared" si="326"/>
        <v>282.71111272454488</v>
      </c>
      <c r="T511">
        <f t="shared" si="326"/>
        <v>336.10853521944432</v>
      </c>
      <c r="U511">
        <f t="shared" si="326"/>
        <v>312.24808642698122</v>
      </c>
      <c r="V511">
        <f t="shared" si="326"/>
        <v>292.52080437161993</v>
      </c>
      <c r="W511">
        <f t="shared" si="326"/>
        <v>307.32402918551986</v>
      </c>
      <c r="Y511" s="15">
        <f t="shared" si="309"/>
        <v>8161.2215257517337</v>
      </c>
      <c r="Z511">
        <f t="shared" si="310"/>
        <v>113.39255658937188</v>
      </c>
    </row>
    <row r="512" spans="1:26" x14ac:dyDescent="0.25">
      <c r="A512" t="s">
        <v>60</v>
      </c>
      <c r="D512">
        <f t="shared" ref="D512:W512" si="327">D48*D193</f>
        <v>303.71818251463759</v>
      </c>
      <c r="E512">
        <f t="shared" si="327"/>
        <v>475.87818303173532</v>
      </c>
      <c r="F512">
        <f t="shared" si="327"/>
        <v>525.11100432510409</v>
      </c>
      <c r="G512">
        <f t="shared" si="327"/>
        <v>391.49096008469667</v>
      </c>
      <c r="H512">
        <f t="shared" si="327"/>
        <v>405.62058816996682</v>
      </c>
      <c r="I512">
        <f t="shared" si="327"/>
        <v>365.632803322553</v>
      </c>
      <c r="J512">
        <f t="shared" si="327"/>
        <v>478.21512111385607</v>
      </c>
      <c r="K512">
        <f t="shared" si="327"/>
        <v>512.3910377861481</v>
      </c>
      <c r="L512">
        <f t="shared" si="327"/>
        <v>289.01258227688675</v>
      </c>
      <c r="M512">
        <f t="shared" si="327"/>
        <v>329.3666127572302</v>
      </c>
      <c r="N512">
        <f t="shared" si="327"/>
        <v>284.95576079134895</v>
      </c>
      <c r="O512">
        <f t="shared" si="327"/>
        <v>325.73395429518382</v>
      </c>
      <c r="P512">
        <f t="shared" si="327"/>
        <v>332.38618838474787</v>
      </c>
      <c r="Q512">
        <f t="shared" si="327"/>
        <v>366.93431268448586</v>
      </c>
      <c r="R512">
        <f t="shared" si="327"/>
        <v>434.08602921978883</v>
      </c>
      <c r="S512">
        <f t="shared" si="327"/>
        <v>337.4294863651283</v>
      </c>
      <c r="T512">
        <f t="shared" si="327"/>
        <v>321.75255151000954</v>
      </c>
      <c r="U512">
        <f t="shared" si="327"/>
        <v>339.95377001083995</v>
      </c>
      <c r="V512">
        <f t="shared" si="327"/>
        <v>388.53263376750118</v>
      </c>
      <c r="W512">
        <f t="shared" si="327"/>
        <v>350.35615099136635</v>
      </c>
      <c r="Y512" s="15">
        <f t="shared" si="309"/>
        <v>7558.5579134032159</v>
      </c>
      <c r="Z512">
        <f t="shared" si="310"/>
        <v>138.07767029505086</v>
      </c>
    </row>
    <row r="513" spans="1:26" x14ac:dyDescent="0.25">
      <c r="A513" t="s">
        <v>61</v>
      </c>
      <c r="D513">
        <f t="shared" ref="D513:W513" si="328">D49*D194</f>
        <v>469.99241319232368</v>
      </c>
      <c r="E513">
        <f t="shared" si="328"/>
        <v>556.06994594592368</v>
      </c>
      <c r="F513">
        <f t="shared" si="328"/>
        <v>665.10375483924258</v>
      </c>
      <c r="G513">
        <f t="shared" si="328"/>
        <v>549.09010886200258</v>
      </c>
      <c r="H513">
        <f t="shared" si="328"/>
        <v>577.51059710416291</v>
      </c>
      <c r="I513">
        <f t="shared" si="328"/>
        <v>392.18532566061788</v>
      </c>
      <c r="J513">
        <f t="shared" si="328"/>
        <v>243.03226187800075</v>
      </c>
      <c r="K513">
        <f t="shared" si="328"/>
        <v>249.33544064554854</v>
      </c>
      <c r="L513">
        <f t="shared" si="328"/>
        <v>321.57808423618968</v>
      </c>
      <c r="M513">
        <f t="shared" si="328"/>
        <v>236.67608710356069</v>
      </c>
      <c r="N513">
        <f t="shared" si="328"/>
        <v>278.07925877209573</v>
      </c>
      <c r="O513">
        <f t="shared" si="328"/>
        <v>517.05685877419126</v>
      </c>
      <c r="P513">
        <f t="shared" si="328"/>
        <v>386.78075846736181</v>
      </c>
      <c r="Q513">
        <f t="shared" si="328"/>
        <v>311.42922171562805</v>
      </c>
      <c r="R513">
        <f t="shared" si="328"/>
        <v>370.39718912076688</v>
      </c>
      <c r="S513">
        <f t="shared" si="328"/>
        <v>341.59356854111695</v>
      </c>
      <c r="T513">
        <f t="shared" si="328"/>
        <v>252.50583121488231</v>
      </c>
      <c r="U513">
        <f t="shared" si="328"/>
        <v>345.9772124989463</v>
      </c>
      <c r="V513">
        <f t="shared" si="328"/>
        <v>316.58197364743359</v>
      </c>
      <c r="W513">
        <f t="shared" si="328"/>
        <v>397.5931646240104</v>
      </c>
      <c r="Y513" s="15">
        <f t="shared" si="309"/>
        <v>7778.569056844005</v>
      </c>
      <c r="Z513">
        <f t="shared" si="310"/>
        <v>301.00657360151956</v>
      </c>
    </row>
    <row r="514" spans="1:26" x14ac:dyDescent="0.25">
      <c r="A514" t="s">
        <v>62</v>
      </c>
      <c r="D514">
        <f t="shared" ref="D514:W514" si="329">D50*D195</f>
        <v>409.75992804107642</v>
      </c>
      <c r="E514">
        <f t="shared" si="329"/>
        <v>488.04531740010668</v>
      </c>
      <c r="F514">
        <f t="shared" si="329"/>
        <v>435.36570178014222</v>
      </c>
      <c r="G514">
        <f t="shared" si="329"/>
        <v>374.06401571300887</v>
      </c>
      <c r="H514">
        <f t="shared" si="329"/>
        <v>465.81048677914782</v>
      </c>
      <c r="I514">
        <f t="shared" si="329"/>
        <v>538.89361151324977</v>
      </c>
      <c r="J514">
        <f t="shared" si="329"/>
        <v>394.1771451114281</v>
      </c>
      <c r="K514">
        <f t="shared" si="329"/>
        <v>456.1728590520546</v>
      </c>
      <c r="L514">
        <f t="shared" si="329"/>
        <v>391.71375735801871</v>
      </c>
      <c r="M514">
        <f t="shared" si="329"/>
        <v>299.75207086944494</v>
      </c>
      <c r="N514">
        <f t="shared" si="329"/>
        <v>203.54694405050111</v>
      </c>
      <c r="O514">
        <f t="shared" si="329"/>
        <v>231.26720940695267</v>
      </c>
      <c r="P514">
        <f t="shared" si="329"/>
        <v>267.62165119081152</v>
      </c>
      <c r="Q514">
        <f t="shared" si="329"/>
        <v>316.38396669878671</v>
      </c>
      <c r="R514">
        <f t="shared" si="329"/>
        <v>184.82825919769394</v>
      </c>
      <c r="S514">
        <f t="shared" si="329"/>
        <v>273.20600258359025</v>
      </c>
      <c r="T514">
        <f t="shared" si="329"/>
        <v>263.35586166630799</v>
      </c>
      <c r="U514">
        <f t="shared" si="329"/>
        <v>280.98209349177779</v>
      </c>
      <c r="V514">
        <f t="shared" si="329"/>
        <v>260.41156450145513</v>
      </c>
      <c r="W514">
        <f t="shared" si="329"/>
        <v>249.58882431036875</v>
      </c>
      <c r="Y514" s="15">
        <f t="shared" si="309"/>
        <v>6784.9472707159248</v>
      </c>
      <c r="Z514">
        <f t="shared" si="310"/>
        <v>153.35293002068192</v>
      </c>
    </row>
    <row r="515" spans="1:26" x14ac:dyDescent="0.25">
      <c r="Y515" s="15"/>
    </row>
    <row r="516" spans="1:26" x14ac:dyDescent="0.25">
      <c r="A516" t="s">
        <v>63</v>
      </c>
      <c r="D516">
        <f t="shared" ref="D516:W516" si="330">D52*D197</f>
        <v>349.5819474810653</v>
      </c>
      <c r="E516">
        <f t="shared" si="330"/>
        <v>309.44443423038041</v>
      </c>
      <c r="F516">
        <f t="shared" si="330"/>
        <v>369.31102003001661</v>
      </c>
      <c r="G516">
        <f t="shared" si="330"/>
        <v>273.33485062514518</v>
      </c>
      <c r="H516">
        <f t="shared" si="330"/>
        <v>276.54842262692978</v>
      </c>
      <c r="I516">
        <f t="shared" si="330"/>
        <v>303.95728791243488</v>
      </c>
      <c r="J516">
        <f t="shared" si="330"/>
        <v>226.73161217910589</v>
      </c>
      <c r="K516">
        <f t="shared" si="330"/>
        <v>274.03872059926857</v>
      </c>
      <c r="L516">
        <f t="shared" si="330"/>
        <v>195.07932624178599</v>
      </c>
      <c r="M516">
        <f t="shared" si="330"/>
        <v>183.28790523612906</v>
      </c>
      <c r="N516">
        <f t="shared" si="330"/>
        <v>200.20432347215049</v>
      </c>
      <c r="O516">
        <f t="shared" si="330"/>
        <v>209.1261565745119</v>
      </c>
      <c r="P516">
        <f t="shared" si="330"/>
        <v>162.29228849710668</v>
      </c>
      <c r="Q516">
        <f t="shared" si="330"/>
        <v>206.34892790415472</v>
      </c>
      <c r="R516">
        <f t="shared" si="330"/>
        <v>233.47994106989154</v>
      </c>
      <c r="S516">
        <f t="shared" si="330"/>
        <v>257.76289831157652</v>
      </c>
      <c r="T516">
        <f t="shared" si="330"/>
        <v>275.09099721448467</v>
      </c>
      <c r="U516">
        <f t="shared" si="330"/>
        <v>318.12812552370082</v>
      </c>
      <c r="V516">
        <f t="shared" si="330"/>
        <v>304.78410384621139</v>
      </c>
      <c r="W516">
        <f t="shared" si="330"/>
        <v>385.04351458317296</v>
      </c>
      <c r="Y516" s="15">
        <f t="shared" si="309"/>
        <v>5313.5768041592237</v>
      </c>
      <c r="Z516">
        <f>SUMPRODUCT($D$520:$S$520,D516:S516)</f>
        <v>100.27631005971901</v>
      </c>
    </row>
    <row r="517" spans="1:26" x14ac:dyDescent="0.25">
      <c r="A517" t="s">
        <v>307</v>
      </c>
      <c r="D517">
        <f t="shared" ref="D517:W517" si="331">D53*D198</f>
        <v>580.37714285714276</v>
      </c>
      <c r="E517">
        <f t="shared" si="331"/>
        <v>365.04</v>
      </c>
      <c r="F517">
        <f t="shared" si="331"/>
        <v>356.12</v>
      </c>
      <c r="G517">
        <f t="shared" si="331"/>
        <v>319.48</v>
      </c>
      <c r="H517">
        <f t="shared" si="331"/>
        <v>450.13918367346935</v>
      </c>
      <c r="I517">
        <f t="shared" si="331"/>
        <v>389.45081632653051</v>
      </c>
      <c r="J517">
        <f t="shared" si="331"/>
        <v>334.10999999999996</v>
      </c>
      <c r="K517">
        <f t="shared" si="331"/>
        <v>305.66020408163274</v>
      </c>
      <c r="L517">
        <f t="shared" si="331"/>
        <v>294.16109374999996</v>
      </c>
      <c r="M517">
        <f t="shared" si="331"/>
        <v>350.93000000000006</v>
      </c>
      <c r="N517">
        <f t="shared" si="331"/>
        <v>322.48020408163268</v>
      </c>
      <c r="O517">
        <f t="shared" si="331"/>
        <v>246.57612244897962</v>
      </c>
      <c r="P517">
        <f t="shared" si="331"/>
        <v>393.6</v>
      </c>
      <c r="Q517">
        <f t="shared" si="331"/>
        <v>406.02000000000004</v>
      </c>
      <c r="R517">
        <f t="shared" si="331"/>
        <v>352.24</v>
      </c>
      <c r="S517">
        <f t="shared" si="331"/>
        <v>342.2</v>
      </c>
      <c r="T517">
        <f t="shared" si="331"/>
        <v>326.43000000000006</v>
      </c>
      <c r="U517">
        <f t="shared" si="331"/>
        <v>328.51</v>
      </c>
      <c r="V517">
        <f t="shared" si="331"/>
        <v>313.71999999999997</v>
      </c>
      <c r="W517">
        <f t="shared" si="331"/>
        <v>419.23</v>
      </c>
      <c r="Y517" s="15">
        <f t="shared" si="309"/>
        <v>7196.474767219388</v>
      </c>
      <c r="Z517">
        <f>SUMPRODUCT($D$520:$S$520,D517:S517)</f>
        <v>-3.4275193663820929</v>
      </c>
    </row>
    <row r="518" spans="1:26" x14ac:dyDescent="0.25">
      <c r="A518" t="s">
        <v>308</v>
      </c>
      <c r="D518">
        <f t="shared" ref="D518:W518" si="332">D54*D199</f>
        <v>411.80339520860946</v>
      </c>
      <c r="E518">
        <f t="shared" si="332"/>
        <v>349.85999999999996</v>
      </c>
      <c r="F518">
        <f t="shared" si="332"/>
        <v>341.28000000000003</v>
      </c>
      <c r="G518">
        <f t="shared" si="332"/>
        <v>270.58000000000004</v>
      </c>
      <c r="H518">
        <f t="shared" si="332"/>
        <v>370.64</v>
      </c>
      <c r="I518">
        <f t="shared" si="332"/>
        <v>366.24</v>
      </c>
      <c r="J518">
        <f t="shared" si="332"/>
        <v>274.68000000000006</v>
      </c>
      <c r="K518">
        <f t="shared" si="332"/>
        <v>327.70000000000005</v>
      </c>
      <c r="L518">
        <f t="shared" si="332"/>
        <v>321.31</v>
      </c>
      <c r="M518">
        <f t="shared" si="332"/>
        <v>284.47999999999996</v>
      </c>
      <c r="N518">
        <f t="shared" si="332"/>
        <v>286.14000000000004</v>
      </c>
      <c r="O518">
        <f t="shared" si="332"/>
        <v>260.59000000000003</v>
      </c>
      <c r="P518">
        <f t="shared" si="332"/>
        <v>268.04333653034445</v>
      </c>
      <c r="Q518">
        <f t="shared" si="332"/>
        <v>281.18440685162443</v>
      </c>
      <c r="R518">
        <f t="shared" si="332"/>
        <v>270.9576448319155</v>
      </c>
      <c r="S518">
        <f t="shared" si="332"/>
        <v>301.98624427242646</v>
      </c>
      <c r="T518">
        <f t="shared" si="332"/>
        <v>349.8531433903355</v>
      </c>
      <c r="U518">
        <f t="shared" si="332"/>
        <v>375.40569413650695</v>
      </c>
      <c r="V518">
        <f t="shared" si="332"/>
        <v>413.08478107787437</v>
      </c>
      <c r="W518">
        <f t="shared" si="332"/>
        <v>446.076078802219</v>
      </c>
      <c r="Y518" s="15">
        <f t="shared" si="309"/>
        <v>6571.8947251018562</v>
      </c>
      <c r="Z518">
        <f>SUMPRODUCT($D$520:$S$520,D518:S518)</f>
        <v>52.443390973008952</v>
      </c>
    </row>
    <row r="519" spans="1:26" x14ac:dyDescent="0.25">
      <c r="A519" t="s">
        <v>670</v>
      </c>
      <c r="D519">
        <f t="shared" ref="D519:W519" si="333">D55*D200</f>
        <v>433.66229028778611</v>
      </c>
      <c r="E519">
        <f t="shared" si="333"/>
        <v>558.17714567536041</v>
      </c>
      <c r="F519">
        <f t="shared" si="333"/>
        <v>509.61699477201535</v>
      </c>
      <c r="G519">
        <f t="shared" si="333"/>
        <v>453.66063979238754</v>
      </c>
      <c r="H519">
        <f t="shared" si="333"/>
        <v>402.16350630550403</v>
      </c>
      <c r="I519">
        <f t="shared" si="333"/>
        <v>387.28353480653919</v>
      </c>
      <c r="J519">
        <f t="shared" si="333"/>
        <v>277.1949491259586</v>
      </c>
      <c r="K519">
        <f t="shared" si="333"/>
        <v>230.7938753620495</v>
      </c>
      <c r="L519">
        <f t="shared" si="333"/>
        <v>266.57946037948204</v>
      </c>
      <c r="M519">
        <f t="shared" si="333"/>
        <v>326.24060926515045</v>
      </c>
      <c r="N519">
        <f t="shared" si="333"/>
        <v>333.51731730574352</v>
      </c>
      <c r="O519">
        <f t="shared" si="333"/>
        <v>393.38524473642735</v>
      </c>
      <c r="P519">
        <f t="shared" si="333"/>
        <v>210.77789497586826</v>
      </c>
      <c r="Q519">
        <f t="shared" si="333"/>
        <v>225.56659547885147</v>
      </c>
      <c r="R519">
        <f t="shared" si="333"/>
        <v>290.82389466105201</v>
      </c>
      <c r="S519">
        <f t="shared" si="333"/>
        <v>314.15040439452787</v>
      </c>
      <c r="T519">
        <f t="shared" si="333"/>
        <v>278.56447444778627</v>
      </c>
      <c r="U519">
        <f t="shared" si="333"/>
        <v>319.16021465297388</v>
      </c>
      <c r="V519">
        <f t="shared" si="333"/>
        <v>312.3864694865884</v>
      </c>
      <c r="W519">
        <f t="shared" si="333"/>
        <v>380.16166189615683</v>
      </c>
      <c r="Y519" s="15">
        <f t="shared" ref="Y519" si="334">SUM(D519:W519)</f>
        <v>6903.8671778082089</v>
      </c>
      <c r="Z519">
        <f>SUMPRODUCT($D$520:$S$520,D519:S519)</f>
        <v>210.46854668574403</v>
      </c>
    </row>
    <row r="520" spans="1:26" x14ac:dyDescent="0.25">
      <c r="A520" s="2" t="s">
        <v>64</v>
      </c>
      <c r="D520" s="3">
        <f>CORREL($B$2:$B$21,D495:D514)</f>
        <v>-0.28794590617192928</v>
      </c>
      <c r="E520" s="3">
        <f t="shared" ref="E520:W520" si="335">CORREL($B$2:$B$21,E495:E514)</f>
        <v>0.41285627496661392</v>
      </c>
      <c r="F520" s="3">
        <f t="shared" si="335"/>
        <v>0.27896122297670384</v>
      </c>
      <c r="G520" s="3">
        <f t="shared" si="335"/>
        <v>0.123164237330058</v>
      </c>
      <c r="H520" s="3">
        <f t="shared" si="335"/>
        <v>0.2020342535222443</v>
      </c>
      <c r="I520" s="3">
        <f t="shared" si="335"/>
        <v>5.2852668084003893E-2</v>
      </c>
      <c r="J520" s="3">
        <f t="shared" si="335"/>
        <v>-0.20467596549073674</v>
      </c>
      <c r="K520" s="3">
        <f t="shared" si="335"/>
        <v>-1.7889325078687502E-2</v>
      </c>
      <c r="L520" s="3">
        <f t="shared" si="335"/>
        <v>-0.12373565266467755</v>
      </c>
      <c r="M520" s="3">
        <f t="shared" si="335"/>
        <v>-0.20674051725197601</v>
      </c>
      <c r="N520" s="3">
        <f t="shared" si="335"/>
        <v>-0.11195963723362751</v>
      </c>
      <c r="O520" s="3">
        <f t="shared" si="335"/>
        <v>2.8390526141030485E-2</v>
      </c>
      <c r="P520" s="3">
        <f t="shared" si="335"/>
        <v>-4.2718966764862705E-2</v>
      </c>
      <c r="Q520" s="3">
        <f t="shared" si="335"/>
        <v>-3.3756337223983482E-2</v>
      </c>
      <c r="R520" s="3">
        <f t="shared" si="335"/>
        <v>-0.13703198348397019</v>
      </c>
      <c r="S520" s="3">
        <f t="shared" si="335"/>
        <v>0.15621228711209459</v>
      </c>
      <c r="T520" s="3">
        <f t="shared" si="335"/>
        <v>-1.732938775712306E-2</v>
      </c>
      <c r="U520" s="3">
        <f t="shared" si="335"/>
        <v>5.1085243914280092E-2</v>
      </c>
      <c r="V520" s="3">
        <f t="shared" si="335"/>
        <v>-3.1686793215307534E-2</v>
      </c>
      <c r="W520" s="3">
        <f t="shared" si="335"/>
        <v>-0.15221618914488524</v>
      </c>
    </row>
    <row r="523" spans="1:26" x14ac:dyDescent="0.25">
      <c r="D523" t="s">
        <v>203</v>
      </c>
      <c r="E523" t="s">
        <v>204</v>
      </c>
      <c r="F523" t="s">
        <v>205</v>
      </c>
      <c r="G523" t="s">
        <v>206</v>
      </c>
      <c r="H523" t="s">
        <v>207</v>
      </c>
      <c r="I523" t="s">
        <v>208</v>
      </c>
      <c r="J523" t="s">
        <v>209</v>
      </c>
      <c r="K523" t="s">
        <v>210</v>
      </c>
      <c r="L523" t="s">
        <v>351</v>
      </c>
      <c r="M523" t="s">
        <v>415</v>
      </c>
      <c r="N523" t="s">
        <v>416</v>
      </c>
      <c r="O523" t="s">
        <v>417</v>
      </c>
      <c r="P523" t="s">
        <v>518</v>
      </c>
      <c r="Q523" t="s">
        <v>519</v>
      </c>
      <c r="R523" t="s">
        <v>520</v>
      </c>
      <c r="S523" t="s">
        <v>521</v>
      </c>
      <c r="T523" t="s">
        <v>630</v>
      </c>
      <c r="U523" t="s">
        <v>631</v>
      </c>
      <c r="V523" t="s">
        <v>632</v>
      </c>
      <c r="W523" t="s">
        <v>633</v>
      </c>
      <c r="Y523" t="s">
        <v>211</v>
      </c>
      <c r="Z523" t="s">
        <v>212</v>
      </c>
    </row>
    <row r="524" spans="1:26" x14ac:dyDescent="0.25">
      <c r="A524" t="s">
        <v>43</v>
      </c>
      <c r="D524">
        <f t="shared" ref="D524:W524" si="336">D60*D89</f>
        <v>1061.76</v>
      </c>
      <c r="E524">
        <f t="shared" si="336"/>
        <v>954.18367346938771</v>
      </c>
      <c r="F524">
        <f t="shared" si="336"/>
        <v>1086.0571428571429</v>
      </c>
      <c r="G524">
        <f t="shared" si="336"/>
        <v>1320.2</v>
      </c>
      <c r="H524">
        <f t="shared" si="336"/>
        <v>898.93552559703994</v>
      </c>
      <c r="I524">
        <f t="shared" si="336"/>
        <v>845.66325670331491</v>
      </c>
      <c r="J524">
        <f t="shared" si="336"/>
        <v>840.78700396887393</v>
      </c>
      <c r="K524">
        <f t="shared" si="336"/>
        <v>1066.5421046044946</v>
      </c>
      <c r="L524">
        <f t="shared" si="336"/>
        <v>1039.5124371651402</v>
      </c>
      <c r="M524">
        <f t="shared" si="336"/>
        <v>976.32464130799428</v>
      </c>
      <c r="N524">
        <f t="shared" si="336"/>
        <v>999.05559346938526</v>
      </c>
      <c r="O524">
        <f t="shared" si="336"/>
        <v>864.85636628799205</v>
      </c>
      <c r="P524">
        <f t="shared" si="336"/>
        <v>890.35256166295471</v>
      </c>
      <c r="Q524">
        <f t="shared" si="336"/>
        <v>786.66371046564302</v>
      </c>
      <c r="R524">
        <f t="shared" si="336"/>
        <v>826.883678187025</v>
      </c>
      <c r="S524">
        <f t="shared" si="336"/>
        <v>1093.2686892014408</v>
      </c>
      <c r="T524">
        <f t="shared" si="336"/>
        <v>788.57883498990645</v>
      </c>
      <c r="U524">
        <f t="shared" si="336"/>
        <v>1101.5427129921468</v>
      </c>
      <c r="V524">
        <f t="shared" si="336"/>
        <v>1373.9514878149892</v>
      </c>
      <c r="W524">
        <f t="shared" si="336"/>
        <v>1467.5090006970584</v>
      </c>
      <c r="Y524" s="15">
        <f t="shared" ref="Y524:Y547" si="337">SUM(D524:W524)</f>
        <v>20282.628421441932</v>
      </c>
      <c r="Z524">
        <f t="shared" ref="Z524:Z543" si="338">SUMPRODUCT($D$549:$S$549,D524:S524)</f>
        <v>3218.3253687086667</v>
      </c>
    </row>
    <row r="525" spans="1:26" x14ac:dyDescent="0.25">
      <c r="A525" t="s">
        <v>44</v>
      </c>
      <c r="D525">
        <f t="shared" ref="D525:W525" si="339">D61*D90</f>
        <v>1598.7673469387757</v>
      </c>
      <c r="E525">
        <f t="shared" si="339"/>
        <v>1424.457142857143</v>
      </c>
      <c r="F525">
        <f t="shared" si="339"/>
        <v>835.60408163265288</v>
      </c>
      <c r="G525">
        <f t="shared" si="339"/>
        <v>1188.2612244897959</v>
      </c>
      <c r="H525">
        <f t="shared" si="339"/>
        <v>1071.1934001968732</v>
      </c>
      <c r="I525">
        <f t="shared" si="339"/>
        <v>998.60081915268188</v>
      </c>
      <c r="J525">
        <f t="shared" si="339"/>
        <v>797.12033236511536</v>
      </c>
      <c r="K525">
        <f t="shared" si="339"/>
        <v>983.22355066126966</v>
      </c>
      <c r="L525">
        <f t="shared" si="339"/>
        <v>860.34009080288001</v>
      </c>
      <c r="M525">
        <f t="shared" si="339"/>
        <v>861.75257229007934</v>
      </c>
      <c r="N525">
        <f t="shared" si="339"/>
        <v>965.8662730958323</v>
      </c>
      <c r="O525">
        <f t="shared" si="339"/>
        <v>794.46641537951723</v>
      </c>
      <c r="P525">
        <f t="shared" si="339"/>
        <v>754.05249516354354</v>
      </c>
      <c r="Q525">
        <f t="shared" si="339"/>
        <v>812.46323932831262</v>
      </c>
      <c r="R525">
        <f t="shared" si="339"/>
        <v>850.36661750354335</v>
      </c>
      <c r="S525">
        <f t="shared" si="339"/>
        <v>806.76787542020793</v>
      </c>
      <c r="T525">
        <f t="shared" si="339"/>
        <v>972.50209861008102</v>
      </c>
      <c r="U525">
        <f t="shared" si="339"/>
        <v>820.07200086076432</v>
      </c>
      <c r="V525">
        <f t="shared" si="339"/>
        <v>1093.9288233812663</v>
      </c>
      <c r="W525">
        <f t="shared" si="339"/>
        <v>1246.45202612718</v>
      </c>
      <c r="Y525" s="15">
        <f t="shared" si="337"/>
        <v>19736.258426257511</v>
      </c>
      <c r="Z525">
        <f t="shared" si="338"/>
        <v>3476.2935880590576</v>
      </c>
    </row>
    <row r="526" spans="1:26" x14ac:dyDescent="0.25">
      <c r="A526" t="s">
        <v>45</v>
      </c>
      <c r="D526">
        <f t="shared" ref="D526:W526" si="340">D62*D91</f>
        <v>1777.96107908811</v>
      </c>
      <c r="E526">
        <f t="shared" si="340"/>
        <v>1092.2204081632653</v>
      </c>
      <c r="F526">
        <f t="shared" si="340"/>
        <v>1343.5918367346942</v>
      </c>
      <c r="G526">
        <f t="shared" si="340"/>
        <v>990.23673469387745</v>
      </c>
      <c r="H526">
        <f t="shared" si="340"/>
        <v>1213.5319385558319</v>
      </c>
      <c r="I526">
        <f t="shared" si="340"/>
        <v>987.75987245840849</v>
      </c>
      <c r="J526">
        <f t="shared" si="340"/>
        <v>780.76191112611798</v>
      </c>
      <c r="K526">
        <f t="shared" si="340"/>
        <v>1056.2995481207292</v>
      </c>
      <c r="L526">
        <f t="shared" si="340"/>
        <v>788.35619422956938</v>
      </c>
      <c r="M526">
        <f t="shared" si="340"/>
        <v>706.8996670735371</v>
      </c>
      <c r="N526">
        <f t="shared" si="340"/>
        <v>783.49449458504353</v>
      </c>
      <c r="O526">
        <f t="shared" si="340"/>
        <v>813.76141225415097</v>
      </c>
      <c r="P526">
        <f t="shared" si="340"/>
        <v>730.81287539733205</v>
      </c>
      <c r="Q526">
        <f t="shared" si="340"/>
        <v>742.12098928690432</v>
      </c>
      <c r="R526">
        <f t="shared" si="340"/>
        <v>765.05839439324131</v>
      </c>
      <c r="S526">
        <f t="shared" si="340"/>
        <v>872.81536561601911</v>
      </c>
      <c r="T526">
        <f t="shared" si="340"/>
        <v>1000.0939277731026</v>
      </c>
      <c r="U526">
        <f t="shared" si="340"/>
        <v>1516.8558576109367</v>
      </c>
      <c r="V526">
        <f t="shared" si="340"/>
        <v>1144.6483605137862</v>
      </c>
      <c r="W526">
        <f t="shared" si="340"/>
        <v>1302.9136900817177</v>
      </c>
      <c r="Y526" s="15">
        <f t="shared" si="337"/>
        <v>20410.194557756375</v>
      </c>
      <c r="Z526">
        <f t="shared" si="338"/>
        <v>3591.4274994640323</v>
      </c>
    </row>
    <row r="527" spans="1:26" x14ac:dyDescent="0.25">
      <c r="A527" t="s">
        <v>46</v>
      </c>
      <c r="D527">
        <f t="shared" ref="D527:W527" si="341">D63*D92</f>
        <v>1332.7717669889053</v>
      </c>
      <c r="E527">
        <f t="shared" si="341"/>
        <v>932.39129338355167</v>
      </c>
      <c r="F527">
        <f t="shared" si="341"/>
        <v>809.85375219298976</v>
      </c>
      <c r="G527">
        <f t="shared" si="341"/>
        <v>851.87530123318879</v>
      </c>
      <c r="H527">
        <f t="shared" si="341"/>
        <v>654.01449090419965</v>
      </c>
      <c r="I527">
        <f t="shared" si="341"/>
        <v>872.55857376296819</v>
      </c>
      <c r="J527">
        <f t="shared" si="341"/>
        <v>812.07560758395107</v>
      </c>
      <c r="K527">
        <f t="shared" si="341"/>
        <v>1042.0418405363016</v>
      </c>
      <c r="L527">
        <f t="shared" si="341"/>
        <v>760.67435091853611</v>
      </c>
      <c r="M527">
        <f t="shared" si="341"/>
        <v>973.44000959395953</v>
      </c>
      <c r="N527">
        <f t="shared" si="341"/>
        <v>814.3039991159103</v>
      </c>
      <c r="O527">
        <f t="shared" si="341"/>
        <v>935.11027338636086</v>
      </c>
      <c r="P527">
        <f t="shared" si="341"/>
        <v>953.12341242261266</v>
      </c>
      <c r="Q527">
        <f t="shared" si="341"/>
        <v>1186.8466239947838</v>
      </c>
      <c r="R527">
        <f t="shared" si="341"/>
        <v>828.67160520220796</v>
      </c>
      <c r="S527">
        <f t="shared" si="341"/>
        <v>774.4639044969955</v>
      </c>
      <c r="T527">
        <f t="shared" si="341"/>
        <v>922.74772542141102</v>
      </c>
      <c r="U527">
        <f t="shared" si="341"/>
        <v>965.44991370659648</v>
      </c>
      <c r="V527">
        <f t="shared" si="341"/>
        <v>963.46947948067725</v>
      </c>
      <c r="W527">
        <f t="shared" si="341"/>
        <v>1257.1365302909869</v>
      </c>
      <c r="Y527" s="15">
        <f t="shared" si="337"/>
        <v>18643.020454617097</v>
      </c>
      <c r="Z527">
        <f t="shared" si="338"/>
        <v>2616.8369463038994</v>
      </c>
    </row>
    <row r="528" spans="1:26" x14ac:dyDescent="0.25">
      <c r="A528" t="s">
        <v>47</v>
      </c>
      <c r="D528">
        <f t="shared" ref="D528:W528" si="342">D64*D93</f>
        <v>1779.5616129834916</v>
      </c>
      <c r="E528">
        <f t="shared" si="342"/>
        <v>1451.1676460975161</v>
      </c>
      <c r="F528">
        <f t="shared" si="342"/>
        <v>1141.9774362276014</v>
      </c>
      <c r="G528">
        <f t="shared" si="342"/>
        <v>1200.4230398021134</v>
      </c>
      <c r="H528">
        <f t="shared" si="342"/>
        <v>1210.1245814103215</v>
      </c>
      <c r="I528">
        <f t="shared" si="342"/>
        <v>1127.8266330756564</v>
      </c>
      <c r="J528">
        <f t="shared" si="342"/>
        <v>817.41931378721767</v>
      </c>
      <c r="K528">
        <f t="shared" si="342"/>
        <v>1221.3730980508742</v>
      </c>
      <c r="L528">
        <f t="shared" si="342"/>
        <v>1201.1855704212508</v>
      </c>
      <c r="M528">
        <f t="shared" si="342"/>
        <v>939.75751850868301</v>
      </c>
      <c r="N528">
        <f t="shared" si="342"/>
        <v>1035.5771834750972</v>
      </c>
      <c r="O528">
        <f t="shared" si="342"/>
        <v>956.63536933747969</v>
      </c>
      <c r="P528">
        <f t="shared" si="342"/>
        <v>934.32121212394929</v>
      </c>
      <c r="Q528">
        <f t="shared" si="342"/>
        <v>936.08911192484868</v>
      </c>
      <c r="R528">
        <f t="shared" si="342"/>
        <v>770.47728659762481</v>
      </c>
      <c r="S528">
        <f t="shared" si="342"/>
        <v>1023.8545513674911</v>
      </c>
      <c r="T528">
        <f t="shared" si="342"/>
        <v>752.36997286938254</v>
      </c>
      <c r="U528">
        <f t="shared" si="342"/>
        <v>1033.8766798905031</v>
      </c>
      <c r="V528">
        <f t="shared" si="342"/>
        <v>1049.8901233964227</v>
      </c>
      <c r="W528">
        <f t="shared" si="342"/>
        <v>1213.529000260881</v>
      </c>
      <c r="Y528" s="15">
        <f t="shared" si="337"/>
        <v>21797.436941608405</v>
      </c>
      <c r="Z528">
        <f t="shared" si="338"/>
        <v>3946.7648040417389</v>
      </c>
    </row>
    <row r="529" spans="1:26" x14ac:dyDescent="0.25">
      <c r="A529" t="s">
        <v>48</v>
      </c>
      <c r="D529">
        <f t="shared" ref="D529:W529" si="343">D65*D94</f>
        <v>1751.8474487758406</v>
      </c>
      <c r="E529">
        <f t="shared" si="343"/>
        <v>1437.4999558719157</v>
      </c>
      <c r="F529">
        <f t="shared" si="343"/>
        <v>1401.7515813548173</v>
      </c>
      <c r="G529">
        <f t="shared" si="343"/>
        <v>1433.7721498481485</v>
      </c>
      <c r="H529">
        <f t="shared" si="343"/>
        <v>1447.3469959162364</v>
      </c>
      <c r="I529">
        <f t="shared" si="343"/>
        <v>1344.6714575363501</v>
      </c>
      <c r="J529">
        <f t="shared" si="343"/>
        <v>1027.5581287224256</v>
      </c>
      <c r="K529">
        <f t="shared" si="343"/>
        <v>1248.6934058841266</v>
      </c>
      <c r="L529">
        <f t="shared" si="343"/>
        <v>976.41782630469447</v>
      </c>
      <c r="M529">
        <f t="shared" si="343"/>
        <v>1065.6895885542715</v>
      </c>
      <c r="N529">
        <f t="shared" si="343"/>
        <v>1116.5200220115642</v>
      </c>
      <c r="O529">
        <f t="shared" si="343"/>
        <v>553.12797321409914</v>
      </c>
      <c r="P529">
        <f t="shared" si="343"/>
        <v>771.56090011784374</v>
      </c>
      <c r="Q529">
        <f t="shared" si="343"/>
        <v>1062.3128637015986</v>
      </c>
      <c r="R529">
        <f t="shared" si="343"/>
        <v>677.36261222781866</v>
      </c>
      <c r="S529">
        <f t="shared" si="343"/>
        <v>1136.8352626032784</v>
      </c>
      <c r="T529">
        <f t="shared" si="343"/>
        <v>783.36800509210445</v>
      </c>
      <c r="U529">
        <f t="shared" si="343"/>
        <v>739.99678774819188</v>
      </c>
      <c r="V529">
        <f t="shared" si="343"/>
        <v>1027.2689062472539</v>
      </c>
      <c r="W529">
        <f t="shared" si="343"/>
        <v>1277.8844436217587</v>
      </c>
      <c r="Y529" s="15">
        <f t="shared" si="337"/>
        <v>22281.486315354334</v>
      </c>
      <c r="Z529">
        <f t="shared" si="338"/>
        <v>4670.601566204783</v>
      </c>
    </row>
    <row r="530" spans="1:26" x14ac:dyDescent="0.25">
      <c r="A530" t="s">
        <v>49</v>
      </c>
      <c r="D530">
        <f t="shared" ref="D530:W530" si="344">D66*D95</f>
        <v>1707.9073538939117</v>
      </c>
      <c r="E530">
        <f t="shared" si="344"/>
        <v>1477.9447838404019</v>
      </c>
      <c r="F530">
        <f t="shared" si="344"/>
        <v>1266.1502588514429</v>
      </c>
      <c r="G530">
        <f t="shared" si="344"/>
        <v>1213.5755506121466</v>
      </c>
      <c r="H530">
        <f t="shared" si="344"/>
        <v>982.69845499605481</v>
      </c>
      <c r="I530">
        <f t="shared" si="344"/>
        <v>793.71632459903958</v>
      </c>
      <c r="J530">
        <f t="shared" si="344"/>
        <v>803.54383751471175</v>
      </c>
      <c r="K530">
        <f t="shared" si="344"/>
        <v>935.93131831291282</v>
      </c>
      <c r="L530">
        <f t="shared" si="344"/>
        <v>516.10850990254494</v>
      </c>
      <c r="M530">
        <f t="shared" si="344"/>
        <v>758.72598192090845</v>
      </c>
      <c r="N530">
        <f t="shared" si="344"/>
        <v>807.60202873574156</v>
      </c>
      <c r="O530">
        <f t="shared" si="344"/>
        <v>1027.6472008722606</v>
      </c>
      <c r="P530">
        <f t="shared" si="344"/>
        <v>819.32343764611039</v>
      </c>
      <c r="Q530">
        <f t="shared" si="344"/>
        <v>734.43303039682394</v>
      </c>
      <c r="R530">
        <f t="shared" si="344"/>
        <v>1082.5392548854536</v>
      </c>
      <c r="S530">
        <f t="shared" si="344"/>
        <v>1256.2848309447941</v>
      </c>
      <c r="T530">
        <f t="shared" si="344"/>
        <v>1194.6015263329796</v>
      </c>
      <c r="U530">
        <f t="shared" si="344"/>
        <v>1368.3275581558373</v>
      </c>
      <c r="V530">
        <f t="shared" si="344"/>
        <v>1370.5135788125406</v>
      </c>
      <c r="W530">
        <f t="shared" si="344"/>
        <v>1159.4568581407914</v>
      </c>
      <c r="Y530" s="15">
        <f t="shared" si="337"/>
        <v>21277.03167936741</v>
      </c>
      <c r="Z530">
        <f t="shared" si="338"/>
        <v>3428.4830845267793</v>
      </c>
    </row>
    <row r="531" spans="1:26" x14ac:dyDescent="0.25">
      <c r="A531" t="s">
        <v>50</v>
      </c>
      <c r="D531">
        <f t="shared" ref="D531:W531" si="345">D67*D96</f>
        <v>1486.1493576374924</v>
      </c>
      <c r="E531">
        <f t="shared" si="345"/>
        <v>1366.9346938775509</v>
      </c>
      <c r="F531">
        <f t="shared" si="345"/>
        <v>1183.2489795918366</v>
      </c>
      <c r="G531">
        <f t="shared" si="345"/>
        <v>1158.1102040816327</v>
      </c>
      <c r="H531">
        <f t="shared" si="345"/>
        <v>1379.8883123086982</v>
      </c>
      <c r="I531">
        <f t="shared" si="345"/>
        <v>989.49814691569998</v>
      </c>
      <c r="J531">
        <f t="shared" si="345"/>
        <v>779.28364775311547</v>
      </c>
      <c r="K531">
        <f t="shared" si="345"/>
        <v>595.55192960771171</v>
      </c>
      <c r="L531">
        <f t="shared" si="345"/>
        <v>691.04895033898845</v>
      </c>
      <c r="M531">
        <f t="shared" si="345"/>
        <v>468.23510381598533</v>
      </c>
      <c r="N531">
        <f t="shared" si="345"/>
        <v>794.6465212388099</v>
      </c>
      <c r="O531">
        <f t="shared" si="345"/>
        <v>651.0089669436353</v>
      </c>
      <c r="P531">
        <f t="shared" si="345"/>
        <v>805.49801433543848</v>
      </c>
      <c r="Q531">
        <f t="shared" si="345"/>
        <v>929.56960949944107</v>
      </c>
      <c r="R531">
        <f t="shared" si="345"/>
        <v>885.29399907444827</v>
      </c>
      <c r="S531">
        <f t="shared" si="345"/>
        <v>710.19789157069727</v>
      </c>
      <c r="T531">
        <f t="shared" si="345"/>
        <v>762.98681509357493</v>
      </c>
      <c r="U531">
        <f t="shared" si="345"/>
        <v>658.14861063280352</v>
      </c>
      <c r="V531">
        <f t="shared" si="345"/>
        <v>1186.5352928243708</v>
      </c>
      <c r="W531">
        <f t="shared" si="345"/>
        <v>1420.9292194956522</v>
      </c>
      <c r="Y531" s="15">
        <f t="shared" si="337"/>
        <v>18902.76426663758</v>
      </c>
      <c r="Z531">
        <f t="shared" si="338"/>
        <v>3759.5848537757547</v>
      </c>
    </row>
    <row r="532" spans="1:26" x14ac:dyDescent="0.25">
      <c r="A532" t="s">
        <v>51</v>
      </c>
      <c r="D532">
        <f t="shared" ref="D532:W532" si="346">D68*D97</f>
        <v>1217.4163634085398</v>
      </c>
      <c r="E532">
        <f t="shared" si="346"/>
        <v>1177.2094070226497</v>
      </c>
      <c r="F532">
        <f t="shared" si="346"/>
        <v>1471.2781795177195</v>
      </c>
      <c r="G532">
        <f t="shared" si="346"/>
        <v>1260.0373212101601</v>
      </c>
      <c r="H532">
        <f t="shared" si="346"/>
        <v>1069.8806440991839</v>
      </c>
      <c r="I532">
        <f t="shared" si="346"/>
        <v>473.90311868428398</v>
      </c>
      <c r="J532">
        <f t="shared" si="346"/>
        <v>933.48664713779522</v>
      </c>
      <c r="K532">
        <f t="shared" si="346"/>
        <v>838.68089816577822</v>
      </c>
      <c r="L532">
        <f t="shared" si="346"/>
        <v>729.88099490792183</v>
      </c>
      <c r="M532">
        <f t="shared" si="346"/>
        <v>799.99874116489525</v>
      </c>
      <c r="N532">
        <f t="shared" si="346"/>
        <v>695.9613195633317</v>
      </c>
      <c r="O532">
        <f t="shared" si="346"/>
        <v>869.36814085055448</v>
      </c>
      <c r="P532">
        <f t="shared" si="346"/>
        <v>505.02581252365587</v>
      </c>
      <c r="Q532">
        <f t="shared" si="346"/>
        <v>592.25989482246871</v>
      </c>
      <c r="R532">
        <f t="shared" si="346"/>
        <v>614.27164131670963</v>
      </c>
      <c r="S532">
        <f t="shared" si="346"/>
        <v>676.34190953554878</v>
      </c>
      <c r="T532">
        <f t="shared" si="346"/>
        <v>1045.4532447309575</v>
      </c>
      <c r="U532">
        <f t="shared" si="346"/>
        <v>618.1163691456793</v>
      </c>
      <c r="V532">
        <f t="shared" si="346"/>
        <v>838.32967890726172</v>
      </c>
      <c r="W532">
        <f t="shared" si="346"/>
        <v>1189.7238287385542</v>
      </c>
      <c r="Y532" s="15">
        <f t="shared" si="337"/>
        <v>17616.62415545365</v>
      </c>
      <c r="Z532">
        <f t="shared" si="338"/>
        <v>3384.7042492753931</v>
      </c>
    </row>
    <row r="533" spans="1:26" x14ac:dyDescent="0.25">
      <c r="A533" t="s">
        <v>52</v>
      </c>
      <c r="D533">
        <f t="shared" ref="D533:W533" si="347">D69*D98</f>
        <v>1513.7738513948307</v>
      </c>
      <c r="E533">
        <f t="shared" si="347"/>
        <v>1001.9567576074644</v>
      </c>
      <c r="F533">
        <f t="shared" si="347"/>
        <v>1141.1513423780193</v>
      </c>
      <c r="G533">
        <f t="shared" si="347"/>
        <v>1100.6968692064402</v>
      </c>
      <c r="H533">
        <f t="shared" si="347"/>
        <v>877.84156733136183</v>
      </c>
      <c r="I533">
        <f t="shared" si="347"/>
        <v>1056.2754230248063</v>
      </c>
      <c r="J533">
        <f t="shared" si="347"/>
        <v>807.84713647736362</v>
      </c>
      <c r="K533">
        <f t="shared" si="347"/>
        <v>827.39001454578295</v>
      </c>
      <c r="L533">
        <f t="shared" si="347"/>
        <v>725.75214368432557</v>
      </c>
      <c r="M533">
        <f t="shared" si="347"/>
        <v>766.66519918094912</v>
      </c>
      <c r="N533">
        <f t="shared" si="347"/>
        <v>758.34264771887877</v>
      </c>
      <c r="O533">
        <f t="shared" si="347"/>
        <v>834.5190137219123</v>
      </c>
      <c r="P533">
        <f t="shared" si="347"/>
        <v>721.44975488399655</v>
      </c>
      <c r="Q533">
        <f t="shared" si="347"/>
        <v>661.34120070976701</v>
      </c>
      <c r="R533">
        <f t="shared" si="347"/>
        <v>665.798913159785</v>
      </c>
      <c r="S533">
        <f t="shared" si="347"/>
        <v>756.684698017919</v>
      </c>
      <c r="T533">
        <f t="shared" si="347"/>
        <v>1100.9699512271204</v>
      </c>
      <c r="U533">
        <f t="shared" si="347"/>
        <v>973.85584890645794</v>
      </c>
      <c r="V533">
        <f t="shared" si="347"/>
        <v>906.9986588871227</v>
      </c>
      <c r="W533">
        <f t="shared" si="347"/>
        <v>1039.5426839975173</v>
      </c>
      <c r="Y533" s="15">
        <f t="shared" si="337"/>
        <v>18238.853676061823</v>
      </c>
      <c r="Z533">
        <f t="shared" si="338"/>
        <v>3180.4170360865628</v>
      </c>
    </row>
    <row r="534" spans="1:26" x14ac:dyDescent="0.25">
      <c r="A534" t="s">
        <v>53</v>
      </c>
      <c r="D534">
        <f t="shared" ref="D534:W534" si="348">D70*D99</f>
        <v>1182.3144049885821</v>
      </c>
      <c r="E534">
        <f t="shared" si="348"/>
        <v>1317.894817199561</v>
      </c>
      <c r="F534">
        <f t="shared" si="348"/>
        <v>1154.2056563947719</v>
      </c>
      <c r="G534">
        <f t="shared" si="348"/>
        <v>1127.1186991933087</v>
      </c>
      <c r="H534">
        <f t="shared" si="348"/>
        <v>1035.080365401001</v>
      </c>
      <c r="I534">
        <f t="shared" si="348"/>
        <v>814.74029278480225</v>
      </c>
      <c r="J534">
        <f t="shared" si="348"/>
        <v>723.27924280434081</v>
      </c>
      <c r="K534">
        <f t="shared" si="348"/>
        <v>883.35762923678624</v>
      </c>
      <c r="L534">
        <f t="shared" si="348"/>
        <v>724.79039585466467</v>
      </c>
      <c r="M534">
        <f t="shared" si="348"/>
        <v>1072.9676408424516</v>
      </c>
      <c r="N534">
        <f t="shared" si="348"/>
        <v>1236.4221343771312</v>
      </c>
      <c r="O534">
        <f t="shared" si="348"/>
        <v>761.928955617253</v>
      </c>
      <c r="P534">
        <f t="shared" si="348"/>
        <v>1116.5282098709793</v>
      </c>
      <c r="Q534">
        <f t="shared" si="348"/>
        <v>1102.3733132374546</v>
      </c>
      <c r="R534">
        <f t="shared" si="348"/>
        <v>1319.984323443877</v>
      </c>
      <c r="S534">
        <f t="shared" si="348"/>
        <v>990.71496949817708</v>
      </c>
      <c r="T534">
        <f t="shared" si="348"/>
        <v>1207.9140093043534</v>
      </c>
      <c r="U534">
        <f t="shared" si="348"/>
        <v>972.67597219928371</v>
      </c>
      <c r="V534">
        <f t="shared" si="348"/>
        <v>1074.8980294770511</v>
      </c>
      <c r="W534">
        <f t="shared" si="348"/>
        <v>1230.1359809451035</v>
      </c>
      <c r="Y534" s="15">
        <f t="shared" si="337"/>
        <v>21049.325042670935</v>
      </c>
      <c r="Z534">
        <f t="shared" si="338"/>
        <v>3347.4967842898036</v>
      </c>
    </row>
    <row r="535" spans="1:26" x14ac:dyDescent="0.25">
      <c r="A535" t="s">
        <v>54</v>
      </c>
      <c r="D535">
        <f t="shared" ref="D535:W535" si="349">D71*D100</f>
        <v>1425.0726242877047</v>
      </c>
      <c r="E535">
        <f t="shared" si="349"/>
        <v>1525.8446759271785</v>
      </c>
      <c r="F535">
        <f t="shared" si="349"/>
        <v>1342.3489416386108</v>
      </c>
      <c r="G535">
        <f t="shared" si="349"/>
        <v>1247.2229550677846</v>
      </c>
      <c r="H535">
        <f t="shared" si="349"/>
        <v>1288.0220555394937</v>
      </c>
      <c r="I535">
        <f t="shared" si="349"/>
        <v>1416.6302085369682</v>
      </c>
      <c r="J535">
        <f t="shared" si="349"/>
        <v>1079.3096863250237</v>
      </c>
      <c r="K535">
        <f t="shared" si="349"/>
        <v>888.29518200947177</v>
      </c>
      <c r="L535">
        <f t="shared" si="349"/>
        <v>789.3168744059459</v>
      </c>
      <c r="M535">
        <f t="shared" si="349"/>
        <v>1003.832066910715</v>
      </c>
      <c r="N535">
        <f t="shared" si="349"/>
        <v>862.82974589837897</v>
      </c>
      <c r="O535">
        <f t="shared" si="349"/>
        <v>902.25371328190909</v>
      </c>
      <c r="P535">
        <f t="shared" si="349"/>
        <v>814.68726922759834</v>
      </c>
      <c r="Q535">
        <f t="shared" si="349"/>
        <v>946.87166049185282</v>
      </c>
      <c r="R535">
        <f t="shared" si="349"/>
        <v>666.0014688182614</v>
      </c>
      <c r="S535">
        <f t="shared" si="349"/>
        <v>1020.534555302504</v>
      </c>
      <c r="T535">
        <f t="shared" si="349"/>
        <v>1040.550013236161</v>
      </c>
      <c r="U535">
        <f t="shared" si="349"/>
        <v>984.23055960917156</v>
      </c>
      <c r="V535">
        <f t="shared" si="349"/>
        <v>597.53136689858206</v>
      </c>
      <c r="W535">
        <f t="shared" si="349"/>
        <v>942.47233897007231</v>
      </c>
      <c r="Y535" s="15">
        <f t="shared" si="337"/>
        <v>20783.85796238339</v>
      </c>
      <c r="Z535">
        <f t="shared" si="338"/>
        <v>4249.337463578916</v>
      </c>
    </row>
    <row r="536" spans="1:26" x14ac:dyDescent="0.25">
      <c r="A536" t="s">
        <v>55</v>
      </c>
      <c r="D536">
        <f t="shared" ref="D536:W536" si="350">D72*D101</f>
        <v>1279.6072633633466</v>
      </c>
      <c r="E536">
        <f t="shared" si="350"/>
        <v>1128.57749591626</v>
      </c>
      <c r="F536">
        <f t="shared" si="350"/>
        <v>1694.3830028412294</v>
      </c>
      <c r="G536">
        <f t="shared" si="350"/>
        <v>1409.1439830053528</v>
      </c>
      <c r="H536">
        <f t="shared" si="350"/>
        <v>1223.9551647466524</v>
      </c>
      <c r="I536">
        <f t="shared" si="350"/>
        <v>1088.3004101126444</v>
      </c>
      <c r="J536">
        <f t="shared" si="350"/>
        <v>1147.6908203435621</v>
      </c>
      <c r="K536">
        <f t="shared" si="350"/>
        <v>946.97183417262352</v>
      </c>
      <c r="L536">
        <f t="shared" si="350"/>
        <v>989.58640736367386</v>
      </c>
      <c r="M536">
        <f t="shared" si="350"/>
        <v>742.89656654418036</v>
      </c>
      <c r="N536">
        <f t="shared" si="350"/>
        <v>930.70562916157803</v>
      </c>
      <c r="O536">
        <f t="shared" si="350"/>
        <v>626.33239759014839</v>
      </c>
      <c r="P536">
        <f t="shared" si="350"/>
        <v>810.37285497635014</v>
      </c>
      <c r="Q536">
        <f t="shared" si="350"/>
        <v>938.35708628534439</v>
      </c>
      <c r="R536">
        <f t="shared" si="350"/>
        <v>1108.7364319226374</v>
      </c>
      <c r="S536">
        <f t="shared" si="350"/>
        <v>1077.3615764922815</v>
      </c>
      <c r="T536">
        <f t="shared" si="350"/>
        <v>544.75456310351012</v>
      </c>
      <c r="U536">
        <f t="shared" si="350"/>
        <v>999.11947407936805</v>
      </c>
      <c r="V536">
        <f t="shared" si="350"/>
        <v>1440.0106097053779</v>
      </c>
      <c r="W536">
        <f t="shared" si="350"/>
        <v>1069.1043438512077</v>
      </c>
      <c r="Y536" s="15">
        <f t="shared" si="337"/>
        <v>21195.96791557733</v>
      </c>
      <c r="Z536">
        <f t="shared" si="338"/>
        <v>4161.0865927744117</v>
      </c>
    </row>
    <row r="537" spans="1:26" x14ac:dyDescent="0.25">
      <c r="A537" t="s">
        <v>56</v>
      </c>
      <c r="D537">
        <f t="shared" ref="D537:W537" si="351">D73*D102</f>
        <v>1449.1894639779698</v>
      </c>
      <c r="E537">
        <f t="shared" si="351"/>
        <v>1269.073469387755</v>
      </c>
      <c r="F537">
        <f t="shared" si="351"/>
        <v>1228.9836734693879</v>
      </c>
      <c r="G537">
        <f t="shared" si="351"/>
        <v>1163.6285714285714</v>
      </c>
      <c r="H537">
        <f t="shared" si="351"/>
        <v>1217.674101070327</v>
      </c>
      <c r="I537">
        <f t="shared" si="351"/>
        <v>1266.580230269265</v>
      </c>
      <c r="J537">
        <f t="shared" si="351"/>
        <v>1261.825487119165</v>
      </c>
      <c r="K537">
        <f t="shared" si="351"/>
        <v>1155.907011531993</v>
      </c>
      <c r="L537">
        <f t="shared" si="351"/>
        <v>1300.8943200860658</v>
      </c>
      <c r="M537">
        <f t="shared" si="351"/>
        <v>800.1735892327489</v>
      </c>
      <c r="N537">
        <f t="shared" si="351"/>
        <v>828.41561911139684</v>
      </c>
      <c r="O537">
        <f t="shared" si="351"/>
        <v>873.82102476640546</v>
      </c>
      <c r="P537">
        <f t="shared" si="351"/>
        <v>878.16544604767307</v>
      </c>
      <c r="Q537">
        <f t="shared" si="351"/>
        <v>864.6879806591952</v>
      </c>
      <c r="R537">
        <f t="shared" si="351"/>
        <v>1198.5019102075687</v>
      </c>
      <c r="S537">
        <f t="shared" si="351"/>
        <v>1221.5723611374901</v>
      </c>
      <c r="T537">
        <f t="shared" si="351"/>
        <v>1422.2857627425735</v>
      </c>
      <c r="U537">
        <f t="shared" si="351"/>
        <v>1329.8360085777024</v>
      </c>
      <c r="V537">
        <f t="shared" si="351"/>
        <v>1057.3314611205863</v>
      </c>
      <c r="W537">
        <f t="shared" si="351"/>
        <v>1291.2259481087062</v>
      </c>
      <c r="Y537" s="15">
        <f t="shared" si="337"/>
        <v>23079.773440052544</v>
      </c>
      <c r="Z537">
        <f t="shared" si="338"/>
        <v>4014.3267346623907</v>
      </c>
    </row>
    <row r="538" spans="1:26" x14ac:dyDescent="0.25">
      <c r="A538" t="s">
        <v>57</v>
      </c>
      <c r="D538">
        <f t="shared" ref="D538:W538" si="352">D74*D103</f>
        <v>1293.4183673469386</v>
      </c>
      <c r="E538">
        <f t="shared" si="352"/>
        <v>1481.1428571428571</v>
      </c>
      <c r="F538">
        <f t="shared" si="352"/>
        <v>1442.4</v>
      </c>
      <c r="G538">
        <f t="shared" si="352"/>
        <v>1520.4918367346938</v>
      </c>
      <c r="H538">
        <f t="shared" si="352"/>
        <v>1314.9790987778513</v>
      </c>
      <c r="I538">
        <f t="shared" si="352"/>
        <v>1262.0751347568214</v>
      </c>
      <c r="J538">
        <f t="shared" si="352"/>
        <v>1148.6170212494451</v>
      </c>
      <c r="K538">
        <f t="shared" si="352"/>
        <v>1117.9803815771947</v>
      </c>
      <c r="L538">
        <f t="shared" si="352"/>
        <v>1317.1273406879313</v>
      </c>
      <c r="M538">
        <f t="shared" si="352"/>
        <v>815.27399422429733</v>
      </c>
      <c r="N538">
        <f t="shared" si="352"/>
        <v>861.85055201009311</v>
      </c>
      <c r="O538">
        <f t="shared" si="352"/>
        <v>833.68038909641996</v>
      </c>
      <c r="P538">
        <f t="shared" si="352"/>
        <v>786.07839026403485</v>
      </c>
      <c r="Q538">
        <f t="shared" si="352"/>
        <v>852.38609744433359</v>
      </c>
      <c r="R538">
        <f t="shared" si="352"/>
        <v>792.67260139257871</v>
      </c>
      <c r="S538">
        <f t="shared" si="352"/>
        <v>885.37865160898525</v>
      </c>
      <c r="T538">
        <f t="shared" si="352"/>
        <v>956.39679489218054</v>
      </c>
      <c r="U538">
        <f t="shared" si="352"/>
        <v>957.2545754983596</v>
      </c>
      <c r="V538">
        <f t="shared" si="352"/>
        <v>1066.32508052602</v>
      </c>
      <c r="W538">
        <f t="shared" si="352"/>
        <v>1238.2736287297112</v>
      </c>
      <c r="Y538" s="15">
        <f t="shared" si="337"/>
        <v>21943.802793960753</v>
      </c>
      <c r="Z538">
        <f t="shared" si="338"/>
        <v>4441.1980998437975</v>
      </c>
    </row>
    <row r="539" spans="1:26" x14ac:dyDescent="0.25">
      <c r="A539" t="s">
        <v>58</v>
      </c>
      <c r="D539">
        <f t="shared" ref="D539:W539" si="353">D75*D104</f>
        <v>1553.538775510204</v>
      </c>
      <c r="E539">
        <f t="shared" si="353"/>
        <v>1709.8530612244899</v>
      </c>
      <c r="F539">
        <f t="shared" si="353"/>
        <v>1300.9183673469388</v>
      </c>
      <c r="G539">
        <f t="shared" si="353"/>
        <v>954.71632653061226</v>
      </c>
      <c r="H539">
        <f t="shared" si="353"/>
        <v>1440.7579527261682</v>
      </c>
      <c r="I539">
        <f t="shared" si="353"/>
        <v>1274.5981097877675</v>
      </c>
      <c r="J539">
        <f t="shared" si="353"/>
        <v>965.89949426541716</v>
      </c>
      <c r="K539">
        <f t="shared" si="353"/>
        <v>927.79830329952881</v>
      </c>
      <c r="L539">
        <f t="shared" si="353"/>
        <v>1030.0853980593897</v>
      </c>
      <c r="M539">
        <f t="shared" si="353"/>
        <v>880.20311969895158</v>
      </c>
      <c r="N539">
        <f t="shared" si="353"/>
        <v>939.27122853227559</v>
      </c>
      <c r="O539">
        <f t="shared" si="353"/>
        <v>969.91109316650522</v>
      </c>
      <c r="P539">
        <f t="shared" si="353"/>
        <v>627.42485895059735</v>
      </c>
      <c r="Q539">
        <f t="shared" si="353"/>
        <v>734.57201476288299</v>
      </c>
      <c r="R539">
        <f t="shared" si="353"/>
        <v>551.67382453800326</v>
      </c>
      <c r="S539">
        <f t="shared" si="353"/>
        <v>827.23988948952604</v>
      </c>
      <c r="T539">
        <f t="shared" si="353"/>
        <v>963.56918371485801</v>
      </c>
      <c r="U539">
        <f t="shared" si="353"/>
        <v>850.26862870979562</v>
      </c>
      <c r="V539">
        <f t="shared" si="353"/>
        <v>1128.4350986888328</v>
      </c>
      <c r="W539">
        <f t="shared" si="353"/>
        <v>1277.8372033896464</v>
      </c>
      <c r="Y539" s="15">
        <f t="shared" si="337"/>
        <v>20908.571932392391</v>
      </c>
      <c r="Z539">
        <f t="shared" si="338"/>
        <v>4256.6346412372377</v>
      </c>
    </row>
    <row r="540" spans="1:26" x14ac:dyDescent="0.25">
      <c r="A540" t="s">
        <v>59</v>
      </c>
      <c r="D540">
        <f t="shared" ref="D540:W540" si="354">D76*D105</f>
        <v>1391.1784597017145</v>
      </c>
      <c r="E540">
        <f t="shared" si="354"/>
        <v>1148.1880584347443</v>
      </c>
      <c r="F540">
        <f t="shared" si="354"/>
        <v>1251.4992777713358</v>
      </c>
      <c r="G540">
        <f t="shared" si="354"/>
        <v>1366.3014522123924</v>
      </c>
      <c r="H540">
        <f t="shared" si="354"/>
        <v>1169.4103345018052</v>
      </c>
      <c r="I540">
        <f t="shared" si="354"/>
        <v>1509.3157803355089</v>
      </c>
      <c r="J540">
        <f t="shared" si="354"/>
        <v>1477.0656859696951</v>
      </c>
      <c r="K540">
        <f t="shared" si="354"/>
        <v>1282.0260469074888</v>
      </c>
      <c r="L540">
        <f t="shared" si="354"/>
        <v>969.69945494769661</v>
      </c>
      <c r="M540">
        <f t="shared" si="354"/>
        <v>1021.19283876907</v>
      </c>
      <c r="N540">
        <f t="shared" si="354"/>
        <v>1344.9456626155527</v>
      </c>
      <c r="O540">
        <f t="shared" si="354"/>
        <v>1330.7780715619672</v>
      </c>
      <c r="P540">
        <f t="shared" si="354"/>
        <v>1032.1889858021543</v>
      </c>
      <c r="Q540">
        <f t="shared" si="354"/>
        <v>893.35718200554595</v>
      </c>
      <c r="R540">
        <f t="shared" si="354"/>
        <v>979.39859569853161</v>
      </c>
      <c r="S540">
        <f t="shared" si="354"/>
        <v>941.63685193884385</v>
      </c>
      <c r="T540">
        <f t="shared" si="354"/>
        <v>1107.1052375563331</v>
      </c>
      <c r="U540">
        <f t="shared" si="354"/>
        <v>1214.961850501543</v>
      </c>
      <c r="V540">
        <f t="shared" si="354"/>
        <v>1028.193614651741</v>
      </c>
      <c r="W540">
        <f t="shared" si="354"/>
        <v>1005.6630705983109</v>
      </c>
      <c r="Y540" s="15">
        <f t="shared" si="337"/>
        <v>23464.106512481976</v>
      </c>
      <c r="Z540">
        <f t="shared" si="338"/>
        <v>3898.3893440145512</v>
      </c>
    </row>
    <row r="541" spans="1:26" x14ac:dyDescent="0.25">
      <c r="A541" t="s">
        <v>60</v>
      </c>
      <c r="D541">
        <f t="shared" ref="D541:W541" si="355">D77*D106</f>
        <v>959.50072789103513</v>
      </c>
      <c r="E541">
        <f t="shared" si="355"/>
        <v>1384.3481161557768</v>
      </c>
      <c r="F541">
        <f t="shared" si="355"/>
        <v>1861.9440454216217</v>
      </c>
      <c r="G541">
        <f t="shared" si="355"/>
        <v>1220.7600025446659</v>
      </c>
      <c r="H541">
        <f t="shared" si="355"/>
        <v>1086.3768885342693</v>
      </c>
      <c r="I541">
        <f t="shared" si="355"/>
        <v>1080.1809170024057</v>
      </c>
      <c r="J541">
        <f t="shared" si="355"/>
        <v>1353.4363533419712</v>
      </c>
      <c r="K541">
        <f t="shared" si="355"/>
        <v>1101.5169928747168</v>
      </c>
      <c r="L541">
        <f t="shared" si="355"/>
        <v>1229.8269304991923</v>
      </c>
      <c r="M541">
        <f t="shared" si="355"/>
        <v>1125.886030622971</v>
      </c>
      <c r="N541">
        <f t="shared" si="355"/>
        <v>947.26684259573267</v>
      </c>
      <c r="O541">
        <f t="shared" si="355"/>
        <v>983.35128861622206</v>
      </c>
      <c r="P541">
        <f t="shared" si="355"/>
        <v>1046.8899730216745</v>
      </c>
      <c r="Q541">
        <f t="shared" si="355"/>
        <v>990.48126195564646</v>
      </c>
      <c r="R541">
        <f t="shared" si="355"/>
        <v>1261.2202979748561</v>
      </c>
      <c r="S541">
        <f t="shared" si="355"/>
        <v>717.79859837239258</v>
      </c>
      <c r="T541">
        <f t="shared" si="355"/>
        <v>906.28136194938202</v>
      </c>
      <c r="U541">
        <f t="shared" si="355"/>
        <v>1029.0072566090289</v>
      </c>
      <c r="V541">
        <f t="shared" si="355"/>
        <v>1216.844529501207</v>
      </c>
      <c r="W541">
        <f t="shared" si="355"/>
        <v>1313.19477026139</v>
      </c>
      <c r="Y541" s="15">
        <f t="shared" si="337"/>
        <v>22816.113185746155</v>
      </c>
      <c r="Z541">
        <f t="shared" si="338"/>
        <v>4103.6543869816587</v>
      </c>
    </row>
    <row r="542" spans="1:26" x14ac:dyDescent="0.25">
      <c r="A542" t="s">
        <v>61</v>
      </c>
      <c r="D542">
        <f t="shared" ref="D542:W542" si="356">D78*D107</f>
        <v>1385.0112786034956</v>
      </c>
      <c r="E542">
        <f t="shared" si="356"/>
        <v>1487.3332451790041</v>
      </c>
      <c r="F542">
        <f t="shared" si="356"/>
        <v>1943.3724757827456</v>
      </c>
      <c r="G542">
        <f t="shared" si="356"/>
        <v>1713.2646418225195</v>
      </c>
      <c r="H542">
        <f t="shared" si="356"/>
        <v>1713.9088542521804</v>
      </c>
      <c r="I542">
        <f t="shared" si="356"/>
        <v>1244.1879739827505</v>
      </c>
      <c r="J542">
        <f t="shared" si="356"/>
        <v>862.43380866633049</v>
      </c>
      <c r="K542">
        <f t="shared" si="356"/>
        <v>732.08782442776374</v>
      </c>
      <c r="L542">
        <f t="shared" si="356"/>
        <v>1133.4220228430045</v>
      </c>
      <c r="M542">
        <f t="shared" si="356"/>
        <v>580.65999405110676</v>
      </c>
      <c r="N542">
        <f t="shared" si="356"/>
        <v>703.65654756292315</v>
      </c>
      <c r="O542">
        <f t="shared" si="356"/>
        <v>801.14926895562166</v>
      </c>
      <c r="P542">
        <f t="shared" si="356"/>
        <v>920.97241448291129</v>
      </c>
      <c r="Q542">
        <f t="shared" si="356"/>
        <v>981.37642380741909</v>
      </c>
      <c r="R542">
        <f t="shared" si="356"/>
        <v>1202.1161035936432</v>
      </c>
      <c r="S542">
        <f t="shared" si="356"/>
        <v>1295.4084577792526</v>
      </c>
      <c r="T542">
        <f t="shared" si="356"/>
        <v>969.24836210062779</v>
      </c>
      <c r="U542">
        <f t="shared" si="356"/>
        <v>1123.9050592253093</v>
      </c>
      <c r="V542">
        <f t="shared" si="356"/>
        <v>1254.2324658597213</v>
      </c>
      <c r="W542">
        <f t="shared" si="356"/>
        <v>932.03591274564553</v>
      </c>
      <c r="Y542" s="15">
        <f t="shared" si="337"/>
        <v>22979.783135723974</v>
      </c>
      <c r="Z542">
        <f t="shared" si="338"/>
        <v>4967.0880836686511</v>
      </c>
    </row>
    <row r="543" spans="1:26" x14ac:dyDescent="0.25">
      <c r="A543" t="s">
        <v>62</v>
      </c>
      <c r="D543">
        <f t="shared" ref="D543:W543" si="357">D79*D108</f>
        <v>1308.505383835977</v>
      </c>
      <c r="E543">
        <f t="shared" si="357"/>
        <v>1256.2044516978608</v>
      </c>
      <c r="F543">
        <f t="shared" si="357"/>
        <v>1128.9849273855211</v>
      </c>
      <c r="G543">
        <f t="shared" si="357"/>
        <v>1107.2877080838009</v>
      </c>
      <c r="H543">
        <f t="shared" si="357"/>
        <v>1289.9454186686999</v>
      </c>
      <c r="I543">
        <f t="shared" si="357"/>
        <v>1399.8171037136367</v>
      </c>
      <c r="J543">
        <f t="shared" si="357"/>
        <v>936.32530031831118</v>
      </c>
      <c r="K543">
        <f t="shared" si="357"/>
        <v>1064.0704068034386</v>
      </c>
      <c r="L543">
        <f t="shared" si="357"/>
        <v>923.62816722044045</v>
      </c>
      <c r="M543">
        <f t="shared" si="357"/>
        <v>1076.3219371111422</v>
      </c>
      <c r="N543">
        <f t="shared" si="357"/>
        <v>618.08663201847287</v>
      </c>
      <c r="O543">
        <f t="shared" si="357"/>
        <v>609.06834155096237</v>
      </c>
      <c r="P543">
        <f t="shared" si="357"/>
        <v>746.49258592541958</v>
      </c>
      <c r="Q543">
        <f t="shared" si="357"/>
        <v>728.41873581974698</v>
      </c>
      <c r="R543">
        <f t="shared" si="357"/>
        <v>530.69007629892712</v>
      </c>
      <c r="S543">
        <f t="shared" si="357"/>
        <v>762.14867340869989</v>
      </c>
      <c r="T543">
        <f t="shared" si="357"/>
        <v>934.91543264218797</v>
      </c>
      <c r="U543">
        <f t="shared" si="357"/>
        <v>977.70216126322384</v>
      </c>
      <c r="V543">
        <f t="shared" si="357"/>
        <v>907.88397941384324</v>
      </c>
      <c r="W543">
        <f t="shared" si="357"/>
        <v>1328.9830077727759</v>
      </c>
      <c r="Y543" s="15">
        <f t="shared" si="337"/>
        <v>19635.480430953088</v>
      </c>
      <c r="Z543">
        <f t="shared" si="338"/>
        <v>4007.5586639986132</v>
      </c>
    </row>
    <row r="544" spans="1:26" x14ac:dyDescent="0.25">
      <c r="Y544" s="15"/>
    </row>
    <row r="545" spans="1:26" x14ac:dyDescent="0.25">
      <c r="A545" t="s">
        <v>63</v>
      </c>
      <c r="D545">
        <f t="shared" ref="D545:W545" si="358">D81*D110</f>
        <v>1177.0814758419187</v>
      </c>
      <c r="E545">
        <f t="shared" si="358"/>
        <v>972.2706459045919</v>
      </c>
      <c r="F545">
        <f t="shared" si="358"/>
        <v>868.46342475532856</v>
      </c>
      <c r="G545">
        <f t="shared" si="358"/>
        <v>902.9577232030872</v>
      </c>
      <c r="H545">
        <f t="shared" si="358"/>
        <v>947.3787667195171</v>
      </c>
      <c r="I545">
        <f t="shared" si="358"/>
        <v>962.21835033405375</v>
      </c>
      <c r="J545">
        <f t="shared" si="358"/>
        <v>847.32233022684227</v>
      </c>
      <c r="K545">
        <f t="shared" si="358"/>
        <v>917.53479946573157</v>
      </c>
      <c r="L545">
        <f t="shared" si="358"/>
        <v>734.30269053077689</v>
      </c>
      <c r="M545">
        <f t="shared" si="358"/>
        <v>828.88263967646901</v>
      </c>
      <c r="N545">
        <f t="shared" si="358"/>
        <v>913.59699679849348</v>
      </c>
      <c r="O545">
        <f t="shared" si="358"/>
        <v>878.89757085865062</v>
      </c>
      <c r="P545">
        <f t="shared" si="358"/>
        <v>808.12827294035185</v>
      </c>
      <c r="Q545">
        <f t="shared" si="358"/>
        <v>840.0048311711214</v>
      </c>
      <c r="R545">
        <f t="shared" si="358"/>
        <v>891.11765699026444</v>
      </c>
      <c r="S545">
        <f t="shared" si="358"/>
        <v>936.2219603893991</v>
      </c>
      <c r="T545">
        <f t="shared" si="358"/>
        <v>1032.5162773424031</v>
      </c>
      <c r="U545">
        <f t="shared" si="358"/>
        <v>984.88903538079148</v>
      </c>
      <c r="V545">
        <f t="shared" si="358"/>
        <v>1062.4240691918806</v>
      </c>
      <c r="W545">
        <f t="shared" si="358"/>
        <v>1181.5657290516988</v>
      </c>
      <c r="Y545" s="15">
        <f t="shared" si="337"/>
        <v>18687.775246773374</v>
      </c>
      <c r="Z545">
        <f>SUMPRODUCT($D$549:$S$549,D545:S545)</f>
        <v>2922.1304944378289</v>
      </c>
    </row>
    <row r="546" spans="1:26" x14ac:dyDescent="0.25">
      <c r="A546" t="s">
        <v>307</v>
      </c>
      <c r="D546">
        <f t="shared" ref="D546:W546" si="359">D82*D111</f>
        <v>1684.0653061224486</v>
      </c>
      <c r="E546">
        <f t="shared" si="359"/>
        <v>2325.65</v>
      </c>
      <c r="F546">
        <f t="shared" si="359"/>
        <v>1182.1799999999998</v>
      </c>
      <c r="G546">
        <f t="shared" si="359"/>
        <v>981.00000000000011</v>
      </c>
      <c r="H546">
        <f t="shared" si="359"/>
        <v>1315.6530612244899</v>
      </c>
      <c r="I546">
        <f t="shared" si="359"/>
        <v>1266.3061224489795</v>
      </c>
      <c r="J546">
        <f t="shared" si="359"/>
        <v>1048.3918367346939</v>
      </c>
      <c r="K546">
        <f t="shared" si="359"/>
        <v>956.86530612244906</v>
      </c>
      <c r="L546">
        <f t="shared" si="359"/>
        <v>938.6953125</v>
      </c>
      <c r="M546">
        <f t="shared" si="359"/>
        <v>1234.8326530612246</v>
      </c>
      <c r="N546">
        <f t="shared" si="359"/>
        <v>1010.9387755102042</v>
      </c>
      <c r="O546">
        <f t="shared" si="359"/>
        <v>1043.1999999999998</v>
      </c>
      <c r="P546">
        <f t="shared" si="359"/>
        <v>1503.5</v>
      </c>
      <c r="Q546">
        <f t="shared" si="359"/>
        <v>1227.5999999999999</v>
      </c>
      <c r="R546">
        <f t="shared" si="359"/>
        <v>1096.2</v>
      </c>
      <c r="S546">
        <f t="shared" si="359"/>
        <v>1100.8</v>
      </c>
      <c r="T546">
        <f t="shared" si="359"/>
        <v>958.5</v>
      </c>
      <c r="U546">
        <f t="shared" si="359"/>
        <v>942.4</v>
      </c>
      <c r="V546">
        <f t="shared" si="359"/>
        <v>1044.3799999999999</v>
      </c>
      <c r="W546">
        <f t="shared" si="359"/>
        <v>1176.58</v>
      </c>
      <c r="Y546" s="15">
        <f t="shared" si="337"/>
        <v>24037.738373724489</v>
      </c>
      <c r="Z546">
        <f>SUMPRODUCT($D$549:$S$549,D546:S546)</f>
        <v>4395.9449366935005</v>
      </c>
    </row>
    <row r="547" spans="1:26" x14ac:dyDescent="0.25">
      <c r="A547" t="s">
        <v>308</v>
      </c>
      <c r="D547">
        <f t="shared" ref="D547:W547" si="360">D83*D112</f>
        <v>1330.7854132827513</v>
      </c>
      <c r="E547">
        <f t="shared" si="360"/>
        <v>1301.1199999999999</v>
      </c>
      <c r="F547">
        <f t="shared" si="360"/>
        <v>1105.28</v>
      </c>
      <c r="G547">
        <f t="shared" si="360"/>
        <v>933.79</v>
      </c>
      <c r="H547">
        <f t="shared" si="360"/>
        <v>1187.28</v>
      </c>
      <c r="I547">
        <f t="shared" si="360"/>
        <v>1082.8799999999999</v>
      </c>
      <c r="J547">
        <f t="shared" si="360"/>
        <v>839.59</v>
      </c>
      <c r="K547">
        <f t="shared" si="360"/>
        <v>890.22</v>
      </c>
      <c r="L547">
        <f t="shared" si="360"/>
        <v>822.56</v>
      </c>
      <c r="M547">
        <f t="shared" si="360"/>
        <v>1011.38</v>
      </c>
      <c r="N547">
        <f t="shared" si="360"/>
        <v>955.84</v>
      </c>
      <c r="O547">
        <f t="shared" si="360"/>
        <v>963.09</v>
      </c>
      <c r="P547">
        <f t="shared" si="360"/>
        <v>858.86480248888142</v>
      </c>
      <c r="Q547">
        <f t="shared" si="360"/>
        <v>886.63046596568768</v>
      </c>
      <c r="R547">
        <f t="shared" si="360"/>
        <v>964.14634823149049</v>
      </c>
      <c r="S547">
        <f t="shared" si="360"/>
        <v>876.69076400353185</v>
      </c>
      <c r="T547">
        <f t="shared" si="360"/>
        <v>1013.2808204738271</v>
      </c>
      <c r="U547">
        <f t="shared" si="360"/>
        <v>1044.5721557067793</v>
      </c>
      <c r="V547">
        <f t="shared" si="360"/>
        <v>1098.6023510719153</v>
      </c>
      <c r="W547">
        <f t="shared" si="360"/>
        <v>1191.2806959438547</v>
      </c>
      <c r="Y547" s="15">
        <f t="shared" si="337"/>
        <v>20357.883817168717</v>
      </c>
      <c r="Z547">
        <f>SUMPRODUCT($D$549:$S$549,D547:S547)</f>
        <v>3495.8319173378281</v>
      </c>
    </row>
    <row r="548" spans="1:26" x14ac:dyDescent="0.25">
      <c r="A548" t="s">
        <v>670</v>
      </c>
      <c r="D548">
        <f t="shared" ref="D548:W548" si="361">D84*D113</f>
        <v>1236.3298593394081</v>
      </c>
      <c r="E548">
        <f t="shared" si="361"/>
        <v>1197.0354498318634</v>
      </c>
      <c r="F548">
        <f t="shared" si="361"/>
        <v>1163.915272553616</v>
      </c>
      <c r="G548">
        <f t="shared" si="361"/>
        <v>1303.7016502831696</v>
      </c>
      <c r="H548">
        <f t="shared" si="361"/>
        <v>1191.4028170022259</v>
      </c>
      <c r="I548">
        <f t="shared" si="361"/>
        <v>890.38763720006671</v>
      </c>
      <c r="J548">
        <f t="shared" si="361"/>
        <v>717.09961870725908</v>
      </c>
      <c r="K548">
        <f t="shared" si="361"/>
        <v>641.67884898871876</v>
      </c>
      <c r="L548">
        <f t="shared" si="361"/>
        <v>617.84025890217492</v>
      </c>
      <c r="M548">
        <f t="shared" si="361"/>
        <v>860.70937793267592</v>
      </c>
      <c r="N548">
        <f t="shared" si="361"/>
        <v>938.0255785226708</v>
      </c>
      <c r="O548">
        <f t="shared" si="361"/>
        <v>876.27738249418803</v>
      </c>
      <c r="P548">
        <f t="shared" si="361"/>
        <v>813.8531734503498</v>
      </c>
      <c r="Q548">
        <f t="shared" si="361"/>
        <v>868.56580673588246</v>
      </c>
      <c r="R548">
        <f t="shared" si="361"/>
        <v>965.24173425062691</v>
      </c>
      <c r="S548">
        <f t="shared" si="361"/>
        <v>967.42414267668835</v>
      </c>
      <c r="T548">
        <f t="shared" si="361"/>
        <v>1035.3451213990588</v>
      </c>
      <c r="U548">
        <f t="shared" si="361"/>
        <v>1024.6378539166685</v>
      </c>
      <c r="V548">
        <f t="shared" si="361"/>
        <v>1080.1058301365183</v>
      </c>
      <c r="W548">
        <f t="shared" si="361"/>
        <v>1152.5647480291477</v>
      </c>
      <c r="Y548" s="15">
        <f t="shared" ref="Y548" si="362">SUM(D548:W548)</f>
        <v>19542.142162352979</v>
      </c>
      <c r="Z548">
        <f>SUMPRODUCT($D$549:$S$549,D548:S548)</f>
        <v>3454.2807419907235</v>
      </c>
    </row>
    <row r="549" spans="1:26" x14ac:dyDescent="0.25">
      <c r="A549" s="2" t="s">
        <v>64</v>
      </c>
      <c r="D549" s="3">
        <f>CORREL($B$2:$B$21,D524:D543)</f>
        <v>0.12801711789247547</v>
      </c>
      <c r="E549" s="3">
        <f t="shared" ref="E549:W549" si="363">CORREL($B$2:$B$21,E524:E543)</f>
        <v>0.53568845668460796</v>
      </c>
      <c r="F549" s="3">
        <f t="shared" si="363"/>
        <v>0.54419749170763732</v>
      </c>
      <c r="G549" s="3">
        <f t="shared" si="363"/>
        <v>0.3957483870150596</v>
      </c>
      <c r="H549" s="3">
        <f t="shared" si="363"/>
        <v>0.76668426164564674</v>
      </c>
      <c r="I549" s="3">
        <f t="shared" si="363"/>
        <v>0.46906140136608471</v>
      </c>
      <c r="J549" s="3">
        <f t="shared" si="363"/>
        <v>0.20584520389829536</v>
      </c>
      <c r="K549" s="3">
        <f t="shared" si="363"/>
        <v>5.3033458589837004E-2</v>
      </c>
      <c r="L549" s="3">
        <f t="shared" si="363"/>
        <v>0.26747496914091051</v>
      </c>
      <c r="M549" s="3">
        <f t="shared" si="363"/>
        <v>0.14228276203917689</v>
      </c>
      <c r="N549" s="3">
        <f t="shared" si="363"/>
        <v>-8.14237144877261E-3</v>
      </c>
      <c r="O549" s="3">
        <f t="shared" si="363"/>
        <v>-0.37424849725616272</v>
      </c>
      <c r="P549" s="3">
        <f t="shared" si="363"/>
        <v>-0.12272251249187296</v>
      </c>
      <c r="Q549" s="3">
        <f t="shared" si="363"/>
        <v>0.12560320518130541</v>
      </c>
      <c r="R549" s="3">
        <f t="shared" si="363"/>
        <v>-0.12172015418127112</v>
      </c>
      <c r="S549" s="3">
        <f t="shared" si="363"/>
        <v>0.1538628369760788</v>
      </c>
      <c r="T549" s="3">
        <f t="shared" si="363"/>
        <v>-0.17165843340341974</v>
      </c>
      <c r="U549" s="3">
        <f t="shared" si="363"/>
        <v>-0.28630509882750832</v>
      </c>
      <c r="V549" s="3">
        <f t="shared" si="363"/>
        <v>-0.13135257929197161</v>
      </c>
      <c r="W549" s="3">
        <f t="shared" si="363"/>
        <v>-9.468661853679497E-2</v>
      </c>
    </row>
    <row r="552" spans="1:26" x14ac:dyDescent="0.25">
      <c r="D552" t="s">
        <v>213</v>
      </c>
      <c r="E552" t="s">
        <v>214</v>
      </c>
      <c r="F552" t="s">
        <v>215</v>
      </c>
      <c r="G552" t="s">
        <v>216</v>
      </c>
      <c r="H552" t="s">
        <v>217</v>
      </c>
      <c r="I552" t="s">
        <v>218</v>
      </c>
      <c r="J552" t="s">
        <v>219</v>
      </c>
      <c r="K552" t="s">
        <v>220</v>
      </c>
      <c r="L552" t="s">
        <v>352</v>
      </c>
      <c r="M552" t="s">
        <v>418</v>
      </c>
      <c r="N552" t="s">
        <v>419</v>
      </c>
      <c r="O552" t="s">
        <v>420</v>
      </c>
      <c r="P552" t="s">
        <v>522</v>
      </c>
      <c r="Q552" t="s">
        <v>523</v>
      </c>
      <c r="R552" t="s">
        <v>524</v>
      </c>
      <c r="S552" t="s">
        <v>525</v>
      </c>
      <c r="T552" t="s">
        <v>634</v>
      </c>
      <c r="U552" t="s">
        <v>635</v>
      </c>
      <c r="V552" t="s">
        <v>636</v>
      </c>
      <c r="W552" t="s">
        <v>637</v>
      </c>
      <c r="Y552" t="s">
        <v>221</v>
      </c>
      <c r="Z552" t="s">
        <v>222</v>
      </c>
    </row>
    <row r="553" spans="1:26" x14ac:dyDescent="0.25">
      <c r="A553" t="s">
        <v>43</v>
      </c>
      <c r="D553">
        <f t="shared" ref="D553:W553" si="364">D60*D118</f>
        <v>869</v>
      </c>
      <c r="E553">
        <f t="shared" si="364"/>
        <v>313.82040816326526</v>
      </c>
      <c r="F553">
        <f t="shared" si="364"/>
        <v>504.24081632653065</v>
      </c>
      <c r="G553">
        <f t="shared" si="364"/>
        <v>618.70000000000005</v>
      </c>
      <c r="H553">
        <f t="shared" si="364"/>
        <v>607.00489898171361</v>
      </c>
      <c r="I553">
        <f t="shared" si="364"/>
        <v>578.15063555946335</v>
      </c>
      <c r="J553">
        <f t="shared" si="364"/>
        <v>499.48527325177099</v>
      </c>
      <c r="K553">
        <f t="shared" si="364"/>
        <v>653.64845448966139</v>
      </c>
      <c r="L553">
        <f t="shared" si="364"/>
        <v>520.54414275358556</v>
      </c>
      <c r="M553">
        <f t="shared" si="364"/>
        <v>517.49516730505218</v>
      </c>
      <c r="N553">
        <f t="shared" si="364"/>
        <v>568.17746489127683</v>
      </c>
      <c r="O553">
        <f t="shared" si="364"/>
        <v>493.87068269615168</v>
      </c>
      <c r="P553">
        <f t="shared" si="364"/>
        <v>485.535199865474</v>
      </c>
      <c r="Q553">
        <f t="shared" si="364"/>
        <v>464.05846256367693</v>
      </c>
      <c r="R553">
        <f t="shared" si="364"/>
        <v>370.76495244261645</v>
      </c>
      <c r="S553">
        <f t="shared" si="364"/>
        <v>300.14220051377396</v>
      </c>
      <c r="T553">
        <f t="shared" si="364"/>
        <v>356.32763541473076</v>
      </c>
      <c r="U553">
        <f t="shared" si="364"/>
        <v>521.7104039603114</v>
      </c>
      <c r="V553">
        <f t="shared" si="364"/>
        <v>445.68753623667357</v>
      </c>
      <c r="W553">
        <f t="shared" si="364"/>
        <v>729.65666575381135</v>
      </c>
      <c r="Y553" s="15">
        <f t="shared" ref="Y553:Y576" si="365">SUM(D553:W553)</f>
        <v>10418.02100116954</v>
      </c>
      <c r="Z553">
        <f t="shared" ref="Z553:Z572" si="366">SUMPRODUCT($D$578:$S$578,D553:S553)</f>
        <v>452.7905384813788</v>
      </c>
    </row>
    <row r="554" spans="1:26" x14ac:dyDescent="0.25">
      <c r="A554" t="s">
        <v>44</v>
      </c>
      <c r="D554">
        <f t="shared" ref="D554:W554" si="367">D61*D119</f>
        <v>623.63265306122457</v>
      </c>
      <c r="E554">
        <f t="shared" si="367"/>
        <v>526.10612244897959</v>
      </c>
      <c r="F554">
        <f t="shared" si="367"/>
        <v>461.24081632653053</v>
      </c>
      <c r="G554">
        <f t="shared" si="367"/>
        <v>771.14897959183668</v>
      </c>
      <c r="H554">
        <f t="shared" si="367"/>
        <v>629.15037779138936</v>
      </c>
      <c r="I554">
        <f t="shared" si="367"/>
        <v>597.14898552317845</v>
      </c>
      <c r="J554">
        <f t="shared" si="367"/>
        <v>472.44904931799152</v>
      </c>
      <c r="K554">
        <f t="shared" si="367"/>
        <v>549.30512062028879</v>
      </c>
      <c r="L554">
        <f t="shared" si="367"/>
        <v>439.46070363299026</v>
      </c>
      <c r="M554">
        <f t="shared" si="367"/>
        <v>254.13729994472467</v>
      </c>
      <c r="N554">
        <f t="shared" si="367"/>
        <v>336.92779930873832</v>
      </c>
      <c r="O554">
        <f t="shared" si="367"/>
        <v>367.20095863901929</v>
      </c>
      <c r="P554">
        <f t="shared" si="367"/>
        <v>316.10826245916093</v>
      </c>
      <c r="Q554">
        <f t="shared" si="367"/>
        <v>561.58196030781426</v>
      </c>
      <c r="R554">
        <f t="shared" si="367"/>
        <v>368.03096249012361</v>
      </c>
      <c r="S554">
        <f t="shared" si="367"/>
        <v>254.6801346458125</v>
      </c>
      <c r="T554">
        <f t="shared" si="367"/>
        <v>328.85004199982245</v>
      </c>
      <c r="U554">
        <f t="shared" si="367"/>
        <v>374.34892786846262</v>
      </c>
      <c r="V554">
        <f t="shared" si="367"/>
        <v>424.56854473193181</v>
      </c>
      <c r="W554">
        <f t="shared" si="367"/>
        <v>277.18924973998605</v>
      </c>
      <c r="Y554" s="15">
        <f t="shared" si="365"/>
        <v>8933.2669504500063</v>
      </c>
      <c r="Z554">
        <f t="shared" si="366"/>
        <v>747.08804976016393</v>
      </c>
    </row>
    <row r="555" spans="1:26" x14ac:dyDescent="0.25">
      <c r="A555" t="s">
        <v>45</v>
      </c>
      <c r="D555">
        <f t="shared" ref="D555:W555" si="368">D62*D120</f>
        <v>833.89338776842078</v>
      </c>
      <c r="E555">
        <f t="shared" si="368"/>
        <v>490.43877551020404</v>
      </c>
      <c r="F555">
        <f t="shared" si="368"/>
        <v>576.88163265306139</v>
      </c>
      <c r="G555">
        <f t="shared" si="368"/>
        <v>404.90612244897954</v>
      </c>
      <c r="H555">
        <f t="shared" si="368"/>
        <v>762.35316589421348</v>
      </c>
      <c r="I555">
        <f t="shared" si="368"/>
        <v>617.54312872494711</v>
      </c>
      <c r="J555">
        <f t="shared" si="368"/>
        <v>588.07063149269152</v>
      </c>
      <c r="K555">
        <f t="shared" si="368"/>
        <v>568.93192955701738</v>
      </c>
      <c r="L555">
        <f t="shared" si="368"/>
        <v>511.9238142928678</v>
      </c>
      <c r="M555">
        <f t="shared" si="368"/>
        <v>391.54317503200139</v>
      </c>
      <c r="N555">
        <f t="shared" si="368"/>
        <v>407.63473850512139</v>
      </c>
      <c r="O555">
        <f t="shared" si="368"/>
        <v>478.13622481092204</v>
      </c>
      <c r="P555">
        <f t="shared" si="368"/>
        <v>329.46459370808964</v>
      </c>
      <c r="Q555">
        <f t="shared" si="368"/>
        <v>339.30974739160803</v>
      </c>
      <c r="R555">
        <f t="shared" si="368"/>
        <v>338.47511127745253</v>
      </c>
      <c r="S555">
        <f t="shared" si="368"/>
        <v>378.52902886991427</v>
      </c>
      <c r="T555">
        <f t="shared" si="368"/>
        <v>240.00132439674357</v>
      </c>
      <c r="U555">
        <f t="shared" si="368"/>
        <v>1429.8864280357775</v>
      </c>
      <c r="V555">
        <f t="shared" si="368"/>
        <v>530.30855886157713</v>
      </c>
      <c r="W555">
        <f t="shared" si="368"/>
        <v>612.98564505883007</v>
      </c>
      <c r="Y555" s="15">
        <f t="shared" si="365"/>
        <v>10831.217164290441</v>
      </c>
      <c r="Z555">
        <f t="shared" si="366"/>
        <v>632.10811681383484</v>
      </c>
    </row>
    <row r="556" spans="1:26" x14ac:dyDescent="0.25">
      <c r="A556" t="s">
        <v>46</v>
      </c>
      <c r="D556">
        <f t="shared" ref="D556:W556" si="369">D63*D121</f>
        <v>845.21614036132405</v>
      </c>
      <c r="E556">
        <f t="shared" si="369"/>
        <v>603.01333908390552</v>
      </c>
      <c r="F556">
        <f t="shared" si="369"/>
        <v>333.19826005750991</v>
      </c>
      <c r="G556">
        <f t="shared" si="369"/>
        <v>231.38674224754456</v>
      </c>
      <c r="H556">
        <f t="shared" si="369"/>
        <v>324.42720258933525</v>
      </c>
      <c r="I556">
        <f t="shared" si="369"/>
        <v>245.85141703299189</v>
      </c>
      <c r="J556">
        <f t="shared" si="369"/>
        <v>526.06127692449843</v>
      </c>
      <c r="K556">
        <f t="shared" si="369"/>
        <v>510.28183133312422</v>
      </c>
      <c r="L556">
        <f t="shared" si="369"/>
        <v>686.41202852439005</v>
      </c>
      <c r="M556">
        <f t="shared" si="369"/>
        <v>750.65784913306356</v>
      </c>
      <c r="N556">
        <f t="shared" si="369"/>
        <v>480.82183818539426</v>
      </c>
      <c r="O556">
        <f t="shared" si="369"/>
        <v>445.69734004319275</v>
      </c>
      <c r="P556">
        <f t="shared" si="369"/>
        <v>262.13762060760382</v>
      </c>
      <c r="Q556">
        <f t="shared" si="369"/>
        <v>169.86300260967852</v>
      </c>
      <c r="R556">
        <f t="shared" si="369"/>
        <v>283.67035735705196</v>
      </c>
      <c r="S556">
        <f t="shared" si="369"/>
        <v>159.76267536195476</v>
      </c>
      <c r="T556">
        <f t="shared" si="369"/>
        <v>279.73973272514598</v>
      </c>
      <c r="U556">
        <f t="shared" si="369"/>
        <v>377.65860661889485</v>
      </c>
      <c r="V556">
        <f t="shared" si="369"/>
        <v>386.63245808163111</v>
      </c>
      <c r="W556">
        <f t="shared" si="369"/>
        <v>621.31418598973016</v>
      </c>
      <c r="Y556" s="15">
        <f t="shared" si="365"/>
        <v>8523.8039048679657</v>
      </c>
      <c r="Z556">
        <f t="shared" si="366"/>
        <v>171.48101192201887</v>
      </c>
    </row>
    <row r="557" spans="1:26" x14ac:dyDescent="0.25">
      <c r="A557" t="s">
        <v>47</v>
      </c>
      <c r="D557">
        <f t="shared" ref="D557:W557" si="370">D64*D122</f>
        <v>761.66411066804869</v>
      </c>
      <c r="E557">
        <f t="shared" si="370"/>
        <v>529.20502740420966</v>
      </c>
      <c r="F557">
        <f t="shared" si="370"/>
        <v>467.51739399532539</v>
      </c>
      <c r="G557">
        <f t="shared" si="370"/>
        <v>367.34437151214263</v>
      </c>
      <c r="H557">
        <f t="shared" si="370"/>
        <v>340.55897934544805</v>
      </c>
      <c r="I557">
        <f t="shared" si="370"/>
        <v>366.70421812861986</v>
      </c>
      <c r="J557">
        <f t="shared" si="370"/>
        <v>247.98028254038587</v>
      </c>
      <c r="K557">
        <f t="shared" si="370"/>
        <v>260.60396101904439</v>
      </c>
      <c r="L557">
        <f t="shared" si="370"/>
        <v>393.91350697292631</v>
      </c>
      <c r="M557">
        <f t="shared" si="370"/>
        <v>449.54932724998173</v>
      </c>
      <c r="N557">
        <f t="shared" si="370"/>
        <v>475.47983557961851</v>
      </c>
      <c r="O557">
        <f t="shared" si="370"/>
        <v>361.67997050330558</v>
      </c>
      <c r="P557">
        <f t="shared" si="370"/>
        <v>338.17490466410084</v>
      </c>
      <c r="Q557">
        <f t="shared" si="370"/>
        <v>377.96585682373933</v>
      </c>
      <c r="R557">
        <f t="shared" si="370"/>
        <v>235.20326593413776</v>
      </c>
      <c r="S557">
        <f t="shared" si="370"/>
        <v>367.64854643697481</v>
      </c>
      <c r="T557">
        <f t="shared" si="370"/>
        <v>465.1003654657361</v>
      </c>
      <c r="U557">
        <f t="shared" si="370"/>
        <v>369.97306015590806</v>
      </c>
      <c r="V557">
        <f t="shared" si="370"/>
        <v>425.93132053884756</v>
      </c>
      <c r="W557">
        <f t="shared" si="370"/>
        <v>549.05379669957074</v>
      </c>
      <c r="Y557" s="15">
        <f t="shared" si="365"/>
        <v>8151.2521016380706</v>
      </c>
      <c r="Z557">
        <f t="shared" si="366"/>
        <v>470.40089118198898</v>
      </c>
    </row>
    <row r="558" spans="1:26" x14ac:dyDescent="0.25">
      <c r="A558" t="s">
        <v>48</v>
      </c>
      <c r="D558">
        <f t="shared" ref="D558:W558" si="371">D65*D123</f>
        <v>891.56079036449603</v>
      </c>
      <c r="E558">
        <f t="shared" si="371"/>
        <v>632.81711666825709</v>
      </c>
      <c r="F558">
        <f t="shared" si="371"/>
        <v>509.6052980423575</v>
      </c>
      <c r="G558">
        <f t="shared" si="371"/>
        <v>632.48232398863172</v>
      </c>
      <c r="H558">
        <f t="shared" si="371"/>
        <v>812.18574742222188</v>
      </c>
      <c r="I558">
        <f t="shared" si="371"/>
        <v>628.57381424368259</v>
      </c>
      <c r="J558">
        <f t="shared" si="371"/>
        <v>313.22695352209854</v>
      </c>
      <c r="K558">
        <f t="shared" si="371"/>
        <v>581.81492087377649</v>
      </c>
      <c r="L558">
        <f t="shared" si="371"/>
        <v>406.96803216198111</v>
      </c>
      <c r="M558">
        <f t="shared" si="371"/>
        <v>346.21539721827196</v>
      </c>
      <c r="N558">
        <f t="shared" si="371"/>
        <v>353.31887864470303</v>
      </c>
      <c r="O558">
        <f t="shared" si="371"/>
        <v>232.28505909271306</v>
      </c>
      <c r="P558">
        <f t="shared" si="371"/>
        <v>299.61335023613617</v>
      </c>
      <c r="Q558">
        <f t="shared" si="371"/>
        <v>310.99349075531876</v>
      </c>
      <c r="R558">
        <f t="shared" si="371"/>
        <v>200.88059390570248</v>
      </c>
      <c r="S558">
        <f t="shared" si="371"/>
        <v>309.64839767031748</v>
      </c>
      <c r="T558">
        <f t="shared" si="371"/>
        <v>308.30356189918353</v>
      </c>
      <c r="U558">
        <f t="shared" si="371"/>
        <v>311.84349620031537</v>
      </c>
      <c r="V558">
        <f t="shared" si="371"/>
        <v>335.82591295657392</v>
      </c>
      <c r="W558">
        <f t="shared" si="371"/>
        <v>464.22939767523746</v>
      </c>
      <c r="Y558" s="15">
        <f t="shared" si="365"/>
        <v>8882.3925335419772</v>
      </c>
      <c r="Z558">
        <f t="shared" si="366"/>
        <v>902.32946205025166</v>
      </c>
    </row>
    <row r="559" spans="1:26" x14ac:dyDescent="0.25">
      <c r="A559" t="s">
        <v>49</v>
      </c>
      <c r="D559">
        <f t="shared" ref="D559:W559" si="372">D66*D124</f>
        <v>979.44473148127349</v>
      </c>
      <c r="E559">
        <f t="shared" si="372"/>
        <v>615.47211500112905</v>
      </c>
      <c r="F559">
        <f t="shared" si="372"/>
        <v>614.48860577384812</v>
      </c>
      <c r="G559">
        <f t="shared" si="372"/>
        <v>632.01896745160172</v>
      </c>
      <c r="H559">
        <f t="shared" si="372"/>
        <v>377.77739258686034</v>
      </c>
      <c r="I559">
        <f t="shared" si="372"/>
        <v>388.22628309554034</v>
      </c>
      <c r="J559">
        <f t="shared" si="372"/>
        <v>411.76610175193218</v>
      </c>
      <c r="K559">
        <f t="shared" si="372"/>
        <v>493.82108785948236</v>
      </c>
      <c r="L559">
        <f t="shared" si="372"/>
        <v>264.73659215219016</v>
      </c>
      <c r="M559">
        <f t="shared" si="372"/>
        <v>345.65903672563206</v>
      </c>
      <c r="N559">
        <f t="shared" si="372"/>
        <v>314.51710594497746</v>
      </c>
      <c r="O559">
        <f t="shared" si="372"/>
        <v>417.83511017968465</v>
      </c>
      <c r="P559">
        <f t="shared" si="372"/>
        <v>489.31276366710284</v>
      </c>
      <c r="Q559">
        <f t="shared" si="372"/>
        <v>474.67107180737923</v>
      </c>
      <c r="R559">
        <f t="shared" si="372"/>
        <v>469.61256176972847</v>
      </c>
      <c r="S559">
        <f t="shared" si="372"/>
        <v>652.73073471934254</v>
      </c>
      <c r="T559">
        <f t="shared" si="372"/>
        <v>672.96502366663071</v>
      </c>
      <c r="U559">
        <f t="shared" si="372"/>
        <v>627.7366619758111</v>
      </c>
      <c r="V559">
        <f t="shared" si="372"/>
        <v>733.56690872822685</v>
      </c>
      <c r="W559">
        <f t="shared" si="372"/>
        <v>547.06262903095751</v>
      </c>
      <c r="Y559" s="15">
        <f t="shared" si="365"/>
        <v>10523.421485369332</v>
      </c>
      <c r="Z559">
        <f t="shared" si="366"/>
        <v>689.87123869078437</v>
      </c>
    </row>
    <row r="560" spans="1:26" x14ac:dyDescent="0.25">
      <c r="A560" t="s">
        <v>50</v>
      </c>
      <c r="D560">
        <f t="shared" ref="D560:W560" si="373">D67*D125</f>
        <v>697.27179560555294</v>
      </c>
      <c r="E560">
        <f t="shared" si="373"/>
        <v>429.2081632653061</v>
      </c>
      <c r="F560">
        <f t="shared" si="373"/>
        <v>341.96734693877551</v>
      </c>
      <c r="G560">
        <f t="shared" si="373"/>
        <v>450.85102040816327</v>
      </c>
      <c r="H560">
        <f t="shared" si="373"/>
        <v>1218.7933533607447</v>
      </c>
      <c r="I560">
        <f t="shared" si="373"/>
        <v>171.12216558011292</v>
      </c>
      <c r="J560">
        <f t="shared" si="373"/>
        <v>419.17350432403862</v>
      </c>
      <c r="K560">
        <f t="shared" si="373"/>
        <v>347.49944343251406</v>
      </c>
      <c r="L560">
        <f t="shared" si="373"/>
        <v>167.6461310130021</v>
      </c>
      <c r="M560">
        <f t="shared" si="373"/>
        <v>175.84291716452475</v>
      </c>
      <c r="N560">
        <f t="shared" si="373"/>
        <v>202.54542069217572</v>
      </c>
      <c r="O560">
        <f t="shared" si="373"/>
        <v>192.12036508486659</v>
      </c>
      <c r="P560">
        <f t="shared" si="373"/>
        <v>253.68956443846193</v>
      </c>
      <c r="Q560">
        <f t="shared" si="373"/>
        <v>253.64180263464817</v>
      </c>
      <c r="R560">
        <f t="shared" si="373"/>
        <v>204.29057077269908</v>
      </c>
      <c r="S560">
        <f t="shared" si="373"/>
        <v>269.87456746854616</v>
      </c>
      <c r="T560">
        <f t="shared" si="373"/>
        <v>497.58710144586178</v>
      </c>
      <c r="U560">
        <f t="shared" si="373"/>
        <v>376.82574218870047</v>
      </c>
      <c r="V560">
        <f t="shared" si="373"/>
        <v>206.34671828543947</v>
      </c>
      <c r="W560">
        <f t="shared" si="373"/>
        <v>492.09362046766898</v>
      </c>
      <c r="Y560" s="15">
        <f t="shared" si="365"/>
        <v>7368.3913145718034</v>
      </c>
      <c r="Z560">
        <f t="shared" si="366"/>
        <v>822.6592264347986</v>
      </c>
    </row>
    <row r="561" spans="1:26" x14ac:dyDescent="0.25">
      <c r="A561" t="s">
        <v>51</v>
      </c>
      <c r="D561">
        <f t="shared" ref="D561:W561" si="374">D68*D126</f>
        <v>311.44196020707579</v>
      </c>
      <c r="E561">
        <f t="shared" si="374"/>
        <v>383.81544240728783</v>
      </c>
      <c r="F561">
        <f t="shared" si="374"/>
        <v>487.67011042536035</v>
      </c>
      <c r="G561">
        <f t="shared" si="374"/>
        <v>310.92005107337178</v>
      </c>
      <c r="H561">
        <f t="shared" si="374"/>
        <v>649.28261998213225</v>
      </c>
      <c r="I561">
        <f t="shared" si="374"/>
        <v>385.62598363347956</v>
      </c>
      <c r="J561">
        <f t="shared" si="374"/>
        <v>460.52653309301184</v>
      </c>
      <c r="K561">
        <f t="shared" si="374"/>
        <v>446.70196188364059</v>
      </c>
      <c r="L561">
        <f t="shared" si="374"/>
        <v>478.10070381205406</v>
      </c>
      <c r="M561">
        <f t="shared" si="374"/>
        <v>420.98811219692004</v>
      </c>
      <c r="N561">
        <f t="shared" si="374"/>
        <v>469.33223304980606</v>
      </c>
      <c r="O561">
        <f t="shared" si="374"/>
        <v>575.37359967213865</v>
      </c>
      <c r="P561">
        <f t="shared" si="374"/>
        <v>302.39160268582549</v>
      </c>
      <c r="Q561">
        <f t="shared" si="374"/>
        <v>334.94958918789371</v>
      </c>
      <c r="R561">
        <f t="shared" si="374"/>
        <v>290.47844453867918</v>
      </c>
      <c r="S561">
        <f t="shared" si="374"/>
        <v>343.93409887774374</v>
      </c>
      <c r="T561">
        <f t="shared" si="374"/>
        <v>355.2142252648693</v>
      </c>
      <c r="U561">
        <f t="shared" si="374"/>
        <v>418.34819649804825</v>
      </c>
      <c r="V561">
        <f t="shared" si="374"/>
        <v>426.34668813225028</v>
      </c>
      <c r="W561">
        <f t="shared" si="374"/>
        <v>383.14193397890887</v>
      </c>
      <c r="Y561" s="15">
        <f t="shared" si="365"/>
        <v>8234.5840906004978</v>
      </c>
      <c r="Z561">
        <f t="shared" si="366"/>
        <v>447.93362292514956</v>
      </c>
    </row>
    <row r="562" spans="1:26" x14ac:dyDescent="0.25">
      <c r="A562" t="s">
        <v>52</v>
      </c>
      <c r="D562">
        <f t="shared" ref="D562:W562" si="375">D69*D127</f>
        <v>503.77440491742402</v>
      </c>
      <c r="E562">
        <f t="shared" si="375"/>
        <v>328.4503473693515</v>
      </c>
      <c r="F562">
        <f t="shared" si="375"/>
        <v>327.91501227938579</v>
      </c>
      <c r="G562">
        <f t="shared" si="375"/>
        <v>207.91031730376943</v>
      </c>
      <c r="H562">
        <f t="shared" si="375"/>
        <v>470.66068802445125</v>
      </c>
      <c r="I562">
        <f t="shared" si="375"/>
        <v>390.83512064450741</v>
      </c>
      <c r="J562">
        <f t="shared" si="375"/>
        <v>538.72166466405702</v>
      </c>
      <c r="K562">
        <f t="shared" si="375"/>
        <v>397.84473793703864</v>
      </c>
      <c r="L562">
        <f t="shared" si="375"/>
        <v>459.39553512063713</v>
      </c>
      <c r="M562">
        <f t="shared" si="375"/>
        <v>445.51420576666271</v>
      </c>
      <c r="N562">
        <f t="shared" si="375"/>
        <v>418.50310384081047</v>
      </c>
      <c r="O562">
        <f t="shared" si="375"/>
        <v>451.83524516135782</v>
      </c>
      <c r="P562">
        <f t="shared" si="375"/>
        <v>305.45873688098362</v>
      </c>
      <c r="Q562">
        <f t="shared" si="375"/>
        <v>318.70677889442425</v>
      </c>
      <c r="R562">
        <f t="shared" si="375"/>
        <v>305.52260010231805</v>
      </c>
      <c r="S562">
        <f t="shared" si="375"/>
        <v>418.57435689389882</v>
      </c>
      <c r="T562">
        <f t="shared" si="375"/>
        <v>411.22645841804945</v>
      </c>
      <c r="U562">
        <f t="shared" si="375"/>
        <v>423.51722347435054</v>
      </c>
      <c r="V562">
        <f t="shared" si="375"/>
        <v>413.14185869328497</v>
      </c>
      <c r="W562">
        <f t="shared" si="375"/>
        <v>283.18304966596497</v>
      </c>
      <c r="Y562" s="15">
        <f t="shared" si="365"/>
        <v>7820.6914460527287</v>
      </c>
      <c r="Z562">
        <f t="shared" si="366"/>
        <v>273.97428129475111</v>
      </c>
    </row>
    <row r="563" spans="1:26" x14ac:dyDescent="0.25">
      <c r="A563" t="s">
        <v>53</v>
      </c>
      <c r="D563">
        <f t="shared" ref="D563:W563" si="376">D70*D128</f>
        <v>497.75630042255614</v>
      </c>
      <c r="E563">
        <f t="shared" si="376"/>
        <v>516.84868193476677</v>
      </c>
      <c r="F563">
        <f t="shared" si="376"/>
        <v>312.28913405101144</v>
      </c>
      <c r="G563">
        <f t="shared" si="376"/>
        <v>167.49124704741385</v>
      </c>
      <c r="H563">
        <f t="shared" si="376"/>
        <v>536.07781791062189</v>
      </c>
      <c r="I563">
        <f t="shared" si="376"/>
        <v>431.03278483827478</v>
      </c>
      <c r="J563">
        <f t="shared" si="376"/>
        <v>461.05366510580086</v>
      </c>
      <c r="K563">
        <f t="shared" si="376"/>
        <v>432.81242898252009</v>
      </c>
      <c r="L563">
        <f t="shared" si="376"/>
        <v>411.13189631987319</v>
      </c>
      <c r="M563">
        <f t="shared" si="376"/>
        <v>479.77771918632044</v>
      </c>
      <c r="N563">
        <f t="shared" si="376"/>
        <v>653.71285187478384</v>
      </c>
      <c r="O563">
        <f t="shared" si="376"/>
        <v>453.75242585805722</v>
      </c>
      <c r="P563">
        <f t="shared" si="376"/>
        <v>406.00144103025696</v>
      </c>
      <c r="Q563">
        <f t="shared" si="376"/>
        <v>405.22948629752761</v>
      </c>
      <c r="R563">
        <f t="shared" si="376"/>
        <v>441.91401921554501</v>
      </c>
      <c r="S563">
        <f t="shared" si="376"/>
        <v>378.5316751457238</v>
      </c>
      <c r="T563">
        <f t="shared" si="376"/>
        <v>408.95024716864015</v>
      </c>
      <c r="U563">
        <f t="shared" si="376"/>
        <v>459.76115782933533</v>
      </c>
      <c r="V563">
        <f t="shared" si="376"/>
        <v>393.91423864305915</v>
      </c>
      <c r="W563">
        <f t="shared" si="376"/>
        <v>105.27233740448536</v>
      </c>
      <c r="Y563" s="15">
        <f t="shared" si="365"/>
        <v>8353.3115562665735</v>
      </c>
      <c r="Z563">
        <f t="shared" si="366"/>
        <v>346.04013483833273</v>
      </c>
    </row>
    <row r="564" spans="1:26" x14ac:dyDescent="0.25">
      <c r="A564" t="s">
        <v>54</v>
      </c>
      <c r="D564">
        <f t="shared" ref="D564:W564" si="377">D71*D129</f>
        <v>430.34369016595468</v>
      </c>
      <c r="E564">
        <f t="shared" si="377"/>
        <v>609.785808281556</v>
      </c>
      <c r="F564">
        <f t="shared" si="377"/>
        <v>437.99920576204943</v>
      </c>
      <c r="G564">
        <f t="shared" si="377"/>
        <v>465.02244821217556</v>
      </c>
      <c r="H564">
        <f t="shared" si="377"/>
        <v>377.85256182008919</v>
      </c>
      <c r="I564">
        <f t="shared" si="377"/>
        <v>426.2415453533464</v>
      </c>
      <c r="J564">
        <f t="shared" si="377"/>
        <v>188.64661302829623</v>
      </c>
      <c r="K564">
        <f t="shared" si="377"/>
        <v>142.55355188392255</v>
      </c>
      <c r="L564">
        <f t="shared" si="377"/>
        <v>258.71915635125049</v>
      </c>
      <c r="M564">
        <f t="shared" si="377"/>
        <v>162.07145841093683</v>
      </c>
      <c r="N564">
        <f t="shared" si="377"/>
        <v>467.68439956363403</v>
      </c>
      <c r="O564">
        <f t="shared" si="377"/>
        <v>455.6188329823417</v>
      </c>
      <c r="P564">
        <f t="shared" si="377"/>
        <v>333.43142126079431</v>
      </c>
      <c r="Q564">
        <f t="shared" si="377"/>
        <v>386.1651269027368</v>
      </c>
      <c r="R564">
        <f t="shared" si="377"/>
        <v>289.74629884110237</v>
      </c>
      <c r="S564">
        <f t="shared" si="377"/>
        <v>230.73313564291175</v>
      </c>
      <c r="T564">
        <f t="shared" si="377"/>
        <v>107.06740931402923</v>
      </c>
      <c r="U564">
        <f t="shared" si="377"/>
        <v>166.13075050971557</v>
      </c>
      <c r="V564">
        <f t="shared" si="377"/>
        <v>434.15824750979391</v>
      </c>
      <c r="W564">
        <f t="shared" si="377"/>
        <v>112.40970404087925</v>
      </c>
      <c r="Y564" s="15">
        <f t="shared" si="365"/>
        <v>6482.3813658375175</v>
      </c>
      <c r="Z564">
        <f t="shared" si="366"/>
        <v>610.48422604262123</v>
      </c>
    </row>
    <row r="565" spans="1:26" x14ac:dyDescent="0.25">
      <c r="A565" t="s">
        <v>55</v>
      </c>
      <c r="D565">
        <f t="shared" ref="D565:W565" si="378">D72*D130</f>
        <v>378.37318349089094</v>
      </c>
      <c r="E565">
        <f t="shared" si="378"/>
        <v>391.69719613333342</v>
      </c>
      <c r="F565">
        <f t="shared" si="378"/>
        <v>566.84864379581984</v>
      </c>
      <c r="G565">
        <f t="shared" si="378"/>
        <v>290.70856710894657</v>
      </c>
      <c r="H565">
        <f t="shared" si="378"/>
        <v>209.21128883907954</v>
      </c>
      <c r="I565">
        <f t="shared" si="378"/>
        <v>283.98871232249388</v>
      </c>
      <c r="J565">
        <f t="shared" si="378"/>
        <v>145.53793487427185</v>
      </c>
      <c r="K565">
        <f t="shared" si="378"/>
        <v>76.454696981863336</v>
      </c>
      <c r="L565">
        <f t="shared" si="378"/>
        <v>250.78893402967788</v>
      </c>
      <c r="M565">
        <f t="shared" si="378"/>
        <v>342.97127369676247</v>
      </c>
      <c r="N565">
        <f t="shared" si="378"/>
        <v>378.42131112810551</v>
      </c>
      <c r="O565">
        <f t="shared" si="378"/>
        <v>342.33258206390161</v>
      </c>
      <c r="P565">
        <f t="shared" si="378"/>
        <v>332.86641490735155</v>
      </c>
      <c r="Q565">
        <f t="shared" si="378"/>
        <v>315.88955385690053</v>
      </c>
      <c r="R565">
        <f t="shared" si="378"/>
        <v>287.83763756471456</v>
      </c>
      <c r="S565">
        <f t="shared" si="378"/>
        <v>339.59494574713847</v>
      </c>
      <c r="T565">
        <f t="shared" si="378"/>
        <v>33.218057415138709</v>
      </c>
      <c r="U565">
        <f t="shared" si="378"/>
        <v>300.13712270202586</v>
      </c>
      <c r="V565">
        <f t="shared" si="378"/>
        <v>466.30332111008681</v>
      </c>
      <c r="W565">
        <f t="shared" si="378"/>
        <v>507.92314425123612</v>
      </c>
      <c r="Y565" s="15">
        <f t="shared" si="365"/>
        <v>6241.1045220197402</v>
      </c>
      <c r="Z565">
        <f t="shared" si="366"/>
        <v>429.57345878820865</v>
      </c>
    </row>
    <row r="566" spans="1:26" x14ac:dyDescent="0.25">
      <c r="A566" t="s">
        <v>56</v>
      </c>
      <c r="D566">
        <f t="shared" ref="D566:W566" si="379">D73*D131</f>
        <v>638.5487997622597</v>
      </c>
      <c r="E566">
        <f t="shared" si="379"/>
        <v>567.68571428571431</v>
      </c>
      <c r="F566">
        <f t="shared" si="379"/>
        <v>593.02040816326542</v>
      </c>
      <c r="G566">
        <f t="shared" si="379"/>
        <v>430.90000000000003</v>
      </c>
      <c r="H566">
        <f t="shared" si="379"/>
        <v>746.06236294277642</v>
      </c>
      <c r="I566">
        <f t="shared" si="379"/>
        <v>489.31985580412891</v>
      </c>
      <c r="J566">
        <f t="shared" si="379"/>
        <v>541.18379706447547</v>
      </c>
      <c r="K566">
        <f t="shared" si="379"/>
        <v>467.73598764730463</v>
      </c>
      <c r="L566">
        <f t="shared" si="379"/>
        <v>1228.7327689359686</v>
      </c>
      <c r="M566">
        <f t="shared" si="379"/>
        <v>219.42417152105935</v>
      </c>
      <c r="N566">
        <f t="shared" si="379"/>
        <v>271.37248190859668</v>
      </c>
      <c r="O566">
        <f t="shared" si="379"/>
        <v>417.65334474717639</v>
      </c>
      <c r="P566">
        <f t="shared" si="379"/>
        <v>314.35377197471632</v>
      </c>
      <c r="Q566">
        <f t="shared" si="379"/>
        <v>333.76721780678764</v>
      </c>
      <c r="R566">
        <f t="shared" si="379"/>
        <v>488.31682207026932</v>
      </c>
      <c r="S566">
        <f t="shared" si="379"/>
        <v>458.81228027605209</v>
      </c>
      <c r="T566">
        <f t="shared" si="379"/>
        <v>500.90803242458441</v>
      </c>
      <c r="U566">
        <f t="shared" si="379"/>
        <v>498.0924138324462</v>
      </c>
      <c r="V566">
        <f t="shared" si="379"/>
        <v>722.28143039441363</v>
      </c>
      <c r="W566">
        <f t="shared" si="379"/>
        <v>975.58076215000085</v>
      </c>
      <c r="Y566" s="15">
        <f t="shared" si="365"/>
        <v>10903.752423711996</v>
      </c>
      <c r="Z566">
        <f t="shared" si="366"/>
        <v>665.08993085033171</v>
      </c>
    </row>
    <row r="567" spans="1:26" x14ac:dyDescent="0.25">
      <c r="A567" t="s">
        <v>57</v>
      </c>
      <c r="D567">
        <f t="shared" ref="D567:W567" si="380">D74*D132</f>
        <v>627.5</v>
      </c>
      <c r="E567">
        <f t="shared" si="380"/>
        <v>702.69387755102036</v>
      </c>
      <c r="F567">
        <f t="shared" si="380"/>
        <v>952.80000000000007</v>
      </c>
      <c r="G567">
        <f t="shared" si="380"/>
        <v>557.27346938775509</v>
      </c>
      <c r="H567">
        <f t="shared" si="380"/>
        <v>537.11713430453426</v>
      </c>
      <c r="I567">
        <f t="shared" si="380"/>
        <v>509.56671397702303</v>
      </c>
      <c r="J567">
        <f t="shared" si="380"/>
        <v>422.90501562269924</v>
      </c>
      <c r="K567">
        <f t="shared" si="380"/>
        <v>355.22834029832256</v>
      </c>
      <c r="L567">
        <f t="shared" si="380"/>
        <v>465.48380456897451</v>
      </c>
      <c r="M567">
        <f t="shared" si="380"/>
        <v>401.66132733963667</v>
      </c>
      <c r="N567">
        <f t="shared" si="380"/>
        <v>387.84956362845168</v>
      </c>
      <c r="O567">
        <f t="shared" si="380"/>
        <v>370.46851339514416</v>
      </c>
      <c r="P567">
        <f t="shared" si="380"/>
        <v>329.21002439324218</v>
      </c>
      <c r="Q567">
        <f t="shared" si="380"/>
        <v>351.35628038013908</v>
      </c>
      <c r="R567">
        <f t="shared" si="380"/>
        <v>290.66680333446766</v>
      </c>
      <c r="S567">
        <f t="shared" si="380"/>
        <v>383.62610378725344</v>
      </c>
      <c r="T567">
        <f t="shared" si="380"/>
        <v>391.94522060422344</v>
      </c>
      <c r="U567">
        <f t="shared" si="380"/>
        <v>517.8225374686142</v>
      </c>
      <c r="V567">
        <f t="shared" si="380"/>
        <v>428.35960285785711</v>
      </c>
      <c r="W567">
        <f t="shared" si="380"/>
        <v>472.42563067661138</v>
      </c>
      <c r="Y567" s="15">
        <f t="shared" si="365"/>
        <v>9455.9599635759714</v>
      </c>
      <c r="Z567">
        <f t="shared" si="366"/>
        <v>887.94589905671262</v>
      </c>
    </row>
    <row r="568" spans="1:26" x14ac:dyDescent="0.25">
      <c r="A568" t="s">
        <v>58</v>
      </c>
      <c r="D568">
        <f t="shared" ref="D568:W568" si="381">D75*D133</f>
        <v>746.54489795918357</v>
      </c>
      <c r="E568">
        <f t="shared" si="381"/>
        <v>611.85918367346937</v>
      </c>
      <c r="F568">
        <f t="shared" si="381"/>
        <v>409.1979591836735</v>
      </c>
      <c r="G568">
        <f t="shared" si="381"/>
        <v>258.9061224489796</v>
      </c>
      <c r="H568">
        <f t="shared" si="381"/>
        <v>684.98832288579467</v>
      </c>
      <c r="I568">
        <f t="shared" si="381"/>
        <v>563.74045938140932</v>
      </c>
      <c r="J568">
        <f t="shared" si="381"/>
        <v>501.73899587904862</v>
      </c>
      <c r="K568">
        <f t="shared" si="381"/>
        <v>416.08934977668775</v>
      </c>
      <c r="L568">
        <f t="shared" si="381"/>
        <v>532.03583107851068</v>
      </c>
      <c r="M568">
        <f t="shared" si="381"/>
        <v>569.24787619076608</v>
      </c>
      <c r="N568">
        <f t="shared" si="381"/>
        <v>613.81394948225488</v>
      </c>
      <c r="O568">
        <f t="shared" si="381"/>
        <v>542.95333031128223</v>
      </c>
      <c r="P568">
        <f t="shared" si="381"/>
        <v>249.38015073823388</v>
      </c>
      <c r="Q568">
        <f t="shared" si="381"/>
        <v>325.85470030567666</v>
      </c>
      <c r="R568">
        <f t="shared" si="381"/>
        <v>221.90231769202853</v>
      </c>
      <c r="S568">
        <f t="shared" si="381"/>
        <v>416.96653780241439</v>
      </c>
      <c r="T568">
        <f t="shared" si="381"/>
        <v>530.12706958585329</v>
      </c>
      <c r="U568">
        <f t="shared" si="381"/>
        <v>578.05873069835673</v>
      </c>
      <c r="V568">
        <f t="shared" si="381"/>
        <v>772.53382340803557</v>
      </c>
      <c r="W568">
        <f t="shared" si="381"/>
        <v>904.94704783678105</v>
      </c>
      <c r="Y568" s="15">
        <f t="shared" si="365"/>
        <v>10450.886656318438</v>
      </c>
      <c r="Z568">
        <f t="shared" si="366"/>
        <v>517.38762594895138</v>
      </c>
    </row>
    <row r="569" spans="1:26" x14ac:dyDescent="0.25">
      <c r="A569" t="s">
        <v>59</v>
      </c>
      <c r="D569">
        <f t="shared" ref="D569:W569" si="382">D76*D134</f>
        <v>491.55487798614223</v>
      </c>
      <c r="E569">
        <f t="shared" si="382"/>
        <v>415.84259953927079</v>
      </c>
      <c r="F569">
        <f t="shared" si="382"/>
        <v>618.48607024058788</v>
      </c>
      <c r="G569">
        <f t="shared" si="382"/>
        <v>899.33524765385914</v>
      </c>
      <c r="H569">
        <f t="shared" si="382"/>
        <v>938.75863097351328</v>
      </c>
      <c r="I569">
        <f t="shared" si="382"/>
        <v>1309.0258519557881</v>
      </c>
      <c r="J569">
        <f t="shared" si="382"/>
        <v>1107.6375631640371</v>
      </c>
      <c r="K569">
        <f t="shared" si="382"/>
        <v>741.60664882126605</v>
      </c>
      <c r="L569">
        <f t="shared" si="382"/>
        <v>374.5894919343441</v>
      </c>
      <c r="M569">
        <f t="shared" si="382"/>
        <v>514.55184944442499</v>
      </c>
      <c r="N569">
        <f t="shared" si="382"/>
        <v>889.28862978612153</v>
      </c>
      <c r="O569">
        <f t="shared" si="382"/>
        <v>664.85711840056376</v>
      </c>
      <c r="P569">
        <f t="shared" si="382"/>
        <v>496.76486367821082</v>
      </c>
      <c r="Q569">
        <f t="shared" si="382"/>
        <v>329.55485924593228</v>
      </c>
      <c r="R569">
        <f t="shared" si="382"/>
        <v>425.12139335662391</v>
      </c>
      <c r="S569">
        <f t="shared" si="382"/>
        <v>423.20312051059238</v>
      </c>
      <c r="T569">
        <f t="shared" si="382"/>
        <v>452.18771954955611</v>
      </c>
      <c r="U569">
        <f t="shared" si="382"/>
        <v>349.17417274724414</v>
      </c>
      <c r="V569">
        <f t="shared" si="382"/>
        <v>370.47427517095116</v>
      </c>
      <c r="W569">
        <f t="shared" si="382"/>
        <v>372.54999127971371</v>
      </c>
      <c r="Y569" s="15">
        <f t="shared" si="365"/>
        <v>12184.564975438741</v>
      </c>
      <c r="Z569">
        <f t="shared" si="366"/>
        <v>797.9499346299699</v>
      </c>
    </row>
    <row r="570" spans="1:26" x14ac:dyDescent="0.25">
      <c r="A570" t="s">
        <v>60</v>
      </c>
      <c r="D570">
        <f t="shared" ref="D570:W570" si="383">D77*D135</f>
        <v>308.71608225811167</v>
      </c>
      <c r="E570">
        <f t="shared" si="383"/>
        <v>776.32688610223352</v>
      </c>
      <c r="F570">
        <f t="shared" si="383"/>
        <v>1269.6944385314177</v>
      </c>
      <c r="G570">
        <f t="shared" si="383"/>
        <v>590.13978222234618</v>
      </c>
      <c r="H570">
        <f t="shared" si="383"/>
        <v>535.82358601836415</v>
      </c>
      <c r="I570">
        <f t="shared" si="383"/>
        <v>495.62247046693233</v>
      </c>
      <c r="J570">
        <f t="shared" si="383"/>
        <v>695.64206464301094</v>
      </c>
      <c r="K570">
        <f t="shared" si="383"/>
        <v>707.41262235307772</v>
      </c>
      <c r="L570">
        <f t="shared" si="383"/>
        <v>525.19594674347968</v>
      </c>
      <c r="M570">
        <f t="shared" si="383"/>
        <v>615.94193744000995</v>
      </c>
      <c r="N570">
        <f t="shared" si="383"/>
        <v>461.00142208830573</v>
      </c>
      <c r="O570">
        <f t="shared" si="383"/>
        <v>436.97644452355439</v>
      </c>
      <c r="P570">
        <f t="shared" si="383"/>
        <v>403.54310093187507</v>
      </c>
      <c r="Q570">
        <f t="shared" si="383"/>
        <v>502.20167956976917</v>
      </c>
      <c r="R570">
        <f t="shared" si="383"/>
        <v>736.63329325994528</v>
      </c>
      <c r="S570">
        <f t="shared" si="383"/>
        <v>384.9441988825381</v>
      </c>
      <c r="T570">
        <f t="shared" si="383"/>
        <v>408.80532246859661</v>
      </c>
      <c r="U570">
        <f t="shared" si="383"/>
        <v>412.52401503150566</v>
      </c>
      <c r="V570">
        <f t="shared" si="383"/>
        <v>563.80389038064641</v>
      </c>
      <c r="W570">
        <f t="shared" si="383"/>
        <v>344.05936323008956</v>
      </c>
      <c r="Y570" s="15">
        <f t="shared" si="365"/>
        <v>11175.008547145811</v>
      </c>
      <c r="Z570">
        <f t="shared" si="366"/>
        <v>899.91581097565438</v>
      </c>
    </row>
    <row r="571" spans="1:26" x14ac:dyDescent="0.25">
      <c r="A571" t="s">
        <v>61</v>
      </c>
      <c r="D571">
        <f t="shared" ref="D571:W571" si="384">D78*D136</f>
        <v>680.57576075681993</v>
      </c>
      <c r="E571">
        <f t="shared" si="384"/>
        <v>965.64347487675491</v>
      </c>
      <c r="F571">
        <f t="shared" si="384"/>
        <v>1211.9478246780029</v>
      </c>
      <c r="G571">
        <f t="shared" si="384"/>
        <v>1369.4146668832634</v>
      </c>
      <c r="H571">
        <f t="shared" si="384"/>
        <v>1240.196501877926</v>
      </c>
      <c r="I571">
        <f t="shared" si="384"/>
        <v>755.97656137839635</v>
      </c>
      <c r="J571">
        <f t="shared" si="384"/>
        <v>338.94497190973613</v>
      </c>
      <c r="K571">
        <f t="shared" si="384"/>
        <v>262.89718481022891</v>
      </c>
      <c r="L571">
        <f t="shared" si="384"/>
        <v>534.47573379997266</v>
      </c>
      <c r="M571">
        <f t="shared" si="384"/>
        <v>350.76221217902048</v>
      </c>
      <c r="N571">
        <f t="shared" si="384"/>
        <v>290.95164964566652</v>
      </c>
      <c r="O571">
        <f t="shared" si="384"/>
        <v>586.69669818407226</v>
      </c>
      <c r="P571">
        <f t="shared" si="384"/>
        <v>517.97625744217578</v>
      </c>
      <c r="Q571">
        <f t="shared" si="384"/>
        <v>386.91175523831288</v>
      </c>
      <c r="R571">
        <f t="shared" si="384"/>
        <v>475.97190703455271</v>
      </c>
      <c r="S571">
        <f t="shared" si="384"/>
        <v>571.7126356400679</v>
      </c>
      <c r="T571">
        <f t="shared" si="384"/>
        <v>368.53289635046372</v>
      </c>
      <c r="U571">
        <f t="shared" si="384"/>
        <v>427.38147687960196</v>
      </c>
      <c r="V571">
        <f t="shared" si="384"/>
        <v>385.92554364518605</v>
      </c>
      <c r="W571">
        <f t="shared" si="384"/>
        <v>347.63311300584326</v>
      </c>
      <c r="Y571" s="15">
        <f t="shared" si="365"/>
        <v>12070.528826216065</v>
      </c>
      <c r="Z571">
        <f t="shared" si="366"/>
        <v>1748.4677885660476</v>
      </c>
    </row>
    <row r="572" spans="1:26" x14ac:dyDescent="0.25">
      <c r="A572" t="s">
        <v>62</v>
      </c>
      <c r="D572">
        <f t="shared" ref="D572:W572" si="385">D79*D137</f>
        <v>564.39042186524159</v>
      </c>
      <c r="E572">
        <f t="shared" si="385"/>
        <v>633.21334481698398</v>
      </c>
      <c r="F572">
        <f t="shared" si="385"/>
        <v>562.87703104619209</v>
      </c>
      <c r="G572">
        <f t="shared" si="385"/>
        <v>492.2336620391776</v>
      </c>
      <c r="H572">
        <f t="shared" si="385"/>
        <v>693.25510238150707</v>
      </c>
      <c r="I572">
        <f t="shared" si="385"/>
        <v>712.57757277866961</v>
      </c>
      <c r="J572">
        <f t="shared" si="385"/>
        <v>469.9286851867576</v>
      </c>
      <c r="K572">
        <f t="shared" si="385"/>
        <v>526.66647804790932</v>
      </c>
      <c r="L572">
        <f t="shared" si="385"/>
        <v>470.61083400269121</v>
      </c>
      <c r="M572">
        <f t="shared" si="385"/>
        <v>542.46941705739664</v>
      </c>
      <c r="N572">
        <f t="shared" si="385"/>
        <v>285.6120230249723</v>
      </c>
      <c r="O572">
        <f t="shared" si="385"/>
        <v>306.42521436943485</v>
      </c>
      <c r="P572">
        <f t="shared" si="385"/>
        <v>374.11909452001578</v>
      </c>
      <c r="Q572">
        <f t="shared" si="385"/>
        <v>462.87165774994736</v>
      </c>
      <c r="R572">
        <f t="shared" si="385"/>
        <v>253.99197967630292</v>
      </c>
      <c r="S572">
        <f t="shared" si="385"/>
        <v>353.24448758507413</v>
      </c>
      <c r="T572">
        <f t="shared" si="385"/>
        <v>299.09830489096402</v>
      </c>
      <c r="U572">
        <f t="shared" si="385"/>
        <v>427.19242271002673</v>
      </c>
      <c r="V572">
        <f t="shared" si="385"/>
        <v>443.0594585323762</v>
      </c>
      <c r="W572">
        <f t="shared" si="385"/>
        <v>667.34901317829542</v>
      </c>
      <c r="Y572" s="15">
        <f t="shared" si="365"/>
        <v>9541.1862054599369</v>
      </c>
      <c r="Z572">
        <f t="shared" si="366"/>
        <v>821.67121655372966</v>
      </c>
    </row>
    <row r="573" spans="1:26" x14ac:dyDescent="0.25">
      <c r="Y573" s="15"/>
    </row>
    <row r="574" spans="1:26" x14ac:dyDescent="0.25">
      <c r="A574" t="s">
        <v>63</v>
      </c>
      <c r="D574">
        <f t="shared" ref="D574:W574" si="386">D81*D139</f>
        <v>493.15289466304944</v>
      </c>
      <c r="E574">
        <f t="shared" si="386"/>
        <v>378.98893974860579</v>
      </c>
      <c r="F574">
        <f t="shared" si="386"/>
        <v>528.99069138820698</v>
      </c>
      <c r="G574">
        <f t="shared" si="386"/>
        <v>347.99274936568548</v>
      </c>
      <c r="H574">
        <f t="shared" si="386"/>
        <v>595.42254555189265</v>
      </c>
      <c r="I574">
        <f t="shared" si="386"/>
        <v>560.12528927739163</v>
      </c>
      <c r="J574">
        <f t="shared" si="386"/>
        <v>361.21927575737095</v>
      </c>
      <c r="K574">
        <f t="shared" si="386"/>
        <v>437.64237411472936</v>
      </c>
      <c r="L574">
        <f t="shared" si="386"/>
        <v>361.3131503944881</v>
      </c>
      <c r="M574">
        <f t="shared" si="386"/>
        <v>367.60040161161129</v>
      </c>
      <c r="N574">
        <f t="shared" si="386"/>
        <v>447.20314165358917</v>
      </c>
      <c r="O574">
        <f t="shared" si="386"/>
        <v>451.8872597597545</v>
      </c>
      <c r="P574">
        <f t="shared" si="386"/>
        <v>347.53813300349441</v>
      </c>
      <c r="Q574">
        <f t="shared" si="386"/>
        <v>352.31627451991409</v>
      </c>
      <c r="R574">
        <f t="shared" si="386"/>
        <v>339.93415454408068</v>
      </c>
      <c r="S574">
        <f t="shared" si="386"/>
        <v>390.24909837837089</v>
      </c>
      <c r="T574">
        <f t="shared" si="386"/>
        <v>381.56689370126782</v>
      </c>
      <c r="U574">
        <f t="shared" si="386"/>
        <v>432.87665636145675</v>
      </c>
      <c r="V574">
        <f t="shared" si="386"/>
        <v>482.62722393966931</v>
      </c>
      <c r="W574">
        <f t="shared" si="386"/>
        <v>461.33268132024602</v>
      </c>
      <c r="Y574" s="15">
        <f t="shared" si="365"/>
        <v>8519.979829054877</v>
      </c>
      <c r="Z574">
        <f>SUMPRODUCT($D$578:$S$578,D574:S574)</f>
        <v>550.77126684059613</v>
      </c>
    </row>
    <row r="575" spans="1:26" x14ac:dyDescent="0.25">
      <c r="A575" t="s">
        <v>307</v>
      </c>
      <c r="D575">
        <f t="shared" ref="D575:W575" si="387">D82*D140</f>
        <v>812.55510204081611</v>
      </c>
      <c r="E575">
        <f t="shared" si="387"/>
        <v>1556.86</v>
      </c>
      <c r="F575">
        <f t="shared" si="387"/>
        <v>667.95</v>
      </c>
      <c r="G575">
        <f t="shared" si="387"/>
        <v>580.5</v>
      </c>
      <c r="H575">
        <f t="shared" si="387"/>
        <v>699.61224489795916</v>
      </c>
      <c r="I575">
        <f t="shared" si="387"/>
        <v>543.82448979591834</v>
      </c>
      <c r="J575">
        <f t="shared" si="387"/>
        <v>418.08979591836743</v>
      </c>
      <c r="K575">
        <f t="shared" si="387"/>
        <v>397.97551020408167</v>
      </c>
      <c r="L575">
        <f t="shared" si="387"/>
        <v>631.48593749999998</v>
      </c>
      <c r="M575">
        <f t="shared" si="387"/>
        <v>684.56734693877559</v>
      </c>
      <c r="N575">
        <f t="shared" si="387"/>
        <v>543.37959183673479</v>
      </c>
      <c r="O575">
        <f t="shared" si="387"/>
        <v>470.4</v>
      </c>
      <c r="P575">
        <f t="shared" si="387"/>
        <v>1038.5</v>
      </c>
      <c r="Q575">
        <f t="shared" si="387"/>
        <v>554.4</v>
      </c>
      <c r="R575">
        <f t="shared" si="387"/>
        <v>534.24</v>
      </c>
      <c r="S575">
        <f t="shared" si="387"/>
        <v>545.28000000000009</v>
      </c>
      <c r="T575">
        <f t="shared" si="387"/>
        <v>352.35</v>
      </c>
      <c r="U575">
        <f t="shared" si="387"/>
        <v>411.92</v>
      </c>
      <c r="V575">
        <f t="shared" si="387"/>
        <v>475.58000000000004</v>
      </c>
      <c r="W575">
        <f t="shared" si="387"/>
        <v>441.44000000000005</v>
      </c>
      <c r="Y575" s="15">
        <f t="shared" si="365"/>
        <v>12360.910019132654</v>
      </c>
      <c r="Z575">
        <f>SUMPRODUCT($D$578:$S$578,D575:S575)</f>
        <v>1223.8312687052569</v>
      </c>
    </row>
    <row r="576" spans="1:26" x14ac:dyDescent="0.25">
      <c r="A576" t="s">
        <v>308</v>
      </c>
      <c r="D576">
        <f t="shared" ref="D576:W576" si="388">D83*D141</f>
        <v>507.45474956566648</v>
      </c>
      <c r="E576">
        <f t="shared" si="388"/>
        <v>845.12</v>
      </c>
      <c r="F576">
        <f t="shared" si="388"/>
        <v>753.28</v>
      </c>
      <c r="G576">
        <f t="shared" si="388"/>
        <v>520.52</v>
      </c>
      <c r="H576">
        <f t="shared" si="388"/>
        <v>654.84</v>
      </c>
      <c r="I576">
        <f t="shared" si="388"/>
        <v>439.03999999999996</v>
      </c>
      <c r="J576">
        <f t="shared" si="388"/>
        <v>368.38000000000005</v>
      </c>
      <c r="K576">
        <f t="shared" si="388"/>
        <v>429.57</v>
      </c>
      <c r="L576">
        <f t="shared" si="388"/>
        <v>443.07999999999993</v>
      </c>
      <c r="M576">
        <f t="shared" si="388"/>
        <v>589.25999999999988</v>
      </c>
      <c r="N576">
        <f t="shared" si="388"/>
        <v>496.47999999999996</v>
      </c>
      <c r="O576">
        <f t="shared" si="388"/>
        <v>499.38000000000005</v>
      </c>
      <c r="P576">
        <f t="shared" si="388"/>
        <v>354.80477286094111</v>
      </c>
      <c r="Q576">
        <f t="shared" si="388"/>
        <v>369.67073049963329</v>
      </c>
      <c r="R576">
        <f t="shared" si="388"/>
        <v>421.28382633463696</v>
      </c>
      <c r="S576">
        <f t="shared" si="388"/>
        <v>416.68037792129087</v>
      </c>
      <c r="T576">
        <f t="shared" si="388"/>
        <v>464.27590222992922</v>
      </c>
      <c r="U576">
        <f t="shared" si="388"/>
        <v>487.95058868821019</v>
      </c>
      <c r="V576">
        <f t="shared" si="388"/>
        <v>574.92177848337099</v>
      </c>
      <c r="W576">
        <f t="shared" si="388"/>
        <v>618.72885362726129</v>
      </c>
      <c r="Y576" s="15">
        <f t="shared" si="365"/>
        <v>10254.72158021094</v>
      </c>
      <c r="Z576">
        <f>SUMPRODUCT($D$578:$S$578,D576:S576)</f>
        <v>860.38849126582988</v>
      </c>
    </row>
    <row r="577" spans="1:26" x14ac:dyDescent="0.25">
      <c r="A577" t="s">
        <v>670</v>
      </c>
      <c r="D577">
        <f t="shared" ref="D577:W577" si="389">D84*D142</f>
        <v>704.41783508144931</v>
      </c>
      <c r="E577">
        <f t="shared" si="389"/>
        <v>751.99315670513238</v>
      </c>
      <c r="F577">
        <f t="shared" si="389"/>
        <v>621.0485784516826</v>
      </c>
      <c r="G577">
        <f t="shared" si="389"/>
        <v>654.29734371925713</v>
      </c>
      <c r="H577">
        <f t="shared" si="389"/>
        <v>609.79376277997028</v>
      </c>
      <c r="I577">
        <f t="shared" si="389"/>
        <v>462.18361029477273</v>
      </c>
      <c r="J577">
        <f t="shared" si="389"/>
        <v>391.54920738954041</v>
      </c>
      <c r="K577">
        <f t="shared" si="389"/>
        <v>339.58125135111243</v>
      </c>
      <c r="L577">
        <f t="shared" si="389"/>
        <v>305.52978559599399</v>
      </c>
      <c r="M577">
        <f t="shared" si="389"/>
        <v>390.67269679609063</v>
      </c>
      <c r="N577">
        <f t="shared" si="389"/>
        <v>477.82047305066197</v>
      </c>
      <c r="O577">
        <f t="shared" si="389"/>
        <v>472.12185202862639</v>
      </c>
      <c r="P577">
        <f t="shared" si="389"/>
        <v>309.93318637240219</v>
      </c>
      <c r="Q577">
        <f t="shared" si="389"/>
        <v>339.46306361484068</v>
      </c>
      <c r="R577">
        <f t="shared" si="389"/>
        <v>387.52878209911228</v>
      </c>
      <c r="S577">
        <f t="shared" si="389"/>
        <v>402.46099810949266</v>
      </c>
      <c r="T577">
        <f t="shared" si="389"/>
        <v>381.70662767112918</v>
      </c>
      <c r="U577">
        <f t="shared" si="389"/>
        <v>442.09237672122759</v>
      </c>
      <c r="V577">
        <f t="shared" si="389"/>
        <v>504.42462573380919</v>
      </c>
      <c r="W577">
        <f t="shared" si="389"/>
        <v>468.2761200672889</v>
      </c>
      <c r="Y577" s="15">
        <f t="shared" ref="Y577" si="390">SUM(D577:W577)</f>
        <v>9416.8953336335926</v>
      </c>
      <c r="Z577">
        <f>SUMPRODUCT($D$578:$S$578,D577:S577)</f>
        <v>826.4413265282119</v>
      </c>
    </row>
    <row r="578" spans="1:26" x14ac:dyDescent="0.25">
      <c r="A578" s="2" t="s">
        <v>64</v>
      </c>
      <c r="D578" s="3">
        <f>CORREL($B$2:$B$21,D553:D572)</f>
        <v>-7.8793793278164478E-2</v>
      </c>
      <c r="E578" s="3">
        <f t="shared" ref="E578:W578" si="391">CORREL($B$2:$B$21,E553:E572)</f>
        <v>0.51986725629647257</v>
      </c>
      <c r="F578" s="3">
        <f t="shared" si="391"/>
        <v>0.33933813710958388</v>
      </c>
      <c r="G578" s="3">
        <f t="shared" si="391"/>
        <v>0.31319775879748479</v>
      </c>
      <c r="H578" s="3">
        <f t="shared" si="391"/>
        <v>0.43443484610217226</v>
      </c>
      <c r="I578" s="3">
        <f t="shared" si="391"/>
        <v>0.25452653788676494</v>
      </c>
      <c r="J578" s="3">
        <f t="shared" si="391"/>
        <v>-0.19901133729926557</v>
      </c>
      <c r="K578" s="3">
        <f t="shared" si="391"/>
        <v>-5.5967886820359435E-2</v>
      </c>
      <c r="L578" s="3">
        <f t="shared" si="391"/>
        <v>-0.10179968150426187</v>
      </c>
      <c r="M578" s="3">
        <f t="shared" si="391"/>
        <v>-0.12192578924109272</v>
      </c>
      <c r="N578" s="3">
        <f t="shared" si="391"/>
        <v>-0.19398157305542438</v>
      </c>
      <c r="O578" s="3">
        <f t="shared" si="391"/>
        <v>-0.20109238219952399</v>
      </c>
      <c r="P578" s="3">
        <f t="shared" si="391"/>
        <v>3.2309821940265087E-3</v>
      </c>
      <c r="Q578" s="3">
        <f t="shared" si="391"/>
        <v>3.9174484424834864E-2</v>
      </c>
      <c r="R578" s="3">
        <f t="shared" si="391"/>
        <v>-8.4715388682370205E-2</v>
      </c>
      <c r="S578" s="3">
        <f t="shared" si="391"/>
        <v>0.18537849238944909</v>
      </c>
      <c r="T578" s="3">
        <f t="shared" si="391"/>
        <v>-3.7648827157124462E-2</v>
      </c>
      <c r="U578" s="3">
        <f t="shared" si="391"/>
        <v>-0.17936871892048212</v>
      </c>
      <c r="V578" s="3">
        <f t="shared" si="391"/>
        <v>-9.0068370477125737E-2</v>
      </c>
      <c r="W578" s="3">
        <f t="shared" si="391"/>
        <v>-5.7504765376017834E-2</v>
      </c>
    </row>
    <row r="581" spans="1:26" x14ac:dyDescent="0.25">
      <c r="D581" t="s">
        <v>223</v>
      </c>
      <c r="E581" t="s">
        <v>224</v>
      </c>
      <c r="F581" t="s">
        <v>225</v>
      </c>
      <c r="G581" t="s">
        <v>226</v>
      </c>
      <c r="H581" t="s">
        <v>227</v>
      </c>
      <c r="I581" t="s">
        <v>228</v>
      </c>
      <c r="J581" t="s">
        <v>229</v>
      </c>
      <c r="K581" t="s">
        <v>230</v>
      </c>
      <c r="L581" t="s">
        <v>353</v>
      </c>
      <c r="M581" t="s">
        <v>421</v>
      </c>
      <c r="N581" t="s">
        <v>422</v>
      </c>
      <c r="O581" t="s">
        <v>423</v>
      </c>
      <c r="P581" t="s">
        <v>526</v>
      </c>
      <c r="Q581" t="s">
        <v>527</v>
      </c>
      <c r="R581" t="s">
        <v>528</v>
      </c>
      <c r="S581" t="s">
        <v>529</v>
      </c>
      <c r="T581" t="s">
        <v>638</v>
      </c>
      <c r="U581" t="s">
        <v>639</v>
      </c>
      <c r="V581" t="s">
        <v>640</v>
      </c>
      <c r="W581" t="s">
        <v>641</v>
      </c>
      <c r="Y581" t="s">
        <v>231</v>
      </c>
      <c r="Z581" t="s">
        <v>232</v>
      </c>
    </row>
    <row r="582" spans="1:26" x14ac:dyDescent="0.25">
      <c r="A582" t="s">
        <v>43</v>
      </c>
      <c r="D582">
        <f t="shared" ref="D582:W582" si="392">D60*D147</f>
        <v>241.23045309771862</v>
      </c>
      <c r="E582">
        <f t="shared" si="392"/>
        <v>148.64061224489794</v>
      </c>
      <c r="F582">
        <f t="shared" si="392"/>
        <v>177.51102040816326</v>
      </c>
      <c r="G582">
        <f t="shared" si="392"/>
        <v>206.77000000000004</v>
      </c>
      <c r="H582">
        <f t="shared" si="392"/>
        <v>135.11541813601409</v>
      </c>
      <c r="I582">
        <f t="shared" si="392"/>
        <v>141.99823003195038</v>
      </c>
      <c r="J582">
        <f t="shared" si="392"/>
        <v>106.16164509098463</v>
      </c>
      <c r="K582">
        <f t="shared" si="392"/>
        <v>139.45207065369314</v>
      </c>
      <c r="L582">
        <f t="shared" si="392"/>
        <v>116.88183745951446</v>
      </c>
      <c r="M582">
        <f t="shared" si="392"/>
        <v>137.36801502283362</v>
      </c>
      <c r="N582">
        <f t="shared" si="392"/>
        <v>135.83694577541061</v>
      </c>
      <c r="O582">
        <f t="shared" si="392"/>
        <v>104.02011545272904</v>
      </c>
      <c r="P582">
        <f t="shared" si="392"/>
        <v>116.10220699804549</v>
      </c>
      <c r="Q582">
        <f t="shared" si="392"/>
        <v>110.58745727729631</v>
      </c>
      <c r="R582">
        <f t="shared" si="392"/>
        <v>114.25426529798752</v>
      </c>
      <c r="S582">
        <f t="shared" si="392"/>
        <v>182.67978485785304</v>
      </c>
      <c r="T582">
        <f t="shared" si="392"/>
        <v>99.37504582676965</v>
      </c>
      <c r="U582">
        <f t="shared" si="392"/>
        <v>185.29387569253905</v>
      </c>
      <c r="V582">
        <f t="shared" si="392"/>
        <v>277.69094409461974</v>
      </c>
      <c r="W582">
        <f t="shared" si="392"/>
        <v>313.37202594160709</v>
      </c>
      <c r="Y582" s="15">
        <f t="shared" ref="Y582:Y605" si="393">SUM(D582:W582)</f>
        <v>3190.3419693606279</v>
      </c>
      <c r="Z582">
        <f t="shared" ref="Z582:Z601" si="394">SUMPRODUCT($D$607:$S$607,D582:S582)</f>
        <v>423.17196417778354</v>
      </c>
    </row>
    <row r="583" spans="1:26" x14ac:dyDescent="0.25">
      <c r="A583" t="s">
        <v>44</v>
      </c>
      <c r="D583">
        <f t="shared" ref="D583:W583" si="395">D61*D148</f>
        <v>286.30408163265309</v>
      </c>
      <c r="E583">
        <f t="shared" si="395"/>
        <v>240.71836734693881</v>
      </c>
      <c r="F583">
        <f t="shared" si="395"/>
        <v>161.59224489795915</v>
      </c>
      <c r="G583">
        <f t="shared" si="395"/>
        <v>206.11448979591836</v>
      </c>
      <c r="H583">
        <f t="shared" si="395"/>
        <v>604.04728587629984</v>
      </c>
      <c r="I583">
        <f t="shared" si="395"/>
        <v>538.92445459467513</v>
      </c>
      <c r="J583">
        <f t="shared" si="395"/>
        <v>425.26063938146649</v>
      </c>
      <c r="K583">
        <f t="shared" si="395"/>
        <v>501.84545718471372</v>
      </c>
      <c r="L583">
        <f t="shared" si="395"/>
        <v>510.74469150576158</v>
      </c>
      <c r="M583">
        <f t="shared" si="395"/>
        <v>106.85489774652243</v>
      </c>
      <c r="N583">
        <f t="shared" si="395"/>
        <v>115.64145202092313</v>
      </c>
      <c r="O583">
        <f t="shared" si="395"/>
        <v>103.23337386987885</v>
      </c>
      <c r="P583">
        <f t="shared" si="395"/>
        <v>128.09637385663234</v>
      </c>
      <c r="Q583">
        <f t="shared" si="395"/>
        <v>107.18597946093767</v>
      </c>
      <c r="R583">
        <f t="shared" si="395"/>
        <v>96.008832206578774</v>
      </c>
      <c r="S583">
        <f t="shared" si="395"/>
        <v>116.75307349236311</v>
      </c>
      <c r="T583">
        <f t="shared" si="395"/>
        <v>145.06545111801236</v>
      </c>
      <c r="U583">
        <f t="shared" si="395"/>
        <v>111.47328998937748</v>
      </c>
      <c r="V583">
        <f t="shared" si="395"/>
        <v>177.22378913213794</v>
      </c>
      <c r="W583">
        <f t="shared" si="395"/>
        <v>233.38707877459692</v>
      </c>
      <c r="Y583" s="15">
        <f t="shared" si="393"/>
        <v>4916.4753038843492</v>
      </c>
      <c r="Z583">
        <f t="shared" si="394"/>
        <v>439.25524282793623</v>
      </c>
    </row>
    <row r="584" spans="1:26" x14ac:dyDescent="0.25">
      <c r="A584" t="s">
        <v>45</v>
      </c>
      <c r="D584">
        <f t="shared" ref="D584:W584" si="396">D62*D149</f>
        <v>345.22965190592197</v>
      </c>
      <c r="E584">
        <f t="shared" si="396"/>
        <v>196.17551020408163</v>
      </c>
      <c r="F584">
        <f t="shared" si="396"/>
        <v>224.34285714285718</v>
      </c>
      <c r="G584">
        <f t="shared" si="396"/>
        <v>136.15755102040816</v>
      </c>
      <c r="H584">
        <f t="shared" si="396"/>
        <v>168.46619280097079</v>
      </c>
      <c r="I584">
        <f t="shared" si="396"/>
        <v>138.77962919572752</v>
      </c>
      <c r="J584">
        <f t="shared" si="396"/>
        <v>92.136413752417269</v>
      </c>
      <c r="K584">
        <f t="shared" si="396"/>
        <v>127.35766066037291</v>
      </c>
      <c r="L584">
        <f t="shared" si="396"/>
        <v>87.640491751432933</v>
      </c>
      <c r="M584">
        <f t="shared" si="396"/>
        <v>42.927278797351079</v>
      </c>
      <c r="N584">
        <f t="shared" si="396"/>
        <v>45.633993507208849</v>
      </c>
      <c r="O584">
        <f t="shared" si="396"/>
        <v>49.374734061281956</v>
      </c>
      <c r="P584">
        <f t="shared" si="396"/>
        <v>44.87368038646229</v>
      </c>
      <c r="Q584">
        <f t="shared" si="396"/>
        <v>46.151006429316524</v>
      </c>
      <c r="R584">
        <f t="shared" si="396"/>
        <v>45.208218159590778</v>
      </c>
      <c r="S584">
        <f t="shared" si="396"/>
        <v>55.472445289669409</v>
      </c>
      <c r="T584">
        <f t="shared" si="396"/>
        <v>64.428933852063949</v>
      </c>
      <c r="U584">
        <f t="shared" si="396"/>
        <v>88.262187125914437</v>
      </c>
      <c r="V584">
        <f t="shared" si="396"/>
        <v>182.7604724961742</v>
      </c>
      <c r="W584">
        <f t="shared" si="396"/>
        <v>270.9032330319979</v>
      </c>
      <c r="Y584" s="15">
        <f t="shared" si="393"/>
        <v>2452.282141571221</v>
      </c>
      <c r="Z584">
        <f t="shared" si="394"/>
        <v>468.77944470326798</v>
      </c>
    </row>
    <row r="585" spans="1:26" x14ac:dyDescent="0.25">
      <c r="A585" t="s">
        <v>46</v>
      </c>
      <c r="D585">
        <f t="shared" ref="D585:W585" si="397">D63*D150</f>
        <v>256.11162327150868</v>
      </c>
      <c r="E585">
        <f t="shared" si="397"/>
        <v>198.13543568101585</v>
      </c>
      <c r="F585">
        <f t="shared" si="397"/>
        <v>124.73425942770594</v>
      </c>
      <c r="G585">
        <f t="shared" si="397"/>
        <v>133.16460887213117</v>
      </c>
      <c r="H585">
        <f t="shared" si="397"/>
        <v>98.639410830580061</v>
      </c>
      <c r="I585">
        <f t="shared" si="397"/>
        <v>120.19193634986978</v>
      </c>
      <c r="J585">
        <f t="shared" si="397"/>
        <v>112.71321276759075</v>
      </c>
      <c r="K585">
        <f t="shared" si="397"/>
        <v>132.1532358774738</v>
      </c>
      <c r="L585">
        <f t="shared" si="397"/>
        <v>99.211850993543479</v>
      </c>
      <c r="M585">
        <f t="shared" si="397"/>
        <v>144.56234180568265</v>
      </c>
      <c r="N585">
        <f t="shared" si="397"/>
        <v>113.34419746580218</v>
      </c>
      <c r="O585">
        <f t="shared" si="397"/>
        <v>105.96743733303737</v>
      </c>
      <c r="P585">
        <f t="shared" si="397"/>
        <v>112.82159754987438</v>
      </c>
      <c r="Q585">
        <f t="shared" si="397"/>
        <v>158.54540874122179</v>
      </c>
      <c r="R585">
        <f t="shared" si="397"/>
        <v>122.9996917220984</v>
      </c>
      <c r="S585">
        <f t="shared" si="397"/>
        <v>133.28703930061107</v>
      </c>
      <c r="T585">
        <f t="shared" si="397"/>
        <v>171.59933900439867</v>
      </c>
      <c r="U585">
        <f t="shared" si="397"/>
        <v>169.95493987439232</v>
      </c>
      <c r="V585">
        <f t="shared" si="397"/>
        <v>198.98006981514732</v>
      </c>
      <c r="W585">
        <f t="shared" si="397"/>
        <v>278.4270468607175</v>
      </c>
      <c r="Y585" s="15">
        <f t="shared" si="393"/>
        <v>2985.5446835444036</v>
      </c>
      <c r="Z585">
        <f t="shared" si="394"/>
        <v>397.70411360949475</v>
      </c>
    </row>
    <row r="586" spans="1:26" x14ac:dyDescent="0.25">
      <c r="A586" t="s">
        <v>47</v>
      </c>
      <c r="D586">
        <f t="shared" ref="D586:W586" si="398">D64*D151</f>
        <v>341.5282758092489</v>
      </c>
      <c r="E586">
        <f t="shared" si="398"/>
        <v>271.64105373460194</v>
      </c>
      <c r="F586">
        <f t="shared" si="398"/>
        <v>218.94912252093405</v>
      </c>
      <c r="G586">
        <f t="shared" si="398"/>
        <v>168.34945068273205</v>
      </c>
      <c r="H586">
        <f t="shared" si="398"/>
        <v>172.00367797325629</v>
      </c>
      <c r="I586">
        <f t="shared" si="398"/>
        <v>137.67150663707491</v>
      </c>
      <c r="J586">
        <f t="shared" si="398"/>
        <v>101.18888738863328</v>
      </c>
      <c r="K586">
        <f t="shared" si="398"/>
        <v>188.32049445954308</v>
      </c>
      <c r="L586">
        <f t="shared" si="398"/>
        <v>161.39419380646854</v>
      </c>
      <c r="M586">
        <f t="shared" si="398"/>
        <v>124.47295988760688</v>
      </c>
      <c r="N586">
        <f t="shared" si="398"/>
        <v>121.91066950781324</v>
      </c>
      <c r="O586">
        <f t="shared" si="398"/>
        <v>107.34817768123538</v>
      </c>
      <c r="P586">
        <f t="shared" si="398"/>
        <v>107.59368004724664</v>
      </c>
      <c r="Q586">
        <f t="shared" si="398"/>
        <v>104.93240979905927</v>
      </c>
      <c r="R586">
        <f t="shared" si="398"/>
        <v>88.651048104191574</v>
      </c>
      <c r="S586">
        <f t="shared" si="398"/>
        <v>134.46135075326447</v>
      </c>
      <c r="T586">
        <f t="shared" si="398"/>
        <v>121.35342988235975</v>
      </c>
      <c r="U586">
        <f t="shared" si="398"/>
        <v>173.39049075610936</v>
      </c>
      <c r="V586">
        <f t="shared" si="398"/>
        <v>194.83948681240574</v>
      </c>
      <c r="W586">
        <f t="shared" si="398"/>
        <v>256.43903341942035</v>
      </c>
      <c r="Y586" s="15">
        <f t="shared" si="393"/>
        <v>3296.4393996632057</v>
      </c>
      <c r="Z586">
        <f t="shared" si="394"/>
        <v>541.30665589730506</v>
      </c>
    </row>
    <row r="587" spans="1:26" x14ac:dyDescent="0.25">
      <c r="A587" t="s">
        <v>48</v>
      </c>
      <c r="D587">
        <f t="shared" ref="D587:W587" si="399">D65*D152</f>
        <v>431.84690163220324</v>
      </c>
      <c r="E587">
        <f t="shared" si="399"/>
        <v>337.14109069867857</v>
      </c>
      <c r="F587">
        <f t="shared" si="399"/>
        <v>273.82698557789712</v>
      </c>
      <c r="G587">
        <f t="shared" si="399"/>
        <v>282.56064703508537</v>
      </c>
      <c r="H587">
        <f t="shared" si="399"/>
        <v>253.30952934135533</v>
      </c>
      <c r="I587">
        <f t="shared" si="399"/>
        <v>209.81927962712481</v>
      </c>
      <c r="J587">
        <f t="shared" si="399"/>
        <v>132.2150914521516</v>
      </c>
      <c r="K587">
        <f t="shared" si="399"/>
        <v>175.86790063084294</v>
      </c>
      <c r="L587">
        <f t="shared" si="399"/>
        <v>119.23933234175473</v>
      </c>
      <c r="M587">
        <f t="shared" si="399"/>
        <v>165.06956947453241</v>
      </c>
      <c r="N587">
        <f t="shared" si="399"/>
        <v>167.87772549494514</v>
      </c>
      <c r="O587">
        <f t="shared" si="399"/>
        <v>59.106025155243316</v>
      </c>
      <c r="P587">
        <f t="shared" si="399"/>
        <v>98.096232378541018</v>
      </c>
      <c r="Q587">
        <f t="shared" si="399"/>
        <v>156.65928286815708</v>
      </c>
      <c r="R587">
        <f t="shared" si="399"/>
        <v>93.444324008931531</v>
      </c>
      <c r="S587">
        <f t="shared" si="399"/>
        <v>166.71324991797724</v>
      </c>
      <c r="T587">
        <f t="shared" si="399"/>
        <v>106.77131499675701</v>
      </c>
      <c r="U587">
        <f t="shared" si="399"/>
        <v>129.20956725853074</v>
      </c>
      <c r="V587">
        <f t="shared" si="399"/>
        <v>184.08987649630981</v>
      </c>
      <c r="W587">
        <f t="shared" si="399"/>
        <v>240.88076728624605</v>
      </c>
      <c r="Y587" s="15">
        <f t="shared" si="393"/>
        <v>3783.7446936732649</v>
      </c>
      <c r="Z587">
        <f t="shared" si="394"/>
        <v>770.38917781797818</v>
      </c>
    </row>
    <row r="588" spans="1:26" x14ac:dyDescent="0.25">
      <c r="A588" t="s">
        <v>49</v>
      </c>
      <c r="D588">
        <f t="shared" ref="D588:W588" si="400">D66*D153</f>
        <v>399.34983316765806</v>
      </c>
      <c r="E588">
        <f t="shared" si="400"/>
        <v>308.68696977714939</v>
      </c>
      <c r="F588">
        <f t="shared" si="400"/>
        <v>235.34839512996496</v>
      </c>
      <c r="G588">
        <f t="shared" si="400"/>
        <v>166.19313306092738</v>
      </c>
      <c r="H588">
        <f t="shared" si="400"/>
        <v>128.64644763821195</v>
      </c>
      <c r="I588">
        <f t="shared" si="400"/>
        <v>101.43844759735822</v>
      </c>
      <c r="J588">
        <f t="shared" si="400"/>
        <v>107.36283930076561</v>
      </c>
      <c r="K588">
        <f t="shared" si="400"/>
        <v>101.70051922254889</v>
      </c>
      <c r="L588">
        <f t="shared" si="400"/>
        <v>48.688536160856735</v>
      </c>
      <c r="M588">
        <f t="shared" si="400"/>
        <v>85.765691326898036</v>
      </c>
      <c r="N588">
        <f t="shared" si="400"/>
        <v>91.847556465311897</v>
      </c>
      <c r="O588">
        <f t="shared" si="400"/>
        <v>126.21840839846398</v>
      </c>
      <c r="P588">
        <f t="shared" si="400"/>
        <v>112.25645473449731</v>
      </c>
      <c r="Q588">
        <f t="shared" si="400"/>
        <v>91.239008119140564</v>
      </c>
      <c r="R588">
        <f t="shared" si="400"/>
        <v>161.3877277379957</v>
      </c>
      <c r="S588">
        <f t="shared" si="400"/>
        <v>220.30121473388417</v>
      </c>
      <c r="T588">
        <f t="shared" si="400"/>
        <v>222.68329098815835</v>
      </c>
      <c r="U588">
        <f t="shared" si="400"/>
        <v>275.61214446167276</v>
      </c>
      <c r="V588">
        <f t="shared" si="400"/>
        <v>252.21797262521903</v>
      </c>
      <c r="W588">
        <f t="shared" si="400"/>
        <v>225.69729449479445</v>
      </c>
      <c r="Y588" s="15">
        <f t="shared" si="393"/>
        <v>3462.6418851414769</v>
      </c>
      <c r="Z588">
        <f t="shared" si="394"/>
        <v>593.16842329033159</v>
      </c>
    </row>
    <row r="589" spans="1:26" x14ac:dyDescent="0.25">
      <c r="A589" t="s">
        <v>50</v>
      </c>
      <c r="D589">
        <f t="shared" ref="D589:W589" si="401">D67*D154</f>
        <v>254.29068368136666</v>
      </c>
      <c r="E589">
        <f t="shared" si="401"/>
        <v>216.93673469387758</v>
      </c>
      <c r="F589">
        <f t="shared" si="401"/>
        <v>172.03265306122447</v>
      </c>
      <c r="G589">
        <f t="shared" si="401"/>
        <v>163.88755102040815</v>
      </c>
      <c r="H589">
        <f t="shared" si="401"/>
        <v>72.472712960227028</v>
      </c>
      <c r="I589">
        <f t="shared" si="401"/>
        <v>118.23182305835324</v>
      </c>
      <c r="J589">
        <f t="shared" si="401"/>
        <v>96.912655286884018</v>
      </c>
      <c r="K589">
        <f t="shared" si="401"/>
        <v>75.735322493583311</v>
      </c>
      <c r="L589">
        <f t="shared" si="401"/>
        <v>78.206411026964773</v>
      </c>
      <c r="M589">
        <f t="shared" si="401"/>
        <v>63.807852931070983</v>
      </c>
      <c r="N589">
        <f t="shared" si="401"/>
        <v>97.771631508337606</v>
      </c>
      <c r="O589">
        <f t="shared" si="401"/>
        <v>85.877929293792093</v>
      </c>
      <c r="P589">
        <f t="shared" si="401"/>
        <v>104.21997880049447</v>
      </c>
      <c r="Q589">
        <f t="shared" si="401"/>
        <v>118.75901627661713</v>
      </c>
      <c r="R589">
        <f t="shared" si="401"/>
        <v>110.21548765914515</v>
      </c>
      <c r="S589">
        <f t="shared" si="401"/>
        <v>95.512603112051593</v>
      </c>
      <c r="T589">
        <f t="shared" si="401"/>
        <v>132.70910679698275</v>
      </c>
      <c r="U589">
        <f t="shared" si="401"/>
        <v>115.76449198544535</v>
      </c>
      <c r="V589">
        <f t="shared" si="401"/>
        <v>181.04492512664422</v>
      </c>
      <c r="W589">
        <f t="shared" si="401"/>
        <v>266.13594038021131</v>
      </c>
      <c r="Y589" s="15">
        <f t="shared" si="393"/>
        <v>2620.5255111536817</v>
      </c>
      <c r="Z589">
        <f t="shared" si="394"/>
        <v>441.120109643398</v>
      </c>
    </row>
    <row r="590" spans="1:26" x14ac:dyDescent="0.25">
      <c r="A590" t="s">
        <v>51</v>
      </c>
      <c r="D590">
        <f t="shared" ref="D590:W590" si="402">D68*D155</f>
        <v>245.73868577273413</v>
      </c>
      <c r="E590">
        <f t="shared" si="402"/>
        <v>264.44265372974178</v>
      </c>
      <c r="F590">
        <f t="shared" si="402"/>
        <v>312.87725319976533</v>
      </c>
      <c r="G590">
        <f t="shared" si="402"/>
        <v>222.61867979476693</v>
      </c>
      <c r="H590">
        <f t="shared" si="402"/>
        <v>159.04465968535561</v>
      </c>
      <c r="I590">
        <f t="shared" si="402"/>
        <v>76.126012476916571</v>
      </c>
      <c r="J590">
        <f t="shared" si="402"/>
        <v>107.20225831445001</v>
      </c>
      <c r="K590">
        <f t="shared" si="402"/>
        <v>112.08273561008504</v>
      </c>
      <c r="L590">
        <f t="shared" si="402"/>
        <v>93.013872134186869</v>
      </c>
      <c r="M590">
        <f t="shared" si="402"/>
        <v>94.150815957879118</v>
      </c>
      <c r="N590">
        <f t="shared" si="402"/>
        <v>87.633258124635674</v>
      </c>
      <c r="O590">
        <f t="shared" si="402"/>
        <v>123.91401576327665</v>
      </c>
      <c r="P590">
        <f t="shared" si="402"/>
        <v>62.379676003970076</v>
      </c>
      <c r="Q590">
        <f t="shared" si="402"/>
        <v>76.361948256178323</v>
      </c>
      <c r="R590">
        <f t="shared" si="402"/>
        <v>63.061059061887804</v>
      </c>
      <c r="S590">
        <f t="shared" si="402"/>
        <v>89.788551024401457</v>
      </c>
      <c r="T590">
        <f t="shared" si="402"/>
        <v>154.19705236053773</v>
      </c>
      <c r="U590">
        <f t="shared" si="402"/>
        <v>113.54520667533839</v>
      </c>
      <c r="V590">
        <f t="shared" si="402"/>
        <v>151.83239656317454</v>
      </c>
      <c r="W590">
        <f t="shared" si="402"/>
        <v>253.60767966037861</v>
      </c>
      <c r="Y590" s="15">
        <f t="shared" si="393"/>
        <v>2863.6184701696602</v>
      </c>
      <c r="Z590">
        <f t="shared" si="394"/>
        <v>583.93093063665719</v>
      </c>
    </row>
    <row r="591" spans="1:26" x14ac:dyDescent="0.25">
      <c r="A591" t="s">
        <v>52</v>
      </c>
      <c r="D591">
        <f t="shared" ref="D591:W591" si="403">D69*D156</f>
        <v>321.84266293218951</v>
      </c>
      <c r="E591">
        <f t="shared" si="403"/>
        <v>218.47822798244661</v>
      </c>
      <c r="F591">
        <f t="shared" si="403"/>
        <v>225.55397127533018</v>
      </c>
      <c r="G591">
        <f t="shared" si="403"/>
        <v>176.73389308552146</v>
      </c>
      <c r="H591">
        <f t="shared" si="403"/>
        <v>108.19447575465372</v>
      </c>
      <c r="I591">
        <f t="shared" si="403"/>
        <v>120.0349449823259</v>
      </c>
      <c r="J591">
        <f t="shared" si="403"/>
        <v>134.50668749851977</v>
      </c>
      <c r="K591">
        <f t="shared" si="403"/>
        <v>103.76442564123288</v>
      </c>
      <c r="L591">
        <f t="shared" si="403"/>
        <v>89.519983637182378</v>
      </c>
      <c r="M591">
        <f t="shared" si="403"/>
        <v>108.84387085567774</v>
      </c>
      <c r="N591">
        <f t="shared" si="403"/>
        <v>111.32047129182446</v>
      </c>
      <c r="O591">
        <f t="shared" si="403"/>
        <v>106.7363615256688</v>
      </c>
      <c r="P591">
        <f t="shared" si="403"/>
        <v>87.843254812478946</v>
      </c>
      <c r="Q591">
        <f t="shared" si="403"/>
        <v>77.890774464018932</v>
      </c>
      <c r="R591">
        <f t="shared" si="403"/>
        <v>74.71597568876382</v>
      </c>
      <c r="S591">
        <f t="shared" si="403"/>
        <v>132.45275965453069</v>
      </c>
      <c r="T591">
        <f t="shared" si="403"/>
        <v>167.4164041521646</v>
      </c>
      <c r="U591">
        <f t="shared" si="403"/>
        <v>170.96853399845926</v>
      </c>
      <c r="V591">
        <f t="shared" si="403"/>
        <v>174.62669977592449</v>
      </c>
      <c r="W591">
        <f t="shared" si="403"/>
        <v>238.29375848247807</v>
      </c>
      <c r="Y591" s="15">
        <f t="shared" si="393"/>
        <v>2949.7381374913925</v>
      </c>
      <c r="Z591">
        <f t="shared" si="394"/>
        <v>497.58894140342051</v>
      </c>
    </row>
    <row r="592" spans="1:26" x14ac:dyDescent="0.25">
      <c r="A592" t="s">
        <v>53</v>
      </c>
      <c r="D592">
        <f t="shared" ref="D592:W592" si="404">D70*D157</f>
        <v>249.22093146516713</v>
      </c>
      <c r="E592">
        <f t="shared" si="404"/>
        <v>255.71879705578658</v>
      </c>
      <c r="F592">
        <f t="shared" si="404"/>
        <v>209.43411376570813</v>
      </c>
      <c r="G592">
        <f t="shared" si="404"/>
        <v>189.22627172936524</v>
      </c>
      <c r="H592">
        <f t="shared" si="404"/>
        <v>138.13193994136282</v>
      </c>
      <c r="I592">
        <f t="shared" si="404"/>
        <v>105.94995513164373</v>
      </c>
      <c r="J592">
        <f t="shared" si="404"/>
        <v>105.86566890595772</v>
      </c>
      <c r="K592">
        <f t="shared" si="404"/>
        <v>99.383752311503457</v>
      </c>
      <c r="L592">
        <f t="shared" si="404"/>
        <v>77.222115718441387</v>
      </c>
      <c r="M592">
        <f t="shared" si="404"/>
        <v>158.21447649339717</v>
      </c>
      <c r="N592">
        <f t="shared" si="404"/>
        <v>180.42294940202609</v>
      </c>
      <c r="O592">
        <f t="shared" si="404"/>
        <v>114.85245059542454</v>
      </c>
      <c r="P592">
        <f t="shared" si="404"/>
        <v>146.79764458938632</v>
      </c>
      <c r="Q592">
        <f t="shared" si="404"/>
        <v>177.69528043658164</v>
      </c>
      <c r="R592">
        <f t="shared" si="404"/>
        <v>177.76630286413038</v>
      </c>
      <c r="S592">
        <f t="shared" si="404"/>
        <v>154.10121753147709</v>
      </c>
      <c r="T592">
        <f t="shared" si="404"/>
        <v>198.69665848144672</v>
      </c>
      <c r="U592">
        <f t="shared" si="404"/>
        <v>176.2226539814823</v>
      </c>
      <c r="V592">
        <f t="shared" si="404"/>
        <v>148.1736766928833</v>
      </c>
      <c r="W592">
        <f t="shared" si="404"/>
        <v>179.52748709032937</v>
      </c>
      <c r="Y592" s="15">
        <f t="shared" si="393"/>
        <v>3242.6243441835018</v>
      </c>
      <c r="Z592">
        <f t="shared" si="394"/>
        <v>541.08654489433854</v>
      </c>
    </row>
    <row r="593" spans="1:26" x14ac:dyDescent="0.25">
      <c r="A593" t="s">
        <v>54</v>
      </c>
      <c r="D593">
        <f t="shared" ref="D593:W593" si="405">D71*D158</f>
        <v>277.76572715433184</v>
      </c>
      <c r="E593">
        <f t="shared" si="405"/>
        <v>331.9780492057501</v>
      </c>
      <c r="F593">
        <f t="shared" si="405"/>
        <v>236.65489555517081</v>
      </c>
      <c r="G593">
        <f t="shared" si="405"/>
        <v>220.44335253862167</v>
      </c>
      <c r="H593">
        <f t="shared" si="405"/>
        <v>210.26792425699088</v>
      </c>
      <c r="I593">
        <f t="shared" si="405"/>
        <v>235.75572076079561</v>
      </c>
      <c r="J593">
        <f t="shared" si="405"/>
        <v>153.81431364767246</v>
      </c>
      <c r="K593">
        <f t="shared" si="405"/>
        <v>122.02016555025072</v>
      </c>
      <c r="L593">
        <f t="shared" si="405"/>
        <v>87.748435366866673</v>
      </c>
      <c r="M593">
        <f t="shared" si="405"/>
        <v>126.58290254197362</v>
      </c>
      <c r="N593">
        <f t="shared" si="405"/>
        <v>104.37938934278856</v>
      </c>
      <c r="O593">
        <f t="shared" si="405"/>
        <v>111.54010552563682</v>
      </c>
      <c r="P593">
        <f t="shared" si="405"/>
        <v>99.571431183705727</v>
      </c>
      <c r="Q593">
        <f t="shared" si="405"/>
        <v>112.21348406664082</v>
      </c>
      <c r="R593">
        <f t="shared" si="405"/>
        <v>85.191148092158627</v>
      </c>
      <c r="S593">
        <f t="shared" si="405"/>
        <v>161.845152828284</v>
      </c>
      <c r="T593">
        <f t="shared" si="405"/>
        <v>155.52702218408015</v>
      </c>
      <c r="U593">
        <f t="shared" si="405"/>
        <v>175.26746563544148</v>
      </c>
      <c r="V593">
        <f t="shared" si="405"/>
        <v>126.35479435850168</v>
      </c>
      <c r="W593">
        <f t="shared" si="405"/>
        <v>202.82954198629758</v>
      </c>
      <c r="Y593" s="15">
        <f t="shared" si="393"/>
        <v>3337.7510217819599</v>
      </c>
      <c r="Z593">
        <f t="shared" si="394"/>
        <v>625.1245925010827</v>
      </c>
    </row>
    <row r="594" spans="1:26" x14ac:dyDescent="0.25">
      <c r="A594" t="s">
        <v>55</v>
      </c>
      <c r="D594">
        <f t="shared" ref="D594:W594" si="406">D72*D159</f>
        <v>261.17133872693046</v>
      </c>
      <c r="E594">
        <f t="shared" si="406"/>
        <v>229.96013246286387</v>
      </c>
      <c r="F594">
        <f t="shared" si="406"/>
        <v>342.40167472443312</v>
      </c>
      <c r="G594">
        <f t="shared" si="406"/>
        <v>245.04270918435924</v>
      </c>
      <c r="H594">
        <f t="shared" si="406"/>
        <v>199.23851477007648</v>
      </c>
      <c r="I594">
        <f t="shared" si="406"/>
        <v>175.30424664926718</v>
      </c>
      <c r="J594">
        <f t="shared" si="406"/>
        <v>158.18118693848643</v>
      </c>
      <c r="K594">
        <f t="shared" si="406"/>
        <v>134.69136258131687</v>
      </c>
      <c r="L594">
        <f t="shared" si="406"/>
        <v>151.59855005712674</v>
      </c>
      <c r="M594">
        <f t="shared" si="406"/>
        <v>83.989378488489336</v>
      </c>
      <c r="N594">
        <f t="shared" si="406"/>
        <v>108.00171347325607</v>
      </c>
      <c r="O594">
        <f t="shared" si="406"/>
        <v>69.955569408828737</v>
      </c>
      <c r="P594">
        <f t="shared" si="406"/>
        <v>89.993298003020996</v>
      </c>
      <c r="Q594">
        <f t="shared" si="406"/>
        <v>111.62899291899143</v>
      </c>
      <c r="R594">
        <f t="shared" si="406"/>
        <v>185.30503729973179</v>
      </c>
      <c r="S594">
        <f t="shared" si="406"/>
        <v>159.96305293582739</v>
      </c>
      <c r="T594">
        <f t="shared" si="406"/>
        <v>67.877976840074453</v>
      </c>
      <c r="U594">
        <f t="shared" si="406"/>
        <v>186.57301216737446</v>
      </c>
      <c r="V594">
        <f t="shared" si="406"/>
        <v>282.89714943060943</v>
      </c>
      <c r="W594">
        <f t="shared" si="406"/>
        <v>233.87443230783958</v>
      </c>
      <c r="Y594" s="15">
        <f t="shared" si="393"/>
        <v>3477.6493293689041</v>
      </c>
      <c r="Z594">
        <f t="shared" si="394"/>
        <v>603.58106539014057</v>
      </c>
    </row>
    <row r="595" spans="1:26" x14ac:dyDescent="0.25">
      <c r="A595" t="s">
        <v>56</v>
      </c>
      <c r="D595">
        <f t="shared" ref="D595:W595" si="407">D73*D160</f>
        <v>226.64972137296772</v>
      </c>
      <c r="E595">
        <f t="shared" si="407"/>
        <v>236.28</v>
      </c>
      <c r="F595">
        <f t="shared" si="407"/>
        <v>208.98857142857145</v>
      </c>
      <c r="G595">
        <f t="shared" si="407"/>
        <v>191.82000000000002</v>
      </c>
      <c r="H595">
        <f t="shared" si="407"/>
        <v>218.7458507232374</v>
      </c>
      <c r="I595">
        <f t="shared" si="407"/>
        <v>212.16742832589202</v>
      </c>
      <c r="J595">
        <f t="shared" si="407"/>
        <v>182.62004433614311</v>
      </c>
      <c r="K595">
        <f t="shared" si="407"/>
        <v>170.38149397509915</v>
      </c>
      <c r="L595">
        <f t="shared" si="407"/>
        <v>74.113342682061173</v>
      </c>
      <c r="M595">
        <f t="shared" si="407"/>
        <v>80.178688542692711</v>
      </c>
      <c r="N595">
        <f t="shared" si="407"/>
        <v>97.107075361829388</v>
      </c>
      <c r="O595">
        <f t="shared" si="407"/>
        <v>127.03221271315593</v>
      </c>
      <c r="P595">
        <f t="shared" si="407"/>
        <v>97.978343692290281</v>
      </c>
      <c r="Q595">
        <f t="shared" si="407"/>
        <v>124.56201657205854</v>
      </c>
      <c r="R595">
        <f t="shared" si="407"/>
        <v>170.88617017924852</v>
      </c>
      <c r="S595">
        <f t="shared" si="407"/>
        <v>185.46531979960776</v>
      </c>
      <c r="T595">
        <f t="shared" si="407"/>
        <v>245.57449318512423</v>
      </c>
      <c r="U595">
        <f t="shared" si="407"/>
        <v>250.95599557736693</v>
      </c>
      <c r="V595">
        <f t="shared" si="407"/>
        <v>198.13466050001688</v>
      </c>
      <c r="W595">
        <f t="shared" si="407"/>
        <v>234.36378091044452</v>
      </c>
      <c r="Y595" s="15">
        <f t="shared" si="393"/>
        <v>3534.0052098778069</v>
      </c>
      <c r="Z595">
        <f t="shared" si="394"/>
        <v>480.28905998926484</v>
      </c>
    </row>
    <row r="596" spans="1:26" x14ac:dyDescent="0.25">
      <c r="A596" t="s">
        <v>57</v>
      </c>
      <c r="D596">
        <f t="shared" ref="D596:W596" si="408">D74*D161</f>
        <v>251.25612244897957</v>
      </c>
      <c r="E596">
        <f t="shared" si="408"/>
        <v>266.97142857142853</v>
      </c>
      <c r="F596">
        <f t="shared" si="408"/>
        <v>255.35999999999999</v>
      </c>
      <c r="G596">
        <f t="shared" si="408"/>
        <v>228.6742857142857</v>
      </c>
      <c r="H596">
        <f t="shared" si="408"/>
        <v>229.69975949426177</v>
      </c>
      <c r="I596">
        <f t="shared" si="408"/>
        <v>215.86234751700943</v>
      </c>
      <c r="J596">
        <f t="shared" si="408"/>
        <v>170.22452105358082</v>
      </c>
      <c r="K596">
        <f t="shared" si="408"/>
        <v>159.93453069157036</v>
      </c>
      <c r="L596">
        <f t="shared" si="408"/>
        <v>120.96701969246392</v>
      </c>
      <c r="M596">
        <f t="shared" si="408"/>
        <v>102.3863816087205</v>
      </c>
      <c r="N596">
        <f t="shared" si="408"/>
        <v>105.0127770778228</v>
      </c>
      <c r="O596">
        <f t="shared" si="408"/>
        <v>96.928454008676027</v>
      </c>
      <c r="P596">
        <f t="shared" si="408"/>
        <v>96.098227129166688</v>
      </c>
      <c r="Q596">
        <f t="shared" si="408"/>
        <v>103.577686550062</v>
      </c>
      <c r="R596">
        <f t="shared" si="408"/>
        <v>93.38514005869736</v>
      </c>
      <c r="S596">
        <f t="shared" si="408"/>
        <v>125.42868954081013</v>
      </c>
      <c r="T596">
        <f t="shared" si="408"/>
        <v>144.69705561452443</v>
      </c>
      <c r="U596">
        <f t="shared" si="408"/>
        <v>147.93899699829527</v>
      </c>
      <c r="V596">
        <f t="shared" si="408"/>
        <v>189.18133102723397</v>
      </c>
      <c r="W596">
        <f t="shared" si="408"/>
        <v>251.88685134241476</v>
      </c>
      <c r="Y596" s="15">
        <f t="shared" si="393"/>
        <v>3355.4716061400045</v>
      </c>
      <c r="Z596">
        <f t="shared" si="394"/>
        <v>568.84846126604634</v>
      </c>
    </row>
    <row r="597" spans="1:26" x14ac:dyDescent="0.25">
      <c r="A597" t="s">
        <v>58</v>
      </c>
      <c r="D597">
        <f t="shared" ref="D597:W597" si="409">D75*D162</f>
        <v>324.61102040816326</v>
      </c>
      <c r="E597">
        <f t="shared" si="409"/>
        <v>339.45612244897956</v>
      </c>
      <c r="F597">
        <f t="shared" si="409"/>
        <v>201.05102040816325</v>
      </c>
      <c r="G597">
        <f t="shared" si="409"/>
        <v>122.80061224489795</v>
      </c>
      <c r="H597">
        <f t="shared" si="409"/>
        <v>188.3068672702409</v>
      </c>
      <c r="I597">
        <f t="shared" si="409"/>
        <v>168.96117267054782</v>
      </c>
      <c r="J597">
        <f t="shared" si="409"/>
        <v>126.98857199380771</v>
      </c>
      <c r="K597">
        <f t="shared" si="409"/>
        <v>118.42412776346835</v>
      </c>
      <c r="L597">
        <f t="shared" si="409"/>
        <v>121.96150274742526</v>
      </c>
      <c r="M597">
        <f t="shared" si="409"/>
        <v>125.68067594886145</v>
      </c>
      <c r="N597">
        <f t="shared" si="409"/>
        <v>135.88009123109669</v>
      </c>
      <c r="O597">
        <f t="shared" si="409"/>
        <v>124.42090174333008</v>
      </c>
      <c r="P597">
        <f t="shared" si="409"/>
        <v>66.868376415431896</v>
      </c>
      <c r="Q597">
        <f t="shared" si="409"/>
        <v>82.255313877426403</v>
      </c>
      <c r="R597">
        <f t="shared" si="409"/>
        <v>59.748480584157079</v>
      </c>
      <c r="S597">
        <f t="shared" si="409"/>
        <v>107.69012643716678</v>
      </c>
      <c r="T597">
        <f t="shared" si="409"/>
        <v>136.03895109657711</v>
      </c>
      <c r="U597">
        <f t="shared" si="409"/>
        <v>137.72444616438884</v>
      </c>
      <c r="V597">
        <f t="shared" si="409"/>
        <v>224.96666637018993</v>
      </c>
      <c r="W597">
        <f t="shared" si="409"/>
        <v>291.69540228869522</v>
      </c>
      <c r="Y597" s="15">
        <f t="shared" si="393"/>
        <v>3205.5304501130163</v>
      </c>
      <c r="Z597">
        <f t="shared" si="394"/>
        <v>561.09694701530805</v>
      </c>
    </row>
    <row r="598" spans="1:26" x14ac:dyDescent="0.25">
      <c r="A598" t="s">
        <v>59</v>
      </c>
      <c r="D598">
        <f t="shared" ref="D598:W598" si="410">D76*D163</f>
        <v>277.48788099017128</v>
      </c>
      <c r="E598">
        <f t="shared" si="410"/>
        <v>224.04720189102508</v>
      </c>
      <c r="F598">
        <f t="shared" si="410"/>
        <v>239.4162518194594</v>
      </c>
      <c r="G598">
        <f t="shared" si="410"/>
        <v>238.4276171004812</v>
      </c>
      <c r="H598">
        <f t="shared" si="410"/>
        <v>208.39197180886552</v>
      </c>
      <c r="I598">
        <f t="shared" si="410"/>
        <v>288.11754512408743</v>
      </c>
      <c r="J598">
        <f t="shared" si="410"/>
        <v>259.69587916409023</v>
      </c>
      <c r="K598">
        <f t="shared" si="410"/>
        <v>238.33392942645048</v>
      </c>
      <c r="L598">
        <f t="shared" si="410"/>
        <v>115.97546803032846</v>
      </c>
      <c r="M598">
        <f t="shared" si="410"/>
        <v>128.9645889364073</v>
      </c>
      <c r="N598">
        <f t="shared" si="410"/>
        <v>201.34329172049698</v>
      </c>
      <c r="O598">
        <f t="shared" si="410"/>
        <v>236.30723973101456</v>
      </c>
      <c r="P598">
        <f t="shared" si="410"/>
        <v>144.8409187302239</v>
      </c>
      <c r="Q598">
        <f t="shared" si="410"/>
        <v>116.82633625767069</v>
      </c>
      <c r="R598">
        <f t="shared" si="410"/>
        <v>135.18562995480866</v>
      </c>
      <c r="S598">
        <f t="shared" si="410"/>
        <v>148.31227209951146</v>
      </c>
      <c r="T598">
        <f t="shared" si="410"/>
        <v>206.88029323589583</v>
      </c>
      <c r="U598">
        <f t="shared" si="410"/>
        <v>240.32451161128293</v>
      </c>
      <c r="V598">
        <f t="shared" si="410"/>
        <v>195.3974773635843</v>
      </c>
      <c r="W598">
        <f t="shared" si="410"/>
        <v>221.13894346737192</v>
      </c>
      <c r="Y598" s="15">
        <f t="shared" si="393"/>
        <v>4065.4152484632282</v>
      </c>
      <c r="Z598">
        <f t="shared" si="394"/>
        <v>492.75422337015249</v>
      </c>
    </row>
    <row r="599" spans="1:26" x14ac:dyDescent="0.25">
      <c r="A599" t="s">
        <v>60</v>
      </c>
      <c r="D599">
        <f t="shared" ref="D599:W599" si="411">D77*D164</f>
        <v>189.52334222918378</v>
      </c>
      <c r="E599">
        <f t="shared" si="411"/>
        <v>284.8749247177862</v>
      </c>
      <c r="F599">
        <f t="shared" si="411"/>
        <v>355.03808740054751</v>
      </c>
      <c r="G599">
        <f t="shared" si="411"/>
        <v>216.36597678182787</v>
      </c>
      <c r="H599">
        <f t="shared" si="411"/>
        <v>176.72827587023016</v>
      </c>
      <c r="I599">
        <f t="shared" si="411"/>
        <v>167.92365051275053</v>
      </c>
      <c r="J599">
        <f t="shared" si="411"/>
        <v>219.5013232789658</v>
      </c>
      <c r="K599">
        <f t="shared" si="411"/>
        <v>195.56248012777775</v>
      </c>
      <c r="L599">
        <f t="shared" si="411"/>
        <v>162.13305871004349</v>
      </c>
      <c r="M599">
        <f t="shared" si="411"/>
        <v>160.30813093223239</v>
      </c>
      <c r="N599">
        <f t="shared" si="411"/>
        <v>129.65982503799663</v>
      </c>
      <c r="O599">
        <f t="shared" si="411"/>
        <v>116.0156689013525</v>
      </c>
      <c r="P599">
        <f t="shared" si="411"/>
        <v>135.13236798886703</v>
      </c>
      <c r="Q599">
        <f t="shared" si="411"/>
        <v>160.35655430784044</v>
      </c>
      <c r="R599">
        <f t="shared" si="411"/>
        <v>235.66511248232189</v>
      </c>
      <c r="S599">
        <f t="shared" si="411"/>
        <v>100.79251306663809</v>
      </c>
      <c r="T599">
        <f t="shared" si="411"/>
        <v>165.39218784535774</v>
      </c>
      <c r="U599">
        <f t="shared" si="411"/>
        <v>194.09406958277208</v>
      </c>
      <c r="V599">
        <f t="shared" si="411"/>
        <v>250.03074003977119</v>
      </c>
      <c r="W599">
        <f t="shared" si="411"/>
        <v>281.38951752283549</v>
      </c>
      <c r="Y599" s="15">
        <f t="shared" si="393"/>
        <v>3896.4878073370978</v>
      </c>
      <c r="Z599">
        <f t="shared" si="394"/>
        <v>600.8837173131484</v>
      </c>
    </row>
    <row r="600" spans="1:26" x14ac:dyDescent="0.25">
      <c r="A600" t="s">
        <v>61</v>
      </c>
      <c r="D600">
        <f t="shared" ref="D600:W600" si="412">D78*D165</f>
        <v>291.00088708096717</v>
      </c>
      <c r="E600">
        <f t="shared" si="412"/>
        <v>342.25145002459783</v>
      </c>
      <c r="F600">
        <f t="shared" si="412"/>
        <v>482.48977627171803</v>
      </c>
      <c r="G600">
        <f t="shared" si="412"/>
        <v>346.89563615773613</v>
      </c>
      <c r="H600">
        <f t="shared" si="412"/>
        <v>333.40990296278017</v>
      </c>
      <c r="I600">
        <f t="shared" si="412"/>
        <v>196.46750630261047</v>
      </c>
      <c r="J600">
        <f t="shared" si="412"/>
        <v>99.052220186589565</v>
      </c>
      <c r="K600">
        <f t="shared" si="412"/>
        <v>78.25397504175325</v>
      </c>
      <c r="L600">
        <f t="shared" si="412"/>
        <v>161.7543045316888</v>
      </c>
      <c r="M600">
        <f t="shared" si="412"/>
        <v>73.682386654754595</v>
      </c>
      <c r="N600">
        <f t="shared" si="412"/>
        <v>71.639071112642753</v>
      </c>
      <c r="O600">
        <f t="shared" si="412"/>
        <v>89.611814743169248</v>
      </c>
      <c r="P600">
        <f t="shared" si="412"/>
        <v>123.60505666581128</v>
      </c>
      <c r="Q600">
        <f t="shared" si="412"/>
        <v>127.35795753543488</v>
      </c>
      <c r="R600">
        <f t="shared" si="412"/>
        <v>174.8889276511394</v>
      </c>
      <c r="S600">
        <f t="shared" si="412"/>
        <v>205.889001716737</v>
      </c>
      <c r="T600">
        <f t="shared" si="412"/>
        <v>150.72135479276994</v>
      </c>
      <c r="U600">
        <f t="shared" si="412"/>
        <v>183.38976961752846</v>
      </c>
      <c r="V600">
        <f t="shared" si="412"/>
        <v>225.70973560900404</v>
      </c>
      <c r="W600">
        <f t="shared" si="412"/>
        <v>196.91383561050287</v>
      </c>
      <c r="Y600" s="15">
        <f t="shared" si="393"/>
        <v>3954.9845702699358</v>
      </c>
      <c r="Z600">
        <f t="shared" si="394"/>
        <v>870.91525908859558</v>
      </c>
    </row>
    <row r="601" spans="1:26" x14ac:dyDescent="0.25">
      <c r="A601" t="s">
        <v>62</v>
      </c>
      <c r="D601">
        <f t="shared" ref="D601:W601" si="413">D79*D166</f>
        <v>292.35809135284188</v>
      </c>
      <c r="E601">
        <f t="shared" si="413"/>
        <v>294.64160499132214</v>
      </c>
      <c r="F601">
        <f t="shared" si="413"/>
        <v>261.95148176565016</v>
      </c>
      <c r="G601">
        <f t="shared" si="413"/>
        <v>217.44786947257646</v>
      </c>
      <c r="H601">
        <f t="shared" si="413"/>
        <v>287.65769872157119</v>
      </c>
      <c r="I601">
        <f t="shared" si="413"/>
        <v>276.35417567888572</v>
      </c>
      <c r="J601">
        <f t="shared" si="413"/>
        <v>143.46981619421692</v>
      </c>
      <c r="K601">
        <f t="shared" si="413"/>
        <v>154.31230625731786</v>
      </c>
      <c r="L601">
        <f t="shared" si="413"/>
        <v>119.76550252934891</v>
      </c>
      <c r="M601">
        <f t="shared" si="413"/>
        <v>143.12032649877654</v>
      </c>
      <c r="N601">
        <f t="shared" si="413"/>
        <v>76.19576160216117</v>
      </c>
      <c r="O601">
        <f t="shared" si="413"/>
        <v>81.214284532933448</v>
      </c>
      <c r="P601">
        <f t="shared" si="413"/>
        <v>103.84402204155288</v>
      </c>
      <c r="Q601">
        <f t="shared" si="413"/>
        <v>108.05309829225841</v>
      </c>
      <c r="R601">
        <f t="shared" si="413"/>
        <v>63.605892866952004</v>
      </c>
      <c r="S601">
        <f t="shared" si="413"/>
        <v>109.75033240975127</v>
      </c>
      <c r="T601">
        <f t="shared" si="413"/>
        <v>146.11532806039116</v>
      </c>
      <c r="U601">
        <f t="shared" si="413"/>
        <v>137.79883341207531</v>
      </c>
      <c r="V601">
        <f t="shared" si="413"/>
        <v>114.88843643394587</v>
      </c>
      <c r="W601">
        <f t="shared" si="413"/>
        <v>180.91882573149428</v>
      </c>
      <c r="Y601" s="15">
        <f t="shared" si="393"/>
        <v>3313.4636888460245</v>
      </c>
      <c r="Z601">
        <f t="shared" si="394"/>
        <v>630.86765660978028</v>
      </c>
    </row>
    <row r="602" spans="1:26" x14ac:dyDescent="0.25">
      <c r="Y602" s="15"/>
    </row>
    <row r="603" spans="1:26" x14ac:dyDescent="0.25">
      <c r="A603" t="s">
        <v>63</v>
      </c>
      <c r="D603">
        <f t="shared" ref="D603:W603" si="414">D81*D168</f>
        <v>235.11018867870658</v>
      </c>
      <c r="E603">
        <f t="shared" si="414"/>
        <v>192.59905013821643</v>
      </c>
      <c r="F603">
        <f t="shared" si="414"/>
        <v>173.22388241987767</v>
      </c>
      <c r="G603">
        <f t="shared" si="414"/>
        <v>152.95628401696561</v>
      </c>
      <c r="H603">
        <f t="shared" si="414"/>
        <v>121.35512540630062</v>
      </c>
      <c r="I603">
        <f t="shared" si="414"/>
        <v>131.06820512887748</v>
      </c>
      <c r="J603">
        <f t="shared" si="414"/>
        <v>108.24077198292616</v>
      </c>
      <c r="K603">
        <f t="shared" si="414"/>
        <v>121.83738491938553</v>
      </c>
      <c r="L603">
        <f t="shared" si="414"/>
        <v>88.98676355883245</v>
      </c>
      <c r="M603">
        <f t="shared" si="414"/>
        <v>104.10375930414914</v>
      </c>
      <c r="N603">
        <f t="shared" si="414"/>
        <v>118.1913986791406</v>
      </c>
      <c r="O603">
        <f t="shared" si="414"/>
        <v>117.80134783005292</v>
      </c>
      <c r="P603">
        <f t="shared" si="414"/>
        <v>99.616083417850433</v>
      </c>
      <c r="Q603">
        <f t="shared" si="414"/>
        <v>107.92034233407172</v>
      </c>
      <c r="R603">
        <f t="shared" si="414"/>
        <v>119.63771430879898</v>
      </c>
      <c r="S603">
        <f t="shared" si="414"/>
        <v>145.08211385660533</v>
      </c>
      <c r="T603">
        <f t="shared" si="414"/>
        <v>161.81239669647675</v>
      </c>
      <c r="U603">
        <f t="shared" si="414"/>
        <v>173.45775399050294</v>
      </c>
      <c r="V603">
        <f t="shared" si="414"/>
        <v>191.08819699275733</v>
      </c>
      <c r="W603">
        <f t="shared" si="414"/>
        <v>238.15900070837463</v>
      </c>
      <c r="Y603" s="15">
        <f t="shared" si="393"/>
        <v>2902.2477643688694</v>
      </c>
      <c r="Z603">
        <f>SUMPRODUCT($D$607:$S$607,D603:S603)</f>
        <v>411.70570645892116</v>
      </c>
    </row>
    <row r="604" spans="1:26" x14ac:dyDescent="0.25">
      <c r="A604" t="s">
        <v>307</v>
      </c>
      <c r="D604">
        <f t="shared" ref="D604:W604" si="415">D82*D169</f>
        <v>310.92408163265293</v>
      </c>
      <c r="E604">
        <f t="shared" si="415"/>
        <v>327.76</v>
      </c>
      <c r="F604">
        <f t="shared" si="415"/>
        <v>208.62</v>
      </c>
      <c r="G604">
        <f t="shared" si="415"/>
        <v>166.5</v>
      </c>
      <c r="H604">
        <f t="shared" si="415"/>
        <v>213.46530612244896</v>
      </c>
      <c r="I604">
        <f t="shared" si="415"/>
        <v>173.35632653061228</v>
      </c>
      <c r="J604">
        <f t="shared" si="415"/>
        <v>119.72571428571429</v>
      </c>
      <c r="K604">
        <f t="shared" si="415"/>
        <v>104.88163265306125</v>
      </c>
      <c r="L604">
        <f t="shared" si="415"/>
        <v>125.83171875000001</v>
      </c>
      <c r="M604">
        <f t="shared" si="415"/>
        <v>161.34897959183675</v>
      </c>
      <c r="N604">
        <f t="shared" si="415"/>
        <v>111.83510204081634</v>
      </c>
      <c r="O604">
        <f t="shared" si="415"/>
        <v>121.27999999999997</v>
      </c>
      <c r="P604">
        <f t="shared" si="415"/>
        <v>220.1</v>
      </c>
      <c r="Q604">
        <f t="shared" si="415"/>
        <v>154.43999999999997</v>
      </c>
      <c r="R604">
        <f t="shared" si="415"/>
        <v>144.9</v>
      </c>
      <c r="S604">
        <f t="shared" si="415"/>
        <v>148.47999999999999</v>
      </c>
      <c r="T604">
        <f t="shared" si="415"/>
        <v>151.19999999999999</v>
      </c>
      <c r="U604">
        <f t="shared" si="415"/>
        <v>164.16</v>
      </c>
      <c r="V604">
        <f t="shared" si="415"/>
        <v>178.54000000000002</v>
      </c>
      <c r="W604">
        <f t="shared" si="415"/>
        <v>222.5</v>
      </c>
      <c r="Y604" s="15">
        <f t="shared" si="393"/>
        <v>3529.8488616071422</v>
      </c>
      <c r="Z604">
        <f>SUMPRODUCT($D$607:$S$607,D604:S604)</f>
        <v>596.8441996599546</v>
      </c>
    </row>
    <row r="605" spans="1:26" x14ac:dyDescent="0.25">
      <c r="A605" t="s">
        <v>308</v>
      </c>
      <c r="D605">
        <f t="shared" ref="D605:W605" si="416">D83*D170</f>
        <v>264.04571750126792</v>
      </c>
      <c r="E605">
        <f t="shared" si="416"/>
        <v>191.51999999999998</v>
      </c>
      <c r="F605">
        <f t="shared" si="416"/>
        <v>202.4</v>
      </c>
      <c r="G605">
        <f t="shared" si="416"/>
        <v>177.32000000000002</v>
      </c>
      <c r="H605">
        <f t="shared" si="416"/>
        <v>192.78</v>
      </c>
      <c r="I605">
        <f t="shared" si="416"/>
        <v>168.96</v>
      </c>
      <c r="J605">
        <f t="shared" si="416"/>
        <v>97.18</v>
      </c>
      <c r="K605">
        <f t="shared" si="416"/>
        <v>106.55999999999999</v>
      </c>
      <c r="L605">
        <f t="shared" si="416"/>
        <v>99.64</v>
      </c>
      <c r="M605">
        <f t="shared" si="416"/>
        <v>124.43999999999998</v>
      </c>
      <c r="N605">
        <f t="shared" si="416"/>
        <v>125.28</v>
      </c>
      <c r="O605">
        <f t="shared" si="416"/>
        <v>120.54000000000002</v>
      </c>
      <c r="P605">
        <f t="shared" si="416"/>
        <v>107.23985655012768</v>
      </c>
      <c r="Q605">
        <f t="shared" si="416"/>
        <v>115.95557639915357</v>
      </c>
      <c r="R605">
        <f t="shared" si="416"/>
        <v>132.23364757655369</v>
      </c>
      <c r="S605">
        <f t="shared" si="416"/>
        <v>124.65777772091984</v>
      </c>
      <c r="T605">
        <f t="shared" si="416"/>
        <v>165.85638108225197</v>
      </c>
      <c r="U605">
        <f t="shared" si="416"/>
        <v>183.56048476737462</v>
      </c>
      <c r="V605">
        <f t="shared" si="416"/>
        <v>211.71686540073688</v>
      </c>
      <c r="W605">
        <f t="shared" si="416"/>
        <v>257.10047267988227</v>
      </c>
      <c r="Y605" s="15">
        <f t="shared" si="393"/>
        <v>3168.9867796782687</v>
      </c>
      <c r="Z605">
        <f>SUMPRODUCT($D$607:$S$607,D605:S605)</f>
        <v>473.58539062368425</v>
      </c>
    </row>
    <row r="606" spans="1:26" x14ac:dyDescent="0.25">
      <c r="A606" t="s">
        <v>670</v>
      </c>
      <c r="D606">
        <f t="shared" ref="D606:W606" si="417">D84*D171</f>
        <v>301.630110976075</v>
      </c>
      <c r="E606">
        <f t="shared" si="417"/>
        <v>324.25262680751308</v>
      </c>
      <c r="F606">
        <f t="shared" si="417"/>
        <v>292.89361910747192</v>
      </c>
      <c r="G606">
        <f t="shared" si="417"/>
        <v>322.64742295719321</v>
      </c>
      <c r="H606">
        <f t="shared" si="417"/>
        <v>254.0091491820192</v>
      </c>
      <c r="I606">
        <f t="shared" si="417"/>
        <v>169.48948041253345</v>
      </c>
      <c r="J606">
        <f t="shared" si="417"/>
        <v>114.50913565824133</v>
      </c>
      <c r="K606">
        <f t="shared" si="417"/>
        <v>91.254747833741277</v>
      </c>
      <c r="L606">
        <f t="shared" si="417"/>
        <v>97.152667866406958</v>
      </c>
      <c r="M606">
        <f t="shared" si="417"/>
        <v>110.84761172781535</v>
      </c>
      <c r="N606">
        <f t="shared" si="417"/>
        <v>122.28042448852503</v>
      </c>
      <c r="O606">
        <f t="shared" si="417"/>
        <v>117.80437674708367</v>
      </c>
      <c r="P606">
        <f t="shared" si="417"/>
        <v>92.279553744516008</v>
      </c>
      <c r="Q606">
        <f t="shared" si="417"/>
        <v>103.32039192574015</v>
      </c>
      <c r="R606">
        <f t="shared" si="417"/>
        <v>135.92331632856548</v>
      </c>
      <c r="S606">
        <f t="shared" si="417"/>
        <v>139.84757500809664</v>
      </c>
      <c r="T606">
        <f t="shared" si="417"/>
        <v>161.76346113774846</v>
      </c>
      <c r="U606">
        <f t="shared" si="417"/>
        <v>187.90872653018371</v>
      </c>
      <c r="V606">
        <f t="shared" si="417"/>
        <v>199.63609004904669</v>
      </c>
      <c r="W606">
        <f t="shared" si="417"/>
        <v>235.91148869884387</v>
      </c>
      <c r="Y606" s="15">
        <f t="shared" ref="Y606" si="418">SUM(D606:W606)</f>
        <v>3575.36197718736</v>
      </c>
      <c r="Z606">
        <f>SUMPRODUCT($D$607:$S$607,D606:S606)</f>
        <v>725.26204702914913</v>
      </c>
    </row>
    <row r="607" spans="1:26" x14ac:dyDescent="0.25">
      <c r="A607" s="2" t="s">
        <v>64</v>
      </c>
      <c r="D607" s="3">
        <f>CORREL($B$2:$B$21,D582:D601)</f>
        <v>0.33522911408610639</v>
      </c>
      <c r="E607" s="3">
        <f t="shared" ref="E607:W607" si="419">CORREL($B$2:$B$21,E582:E601)</f>
        <v>0.75310590256881993</v>
      </c>
      <c r="F607" s="3">
        <f t="shared" si="419"/>
        <v>0.57860543080361404</v>
      </c>
      <c r="G607" s="3">
        <f t="shared" si="419"/>
        <v>0.55053587319039599</v>
      </c>
      <c r="H607" s="3">
        <f t="shared" si="419"/>
        <v>0.17962568715723193</v>
      </c>
      <c r="I607" s="3">
        <f t="shared" si="419"/>
        <v>3.794105273405747E-2</v>
      </c>
      <c r="J607" s="3">
        <f t="shared" si="419"/>
        <v>-0.16021715256803562</v>
      </c>
      <c r="K607" s="3">
        <f t="shared" si="419"/>
        <v>-0.16511064677287518</v>
      </c>
      <c r="L607" s="3">
        <f t="shared" si="419"/>
        <v>-9.2339186925247826E-2</v>
      </c>
      <c r="M607" s="3">
        <f t="shared" si="419"/>
        <v>0.22868302404437177</v>
      </c>
      <c r="N607" s="3">
        <f t="shared" si="419"/>
        <v>7.177202313064282E-2</v>
      </c>
      <c r="O607" s="3">
        <f t="shared" si="419"/>
        <v>-0.24018838873977805</v>
      </c>
      <c r="P607" s="3">
        <f t="shared" si="419"/>
        <v>-5.9632697823612094E-2</v>
      </c>
      <c r="Q607" s="3">
        <f t="shared" si="419"/>
        <v>0.21633154918545866</v>
      </c>
      <c r="R607" s="3">
        <f t="shared" si="419"/>
        <v>-1.8265659082797651E-2</v>
      </c>
      <c r="S607" s="3">
        <f t="shared" si="419"/>
        <v>2.1329328943991911E-2</v>
      </c>
      <c r="T607" s="3">
        <f t="shared" si="419"/>
        <v>-0.15451294910116009</v>
      </c>
      <c r="U607" s="3">
        <f t="shared" si="419"/>
        <v>-0.20995510665188466</v>
      </c>
      <c r="V607" s="3">
        <f t="shared" si="419"/>
        <v>-0.20638896070301757</v>
      </c>
      <c r="W607" s="3">
        <f t="shared" si="419"/>
        <v>-0.30476513190440041</v>
      </c>
    </row>
    <row r="610" spans="1:26" x14ac:dyDescent="0.25">
      <c r="D610" t="s">
        <v>233</v>
      </c>
      <c r="E610" t="s">
        <v>234</v>
      </c>
      <c r="F610" t="s">
        <v>235</v>
      </c>
      <c r="G610" t="s">
        <v>236</v>
      </c>
      <c r="H610" t="s">
        <v>237</v>
      </c>
      <c r="I610" t="s">
        <v>238</v>
      </c>
      <c r="J610" t="s">
        <v>239</v>
      </c>
      <c r="K610" t="s">
        <v>240</v>
      </c>
      <c r="L610" t="s">
        <v>354</v>
      </c>
      <c r="M610" t="s">
        <v>424</v>
      </c>
      <c r="N610" t="s">
        <v>425</v>
      </c>
      <c r="O610" t="s">
        <v>426</v>
      </c>
      <c r="P610" t="s">
        <v>530</v>
      </c>
      <c r="Q610" t="s">
        <v>531</v>
      </c>
      <c r="R610" t="s">
        <v>532</v>
      </c>
      <c r="S610" t="s">
        <v>533</v>
      </c>
      <c r="T610" t="s">
        <v>642</v>
      </c>
      <c r="U610" t="s">
        <v>643</v>
      </c>
      <c r="V610" t="s">
        <v>644</v>
      </c>
      <c r="W610" t="s">
        <v>645</v>
      </c>
      <c r="Y610" t="s">
        <v>241</v>
      </c>
      <c r="Z610" t="s">
        <v>242</v>
      </c>
    </row>
    <row r="611" spans="1:26" x14ac:dyDescent="0.25">
      <c r="A611" t="s">
        <v>43</v>
      </c>
      <c r="D611">
        <f t="shared" ref="D611:W611" si="420">D60*D176</f>
        <v>323.93337815969477</v>
      </c>
      <c r="E611">
        <f t="shared" si="420"/>
        <v>114.50204081632654</v>
      </c>
      <c r="F611">
        <f t="shared" si="420"/>
        <v>177.7391836734694</v>
      </c>
      <c r="G611">
        <f t="shared" si="420"/>
        <v>195.96000000000004</v>
      </c>
      <c r="H611">
        <f t="shared" si="420"/>
        <v>209.8004386681782</v>
      </c>
      <c r="I611">
        <f t="shared" si="420"/>
        <v>194.60501374040246</v>
      </c>
      <c r="J611">
        <f t="shared" si="420"/>
        <v>157.31981993457424</v>
      </c>
      <c r="K611">
        <f t="shared" si="420"/>
        <v>206.17428531963174</v>
      </c>
      <c r="L611">
        <f t="shared" si="420"/>
        <v>143.81844966519554</v>
      </c>
      <c r="M611">
        <f t="shared" si="420"/>
        <v>168.80235678282762</v>
      </c>
      <c r="N611">
        <f t="shared" si="420"/>
        <v>176.19950779776775</v>
      </c>
      <c r="O611">
        <f t="shared" si="420"/>
        <v>134.51862967544895</v>
      </c>
      <c r="P611">
        <f t="shared" si="420"/>
        <v>145.66305782166614</v>
      </c>
      <c r="Q611">
        <f t="shared" si="420"/>
        <v>156.17645513576778</v>
      </c>
      <c r="R611">
        <f t="shared" si="420"/>
        <v>135.25944285665787</v>
      </c>
      <c r="S611">
        <f t="shared" si="420"/>
        <v>109.96024646634444</v>
      </c>
      <c r="T611">
        <f t="shared" si="420"/>
        <v>105.10558862656887</v>
      </c>
      <c r="U611">
        <f t="shared" si="420"/>
        <v>198.35009598763617</v>
      </c>
      <c r="V611">
        <f t="shared" si="420"/>
        <v>210.51178574061663</v>
      </c>
      <c r="W611">
        <f t="shared" si="420"/>
        <v>314.60447379840599</v>
      </c>
      <c r="Y611" s="15">
        <f t="shared" ref="Y611:Y634" si="421">SUM(D611:W611)</f>
        <v>3579.0042506671816</v>
      </c>
      <c r="Z611">
        <f t="shared" ref="Z611:Z630" si="422">SUMPRODUCT($D$636:$S$636,D611:S611)</f>
        <v>390.76319098532298</v>
      </c>
    </row>
    <row r="612" spans="1:26" x14ac:dyDescent="0.25">
      <c r="A612" t="s">
        <v>44</v>
      </c>
      <c r="D612">
        <f t="shared" ref="D612:W612" si="423">D61*D177</f>
        <v>234.7126530612245</v>
      </c>
      <c r="E612">
        <f t="shared" si="423"/>
        <v>201.01224489795919</v>
      </c>
      <c r="F612">
        <f t="shared" si="423"/>
        <v>160.01265306122446</v>
      </c>
      <c r="G612">
        <f t="shared" si="423"/>
        <v>260.44081632653058</v>
      </c>
      <c r="H612">
        <f t="shared" si="423"/>
        <v>120.38373396276339</v>
      </c>
      <c r="I612">
        <f t="shared" si="423"/>
        <v>102.31519432172436</v>
      </c>
      <c r="J612">
        <f t="shared" si="423"/>
        <v>89.190739424056829</v>
      </c>
      <c r="K612">
        <f t="shared" si="423"/>
        <v>109.135539209836</v>
      </c>
      <c r="L612">
        <f t="shared" si="423"/>
        <v>90.367911819092441</v>
      </c>
      <c r="M612">
        <f t="shared" si="423"/>
        <v>92.72160941554182</v>
      </c>
      <c r="N612">
        <f t="shared" si="423"/>
        <v>109.53913827072871</v>
      </c>
      <c r="O612">
        <f t="shared" si="423"/>
        <v>104.93228151974276</v>
      </c>
      <c r="P612">
        <f t="shared" si="423"/>
        <v>117.23080683726211</v>
      </c>
      <c r="Q612">
        <f t="shared" si="423"/>
        <v>169.45204294674772</v>
      </c>
      <c r="R612">
        <f t="shared" si="423"/>
        <v>110.36696653197778</v>
      </c>
      <c r="S612">
        <f t="shared" si="423"/>
        <v>90.058030226884242</v>
      </c>
      <c r="T612">
        <f t="shared" si="423"/>
        <v>109.9020079203049</v>
      </c>
      <c r="U612">
        <f t="shared" si="423"/>
        <v>69.046738902471645</v>
      </c>
      <c r="V612">
        <f t="shared" si="423"/>
        <v>70.544889259749269</v>
      </c>
      <c r="W612">
        <f t="shared" si="423"/>
        <v>124.5808529136133</v>
      </c>
      <c r="Y612" s="15">
        <f t="shared" si="421"/>
        <v>2535.9468508294358</v>
      </c>
      <c r="Z612">
        <f t="shared" si="422"/>
        <v>388.60398652966728</v>
      </c>
    </row>
    <row r="613" spans="1:26" x14ac:dyDescent="0.25">
      <c r="A613" t="s">
        <v>45</v>
      </c>
      <c r="D613">
        <f t="shared" ref="D613:W613" si="424">D62*D178</f>
        <v>294.37054926958837</v>
      </c>
      <c r="E613">
        <f t="shared" si="424"/>
        <v>188.75265306122452</v>
      </c>
      <c r="F613">
        <f t="shared" si="424"/>
        <v>201.16897959183675</v>
      </c>
      <c r="G613">
        <f t="shared" si="424"/>
        <v>126.29714285714283</v>
      </c>
      <c r="H613">
        <f t="shared" si="424"/>
        <v>232.72161991075018</v>
      </c>
      <c r="I613">
        <f t="shared" si="424"/>
        <v>180.35868640606324</v>
      </c>
      <c r="J613">
        <f t="shared" si="424"/>
        <v>137.05410162536134</v>
      </c>
      <c r="K613">
        <f t="shared" si="424"/>
        <v>173.59506175795374</v>
      </c>
      <c r="L613">
        <f t="shared" si="424"/>
        <v>112.25627466448225</v>
      </c>
      <c r="M613">
        <f t="shared" si="424"/>
        <v>33.013090170447065</v>
      </c>
      <c r="N613">
        <f t="shared" si="424"/>
        <v>36.567995151506139</v>
      </c>
      <c r="O613">
        <f t="shared" si="424"/>
        <v>29.633327773030892</v>
      </c>
      <c r="P613">
        <f t="shared" si="424"/>
        <v>34.66449299430721</v>
      </c>
      <c r="Q613">
        <f t="shared" si="424"/>
        <v>62.929815911975979</v>
      </c>
      <c r="R613">
        <f t="shared" si="424"/>
        <v>63.151454427974251</v>
      </c>
      <c r="S613">
        <f t="shared" si="424"/>
        <v>61.627280686430339</v>
      </c>
      <c r="T613">
        <f t="shared" si="424"/>
        <v>58.160187148954833</v>
      </c>
      <c r="U613">
        <f t="shared" si="424"/>
        <v>80.932325878838185</v>
      </c>
      <c r="V613">
        <f t="shared" si="424"/>
        <v>172.06815322710011</v>
      </c>
      <c r="W613">
        <f t="shared" si="424"/>
        <v>251.72868592905436</v>
      </c>
      <c r="Y613" s="15">
        <f t="shared" si="421"/>
        <v>2531.0518784440223</v>
      </c>
      <c r="Z613">
        <f t="shared" si="422"/>
        <v>409.2268627502973</v>
      </c>
    </row>
    <row r="614" spans="1:26" x14ac:dyDescent="0.25">
      <c r="A614" t="s">
        <v>46</v>
      </c>
      <c r="D614">
        <f t="shared" ref="D614:W614" si="425">D63*D179</f>
        <v>319.35500441640431</v>
      </c>
      <c r="E614">
        <f t="shared" si="425"/>
        <v>232.9854928355229</v>
      </c>
      <c r="F614">
        <f t="shared" si="425"/>
        <v>125.36143283972176</v>
      </c>
      <c r="G614">
        <f t="shared" si="425"/>
        <v>88.323933973876478</v>
      </c>
      <c r="H614">
        <f t="shared" si="425"/>
        <v>99.81082570931801</v>
      </c>
      <c r="I614">
        <f t="shared" si="425"/>
        <v>71.648410937840993</v>
      </c>
      <c r="J614">
        <f t="shared" si="425"/>
        <v>180.54206422123568</v>
      </c>
      <c r="K614">
        <f t="shared" si="425"/>
        <v>131.09239442923516</v>
      </c>
      <c r="L614">
        <f t="shared" si="425"/>
        <v>164.60589216641472</v>
      </c>
      <c r="M614">
        <f t="shared" si="425"/>
        <v>183.47801671509518</v>
      </c>
      <c r="N614">
        <f t="shared" si="425"/>
        <v>117.56758866126907</v>
      </c>
      <c r="O614">
        <f t="shared" si="425"/>
        <v>110.15662063023042</v>
      </c>
      <c r="P614">
        <f t="shared" si="425"/>
        <v>86.245419751005386</v>
      </c>
      <c r="Q614">
        <f t="shared" si="425"/>
        <v>56.555571388689813</v>
      </c>
      <c r="R614">
        <f t="shared" si="425"/>
        <v>95.125318676014302</v>
      </c>
      <c r="S614">
        <f t="shared" si="425"/>
        <v>55.886750121891332</v>
      </c>
      <c r="T614">
        <f t="shared" si="425"/>
        <v>101.69586617577468</v>
      </c>
      <c r="U614">
        <f t="shared" si="425"/>
        <v>143.96336408179462</v>
      </c>
      <c r="V614">
        <f t="shared" si="425"/>
        <v>169.68655146378947</v>
      </c>
      <c r="W614">
        <f t="shared" si="425"/>
        <v>242.23445913812401</v>
      </c>
      <c r="Y614" s="15">
        <f t="shared" si="421"/>
        <v>2776.3209783332481</v>
      </c>
      <c r="Z614">
        <f t="shared" si="422"/>
        <v>302.99981440803543</v>
      </c>
    </row>
    <row r="615" spans="1:26" x14ac:dyDescent="0.25">
      <c r="A615" t="s">
        <v>47</v>
      </c>
      <c r="D615">
        <f t="shared" ref="D615:W615" si="426">D64*D180</f>
        <v>275.9882240797067</v>
      </c>
      <c r="E615">
        <f t="shared" si="426"/>
        <v>204.53023901726618</v>
      </c>
      <c r="F615">
        <f t="shared" si="426"/>
        <v>173.5519494398259</v>
      </c>
      <c r="G615">
        <f t="shared" si="426"/>
        <v>124.68638703176738</v>
      </c>
      <c r="H615">
        <f t="shared" si="426"/>
        <v>113.17414734642983</v>
      </c>
      <c r="I615">
        <f t="shared" si="426"/>
        <v>107.5921115887853</v>
      </c>
      <c r="J615">
        <f t="shared" si="426"/>
        <v>74.276806018354222</v>
      </c>
      <c r="K615">
        <f t="shared" si="426"/>
        <v>99.863512027563075</v>
      </c>
      <c r="L615">
        <f t="shared" si="426"/>
        <v>133.72839437587885</v>
      </c>
      <c r="M615">
        <f t="shared" si="426"/>
        <v>127.55129048484741</v>
      </c>
      <c r="N615">
        <f t="shared" si="426"/>
        <v>128.26735848919643</v>
      </c>
      <c r="O615">
        <f t="shared" si="426"/>
        <v>92.423134115724537</v>
      </c>
      <c r="P615">
        <f t="shared" si="426"/>
        <v>99.860934364777719</v>
      </c>
      <c r="Q615">
        <f t="shared" si="426"/>
        <v>107.07991432996772</v>
      </c>
      <c r="R615">
        <f t="shared" si="426"/>
        <v>69.575264019989405</v>
      </c>
      <c r="S615">
        <f t="shared" si="426"/>
        <v>125.08177896174107</v>
      </c>
      <c r="T615">
        <f t="shared" si="426"/>
        <v>177.72682717464156</v>
      </c>
      <c r="U615">
        <f t="shared" si="426"/>
        <v>141.37286968533368</v>
      </c>
      <c r="V615">
        <f t="shared" si="426"/>
        <v>179.65328850332202</v>
      </c>
      <c r="W615">
        <f t="shared" si="426"/>
        <v>218.92171201523621</v>
      </c>
      <c r="Y615" s="15">
        <f t="shared" si="421"/>
        <v>2774.906143070355</v>
      </c>
      <c r="Z615">
        <f t="shared" si="422"/>
        <v>353.95485149883524</v>
      </c>
    </row>
    <row r="616" spans="1:26" x14ac:dyDescent="0.25">
      <c r="A616" t="s">
        <v>48</v>
      </c>
      <c r="D616">
        <f t="shared" ref="D616:W616" si="427">D65*D181</f>
        <v>367.02012978161201</v>
      </c>
      <c r="E616">
        <f t="shared" si="427"/>
        <v>259.9138964720845</v>
      </c>
      <c r="F616">
        <f t="shared" si="427"/>
        <v>196.65588691002333</v>
      </c>
      <c r="G616">
        <f t="shared" si="427"/>
        <v>220.67744129571648</v>
      </c>
      <c r="H616">
        <f t="shared" si="427"/>
        <v>252.87003651604033</v>
      </c>
      <c r="I616">
        <f t="shared" si="427"/>
        <v>173.27119983075173</v>
      </c>
      <c r="J616">
        <f t="shared" si="427"/>
        <v>88.42763042572966</v>
      </c>
      <c r="K616">
        <f t="shared" si="427"/>
        <v>153.35022010120755</v>
      </c>
      <c r="L616">
        <f t="shared" si="427"/>
        <v>74.265321444058102</v>
      </c>
      <c r="M616">
        <f t="shared" si="427"/>
        <v>106.27926391128977</v>
      </c>
      <c r="N616">
        <f t="shared" si="427"/>
        <v>116.1411754228872</v>
      </c>
      <c r="O616">
        <f t="shared" si="427"/>
        <v>60.492899416698137</v>
      </c>
      <c r="P616">
        <f t="shared" si="427"/>
        <v>82.074546939850748</v>
      </c>
      <c r="Q616">
        <f t="shared" si="427"/>
        <v>112.40660525899764</v>
      </c>
      <c r="R616">
        <f t="shared" si="427"/>
        <v>74.791577279021212</v>
      </c>
      <c r="S616">
        <f t="shared" si="427"/>
        <v>96.540099282478323</v>
      </c>
      <c r="T616">
        <f t="shared" si="427"/>
        <v>99.618454122191835</v>
      </c>
      <c r="U616">
        <f t="shared" si="427"/>
        <v>115.04458620845773</v>
      </c>
      <c r="V616">
        <f t="shared" si="427"/>
        <v>141.65574059682049</v>
      </c>
      <c r="W616">
        <f t="shared" si="427"/>
        <v>195.03276841950233</v>
      </c>
      <c r="Y616" s="15">
        <f t="shared" si="421"/>
        <v>2986.5294796354192</v>
      </c>
      <c r="Z616">
        <f t="shared" si="422"/>
        <v>504.13753555836126</v>
      </c>
    </row>
    <row r="617" spans="1:26" x14ac:dyDescent="0.25">
      <c r="A617" t="s">
        <v>49</v>
      </c>
      <c r="D617">
        <f t="shared" ref="D617:W617" si="428">D66*D182</f>
        <v>383.02927705378266</v>
      </c>
      <c r="E617">
        <f t="shared" si="428"/>
        <v>232.94445446946028</v>
      </c>
      <c r="F617">
        <f t="shared" si="428"/>
        <v>216.5059364286123</v>
      </c>
      <c r="G617">
        <f t="shared" si="428"/>
        <v>217.03656720744331</v>
      </c>
      <c r="H617">
        <f t="shared" si="428"/>
        <v>131.36768595879764</v>
      </c>
      <c r="I617">
        <f t="shared" si="428"/>
        <v>136.67929205181386</v>
      </c>
      <c r="J617">
        <f t="shared" si="428"/>
        <v>132.89354760102208</v>
      </c>
      <c r="K617">
        <f t="shared" si="428"/>
        <v>154.08569220991521</v>
      </c>
      <c r="L617">
        <f t="shared" si="428"/>
        <v>58.185200969530143</v>
      </c>
      <c r="M617">
        <f t="shared" si="428"/>
        <v>106.10951803435769</v>
      </c>
      <c r="N617">
        <f t="shared" si="428"/>
        <v>96.650420351209476</v>
      </c>
      <c r="O617">
        <f t="shared" si="428"/>
        <v>139.12356118417145</v>
      </c>
      <c r="P617">
        <f t="shared" si="428"/>
        <v>141.86866527790914</v>
      </c>
      <c r="Q617">
        <f t="shared" si="428"/>
        <v>134.78743417721583</v>
      </c>
      <c r="R617">
        <f t="shared" si="428"/>
        <v>154.5317123823435</v>
      </c>
      <c r="S617">
        <f t="shared" si="428"/>
        <v>256.46845739105373</v>
      </c>
      <c r="T617">
        <f t="shared" si="428"/>
        <v>266.48184841440906</v>
      </c>
      <c r="U617">
        <f t="shared" si="428"/>
        <v>279.11777267329205</v>
      </c>
      <c r="V617">
        <f t="shared" si="428"/>
        <v>282.11771986493846</v>
      </c>
      <c r="W617">
        <f t="shared" si="428"/>
        <v>239.35769256932153</v>
      </c>
      <c r="Y617" s="15">
        <f t="shared" si="421"/>
        <v>3759.3424562705991</v>
      </c>
      <c r="Z617">
        <f t="shared" si="422"/>
        <v>451.79310370158976</v>
      </c>
    </row>
    <row r="618" spans="1:26" x14ac:dyDescent="0.25">
      <c r="A618" t="s">
        <v>50</v>
      </c>
      <c r="D618">
        <f t="shared" ref="D618:W618" si="429">D67*D183</f>
        <v>204.31319323770214</v>
      </c>
      <c r="E618">
        <f t="shared" si="429"/>
        <v>168.41755102040818</v>
      </c>
      <c r="F618">
        <f t="shared" si="429"/>
        <v>130.49306122448982</v>
      </c>
      <c r="G618">
        <f t="shared" si="429"/>
        <v>148.93040816326527</v>
      </c>
      <c r="H618">
        <f t="shared" si="429"/>
        <v>60.070608778486452</v>
      </c>
      <c r="I618">
        <f t="shared" si="429"/>
        <v>64.153746977184582</v>
      </c>
      <c r="J618">
        <f t="shared" si="429"/>
        <v>32.0634397010204</v>
      </c>
      <c r="K618">
        <f t="shared" si="429"/>
        <v>19.772603814181974</v>
      </c>
      <c r="L618">
        <f t="shared" si="429"/>
        <v>25.760251329041637</v>
      </c>
      <c r="M618">
        <f t="shared" si="429"/>
        <v>63.942826846699809</v>
      </c>
      <c r="N618">
        <f t="shared" si="429"/>
        <v>74.882141891225174</v>
      </c>
      <c r="O618">
        <f t="shared" si="429"/>
        <v>67.551328360965613</v>
      </c>
      <c r="P618">
        <f t="shared" si="429"/>
        <v>88.395345541791329</v>
      </c>
      <c r="Q618">
        <f t="shared" si="429"/>
        <v>90.240622105107931</v>
      </c>
      <c r="R618">
        <f t="shared" si="429"/>
        <v>67.731704377039634</v>
      </c>
      <c r="S618">
        <f t="shared" si="429"/>
        <v>92.111558011662396</v>
      </c>
      <c r="T618">
        <f t="shared" si="429"/>
        <v>171.47641333171188</v>
      </c>
      <c r="U618">
        <f t="shared" si="429"/>
        <v>150.12007100494034</v>
      </c>
      <c r="V618">
        <f t="shared" si="429"/>
        <v>80.922878211581235</v>
      </c>
      <c r="W618">
        <f t="shared" si="429"/>
        <v>200.095730560243</v>
      </c>
      <c r="Y618" s="15">
        <f t="shared" si="421"/>
        <v>2001.4454844887487</v>
      </c>
      <c r="Z618">
        <f t="shared" si="422"/>
        <v>276.33967874707758</v>
      </c>
    </row>
    <row r="619" spans="1:26" x14ac:dyDescent="0.25">
      <c r="A619" t="s">
        <v>51</v>
      </c>
      <c r="D619">
        <f t="shared" ref="D619:W619" si="430">D68*D184</f>
        <v>149.934827171743</v>
      </c>
      <c r="E619">
        <f t="shared" si="430"/>
        <v>178.43966295802096</v>
      </c>
      <c r="F619">
        <f t="shared" si="430"/>
        <v>227.41690286041808</v>
      </c>
      <c r="G619">
        <f t="shared" si="430"/>
        <v>139.67522066855599</v>
      </c>
      <c r="H619">
        <f t="shared" si="430"/>
        <v>60.023791030361338</v>
      </c>
      <c r="I619">
        <f t="shared" si="430"/>
        <v>19.77583934509763</v>
      </c>
      <c r="J619">
        <f t="shared" si="430"/>
        <v>9.040081557658592</v>
      </c>
      <c r="K619">
        <f t="shared" si="430"/>
        <v>23.405864971507921</v>
      </c>
      <c r="L619">
        <f t="shared" si="430"/>
        <v>22.794412238407688</v>
      </c>
      <c r="M619">
        <f t="shared" si="430"/>
        <v>25.374899304397925</v>
      </c>
      <c r="N619">
        <f t="shared" si="430"/>
        <v>25.761254956984914</v>
      </c>
      <c r="O619">
        <f t="shared" si="430"/>
        <v>37.785456045306539</v>
      </c>
      <c r="P619">
        <f t="shared" si="430"/>
        <v>61.241858181992441</v>
      </c>
      <c r="Q619">
        <f t="shared" si="430"/>
        <v>92.212599999999995</v>
      </c>
      <c r="R619">
        <f t="shared" si="430"/>
        <v>53.281092055760233</v>
      </c>
      <c r="S619">
        <f t="shared" si="430"/>
        <v>21.629466602451146</v>
      </c>
      <c r="T619">
        <f t="shared" si="430"/>
        <v>60.620477317331293</v>
      </c>
      <c r="U619">
        <f t="shared" si="430"/>
        <v>24.03198970568112</v>
      </c>
      <c r="V619">
        <f t="shared" si="430"/>
        <v>66.636853574384659</v>
      </c>
      <c r="W619">
        <f t="shared" si="430"/>
        <v>172.33932377874606</v>
      </c>
      <c r="Y619" s="15">
        <f t="shared" si="421"/>
        <v>1471.4218743248075</v>
      </c>
      <c r="Z619">
        <f t="shared" si="422"/>
        <v>305.46945777745361</v>
      </c>
    </row>
    <row r="620" spans="1:26" x14ac:dyDescent="0.25">
      <c r="A620" t="s">
        <v>52</v>
      </c>
      <c r="D620">
        <f t="shared" ref="D620:W620" si="431">D69*D185</f>
        <v>230.0547188325572</v>
      </c>
      <c r="E620">
        <f t="shared" si="431"/>
        <v>134.33482469572192</v>
      </c>
      <c r="F620">
        <f t="shared" si="431"/>
        <v>127.25402691860333</v>
      </c>
      <c r="G620">
        <f t="shared" si="431"/>
        <v>80.24642209580125</v>
      </c>
      <c r="H620">
        <f t="shared" si="431"/>
        <v>31.084339197020604</v>
      </c>
      <c r="I620">
        <f t="shared" si="431"/>
        <v>15.698517833811326</v>
      </c>
      <c r="J620">
        <f t="shared" si="431"/>
        <v>31.240216727850562</v>
      </c>
      <c r="K620">
        <f t="shared" si="431"/>
        <v>24.433458044448273</v>
      </c>
      <c r="L620">
        <f t="shared" si="431"/>
        <v>32.882720936430708</v>
      </c>
      <c r="M620">
        <f t="shared" si="431"/>
        <v>26.794290870935665</v>
      </c>
      <c r="N620">
        <f t="shared" si="431"/>
        <v>29.372874731102097</v>
      </c>
      <c r="O620">
        <f t="shared" si="431"/>
        <v>11.49861448278627</v>
      </c>
      <c r="P620">
        <f t="shared" si="431"/>
        <v>12.062613917398812</v>
      </c>
      <c r="Q620">
        <f t="shared" si="431"/>
        <v>86.984131142857152</v>
      </c>
      <c r="R620">
        <f t="shared" si="431"/>
        <v>58.777643981645653</v>
      </c>
      <c r="S620">
        <f t="shared" si="431"/>
        <v>42.789638068808365</v>
      </c>
      <c r="T620">
        <f t="shared" si="431"/>
        <v>19.982663617293021</v>
      </c>
      <c r="U620">
        <f t="shared" si="431"/>
        <v>44.17510364471422</v>
      </c>
      <c r="V620">
        <f t="shared" si="431"/>
        <v>59.333364441848843</v>
      </c>
      <c r="W620">
        <f t="shared" si="431"/>
        <v>128.44885717660452</v>
      </c>
      <c r="Y620" s="15">
        <f t="shared" si="421"/>
        <v>1227.4490413582398</v>
      </c>
      <c r="Z620">
        <f t="shared" si="422"/>
        <v>196.42112148050953</v>
      </c>
    </row>
    <row r="621" spans="1:26" x14ac:dyDescent="0.25">
      <c r="A621" t="s">
        <v>53</v>
      </c>
      <c r="D621">
        <f t="shared" ref="D621:W621" si="432">D70*D186</f>
        <v>208.37914416977637</v>
      </c>
      <c r="E621">
        <f t="shared" si="432"/>
        <v>197.79757431251392</v>
      </c>
      <c r="F621">
        <f t="shared" si="432"/>
        <v>126.65865142805978</v>
      </c>
      <c r="G621">
        <f t="shared" si="432"/>
        <v>70.711621924155182</v>
      </c>
      <c r="H621">
        <f t="shared" si="432"/>
        <v>28.231358985040298</v>
      </c>
      <c r="I621">
        <f t="shared" si="432"/>
        <v>42.638185013220799</v>
      </c>
      <c r="J621">
        <f t="shared" si="432"/>
        <v>16.595851508462101</v>
      </c>
      <c r="K621">
        <f t="shared" si="432"/>
        <v>72.217854939186267</v>
      </c>
      <c r="L621">
        <f t="shared" si="432"/>
        <v>17.557727958383833</v>
      </c>
      <c r="M621">
        <f t="shared" si="432"/>
        <v>78.901035895685055</v>
      </c>
      <c r="N621">
        <f t="shared" si="432"/>
        <v>89.586293966956589</v>
      </c>
      <c r="O621">
        <f t="shared" si="432"/>
        <v>55.209324619453142</v>
      </c>
      <c r="P621">
        <f t="shared" si="432"/>
        <v>44.958501816974739</v>
      </c>
      <c r="Q621">
        <f t="shared" si="432"/>
        <v>86.472679254416789</v>
      </c>
      <c r="R621">
        <f t="shared" si="432"/>
        <v>59.933771233681178</v>
      </c>
      <c r="S621">
        <f t="shared" si="432"/>
        <v>59.226689665837185</v>
      </c>
      <c r="T621">
        <f t="shared" si="432"/>
        <v>140.77185065823201</v>
      </c>
      <c r="U621">
        <f t="shared" si="432"/>
        <v>197.50247743372472</v>
      </c>
      <c r="V621">
        <f t="shared" si="432"/>
        <v>42.829739854579834</v>
      </c>
      <c r="W621">
        <f t="shared" si="432"/>
        <v>49.063589273961789</v>
      </c>
      <c r="Y621" s="15">
        <f t="shared" si="421"/>
        <v>1685.2439239123019</v>
      </c>
      <c r="Z621">
        <f t="shared" si="422"/>
        <v>243.27858072428543</v>
      </c>
    </row>
    <row r="622" spans="1:26" x14ac:dyDescent="0.25">
      <c r="A622" t="s">
        <v>54</v>
      </c>
      <c r="D622">
        <f t="shared" ref="D622:W622" si="433">D71*D187</f>
        <v>186.82568426111141</v>
      </c>
      <c r="E622">
        <f t="shared" si="433"/>
        <v>259.75800842773771</v>
      </c>
      <c r="F622">
        <f t="shared" si="433"/>
        <v>175.38360461401558</v>
      </c>
      <c r="G622">
        <f t="shared" si="433"/>
        <v>179.42963121550025</v>
      </c>
      <c r="H622">
        <f t="shared" si="433"/>
        <v>141.95426677412391</v>
      </c>
      <c r="I622">
        <f t="shared" si="433"/>
        <v>160.69530808493244</v>
      </c>
      <c r="J622">
        <f t="shared" si="433"/>
        <v>70.824653042396676</v>
      </c>
      <c r="K622">
        <f t="shared" si="433"/>
        <v>51.761329352515233</v>
      </c>
      <c r="L622">
        <f t="shared" si="433"/>
        <v>44.401130700393765</v>
      </c>
      <c r="M622">
        <f t="shared" si="433"/>
        <v>50.54691510266364</v>
      </c>
      <c r="N622">
        <f t="shared" si="433"/>
        <v>19.338470784633028</v>
      </c>
      <c r="O622">
        <f t="shared" si="433"/>
        <v>23.303581488306133</v>
      </c>
      <c r="P622">
        <f t="shared" si="433"/>
        <v>16.065186500968689</v>
      </c>
      <c r="Q622">
        <f t="shared" si="433"/>
        <v>31.534175766275251</v>
      </c>
      <c r="R622">
        <f t="shared" si="433"/>
        <v>65.515352794021325</v>
      </c>
      <c r="S622">
        <f t="shared" si="433"/>
        <v>82.015114802712532</v>
      </c>
      <c r="T622">
        <f t="shared" si="433"/>
        <v>46.757252303238118</v>
      </c>
      <c r="U622">
        <f t="shared" si="433"/>
        <v>80.507465814138698</v>
      </c>
      <c r="V622">
        <f t="shared" si="433"/>
        <v>63.425001788852285</v>
      </c>
      <c r="W622">
        <f t="shared" si="433"/>
        <v>68.608697577907236</v>
      </c>
      <c r="Y622" s="15">
        <f t="shared" si="421"/>
        <v>1818.6508311964437</v>
      </c>
      <c r="Z622">
        <f t="shared" si="422"/>
        <v>407.05786643083667</v>
      </c>
    </row>
    <row r="623" spans="1:26" x14ac:dyDescent="0.25">
      <c r="A623" t="s">
        <v>55</v>
      </c>
      <c r="D623">
        <f t="shared" ref="D623:W623" si="434">D72*D188</f>
        <v>161.14298780904977</v>
      </c>
      <c r="E623">
        <f t="shared" si="434"/>
        <v>151.558040181352</v>
      </c>
      <c r="F623">
        <f t="shared" si="434"/>
        <v>234.351902767783</v>
      </c>
      <c r="G623">
        <f t="shared" si="434"/>
        <v>121.58580625136176</v>
      </c>
      <c r="H623">
        <f t="shared" si="434"/>
        <v>82.659177528000129</v>
      </c>
      <c r="I623">
        <f t="shared" si="434"/>
        <v>105.6001824421394</v>
      </c>
      <c r="J623">
        <f t="shared" si="434"/>
        <v>53.073673540289995</v>
      </c>
      <c r="K623">
        <f t="shared" si="434"/>
        <v>25.34364450527212</v>
      </c>
      <c r="L623">
        <f t="shared" si="434"/>
        <v>77.769890802092036</v>
      </c>
      <c r="M623">
        <f t="shared" si="434"/>
        <v>15.074441012973406</v>
      </c>
      <c r="N623">
        <f t="shared" si="434"/>
        <v>43.137013971557366</v>
      </c>
      <c r="O623">
        <f t="shared" si="434"/>
        <v>19.402203768932964</v>
      </c>
      <c r="P623">
        <f t="shared" si="434"/>
        <v>32.726603390505289</v>
      </c>
      <c r="Q623">
        <f t="shared" si="434"/>
        <v>31.447511191057806</v>
      </c>
      <c r="R623">
        <f t="shared" si="434"/>
        <v>104.19755143647106</v>
      </c>
      <c r="S623">
        <f t="shared" si="434"/>
        <v>112.07381122164777</v>
      </c>
      <c r="T623">
        <f t="shared" si="434"/>
        <v>9.6207305661905256</v>
      </c>
      <c r="U623">
        <f t="shared" si="434"/>
        <v>118.26995860683122</v>
      </c>
      <c r="V623">
        <f t="shared" si="434"/>
        <v>181.74111758103646</v>
      </c>
      <c r="W623">
        <f t="shared" si="434"/>
        <v>207.39144009264439</v>
      </c>
      <c r="Y623" s="15">
        <f t="shared" si="421"/>
        <v>1888.1676886671885</v>
      </c>
      <c r="Z623">
        <f t="shared" si="422"/>
        <v>314.0181354895447</v>
      </c>
    </row>
    <row r="624" spans="1:26" x14ac:dyDescent="0.25">
      <c r="A624" t="s">
        <v>56</v>
      </c>
      <c r="D624">
        <f t="shared" ref="D624:W624" si="435">D73*D189</f>
        <v>241.16746900456329</v>
      </c>
      <c r="E624">
        <f t="shared" si="435"/>
        <v>162.63428571428571</v>
      </c>
      <c r="F624">
        <f t="shared" si="435"/>
        <v>121.67142857142858</v>
      </c>
      <c r="G624">
        <f t="shared" si="435"/>
        <v>127.88</v>
      </c>
      <c r="H624">
        <f t="shared" si="435"/>
        <v>72.184786529620311</v>
      </c>
      <c r="I624">
        <f t="shared" si="435"/>
        <v>76.480709495789242</v>
      </c>
      <c r="J624">
        <f t="shared" si="435"/>
        <v>43.300998344647766</v>
      </c>
      <c r="K624">
        <f t="shared" si="435"/>
        <v>48.748183562629514</v>
      </c>
      <c r="L624">
        <f t="shared" si="435"/>
        <v>68.021464637425595</v>
      </c>
      <c r="M624">
        <f t="shared" si="435"/>
        <v>61.231225933289636</v>
      </c>
      <c r="N624">
        <f t="shared" si="435"/>
        <v>72.097846528603256</v>
      </c>
      <c r="O624">
        <f t="shared" si="435"/>
        <v>125.55922560633083</v>
      </c>
      <c r="P624">
        <f t="shared" si="435"/>
        <v>88.844686801199515</v>
      </c>
      <c r="Q624">
        <f t="shared" si="435"/>
        <v>116.93915727321648</v>
      </c>
      <c r="R624">
        <f t="shared" si="435"/>
        <v>179.23066087686058</v>
      </c>
      <c r="S624">
        <f t="shared" si="435"/>
        <v>172.32490119087888</v>
      </c>
      <c r="T624">
        <f t="shared" si="435"/>
        <v>199.4809338769347</v>
      </c>
      <c r="U624">
        <f t="shared" si="435"/>
        <v>207.16245503759484</v>
      </c>
      <c r="V624">
        <f t="shared" si="435"/>
        <v>208.61116765850176</v>
      </c>
      <c r="W624">
        <f t="shared" si="435"/>
        <v>288.64536349074319</v>
      </c>
      <c r="Y624" s="15">
        <f t="shared" si="421"/>
        <v>2682.2169501345434</v>
      </c>
      <c r="Z624">
        <f t="shared" si="422"/>
        <v>281.35048062498475</v>
      </c>
    </row>
    <row r="625" spans="1:26" x14ac:dyDescent="0.25">
      <c r="A625" t="s">
        <v>57</v>
      </c>
      <c r="D625">
        <f t="shared" ref="D625:W625" si="436">D74*D190</f>
        <v>249.46326530612239</v>
      </c>
      <c r="E625">
        <f t="shared" si="436"/>
        <v>276.1142857142857</v>
      </c>
      <c r="F625">
        <f t="shared" si="436"/>
        <v>231.36</v>
      </c>
      <c r="G625">
        <f t="shared" si="436"/>
        <v>237.8020408163265</v>
      </c>
      <c r="H625">
        <f t="shared" si="436"/>
        <v>142.51797148596009</v>
      </c>
      <c r="I625">
        <f t="shared" si="436"/>
        <v>130.35455397119301</v>
      </c>
      <c r="J625">
        <f t="shared" si="436"/>
        <v>87.019196072073555</v>
      </c>
      <c r="K625">
        <f t="shared" si="436"/>
        <v>99.773489094505933</v>
      </c>
      <c r="L625">
        <f t="shared" si="436"/>
        <v>78.739823345906316</v>
      </c>
      <c r="M625">
        <f t="shared" si="436"/>
        <v>85.270815749931771</v>
      </c>
      <c r="N625">
        <f t="shared" si="436"/>
        <v>81.157895145255083</v>
      </c>
      <c r="O625">
        <f t="shared" si="436"/>
        <v>74.975187277091521</v>
      </c>
      <c r="P625">
        <f t="shared" si="436"/>
        <v>79.525705201764353</v>
      </c>
      <c r="Q625">
        <f t="shared" si="436"/>
        <v>101.1473904974264</v>
      </c>
      <c r="R625">
        <f t="shared" si="436"/>
        <v>81.323864527358538</v>
      </c>
      <c r="S625">
        <f t="shared" si="436"/>
        <v>88.87876563543611</v>
      </c>
      <c r="T625">
        <f t="shared" si="436"/>
        <v>116.8702261960597</v>
      </c>
      <c r="U625">
        <f t="shared" si="436"/>
        <v>113.37121086491769</v>
      </c>
      <c r="V625">
        <f t="shared" si="436"/>
        <v>133.79719095513119</v>
      </c>
      <c r="W625">
        <f t="shared" si="436"/>
        <v>197.94150552641173</v>
      </c>
      <c r="Y625" s="15">
        <f t="shared" si="421"/>
        <v>2687.4043833831579</v>
      </c>
      <c r="Z625">
        <f t="shared" si="422"/>
        <v>467.81400628851924</v>
      </c>
    </row>
    <row r="626" spans="1:26" x14ac:dyDescent="0.25">
      <c r="A626" t="s">
        <v>58</v>
      </c>
      <c r="D626">
        <f t="shared" ref="D626:W626" si="437">D75*D191</f>
        <v>310.70775510204078</v>
      </c>
      <c r="E626">
        <f t="shared" si="437"/>
        <v>267.09469387755098</v>
      </c>
      <c r="F626">
        <f t="shared" si="437"/>
        <v>157.52938775510205</v>
      </c>
      <c r="G626">
        <f t="shared" si="437"/>
        <v>90.976734693877532</v>
      </c>
      <c r="H626">
        <f t="shared" si="437"/>
        <v>146.38679858264058</v>
      </c>
      <c r="I626">
        <f t="shared" si="437"/>
        <v>118.56769827925676</v>
      </c>
      <c r="J626">
        <f t="shared" si="437"/>
        <v>93.392671442460696</v>
      </c>
      <c r="K626">
        <f t="shared" si="437"/>
        <v>89.803360606638819</v>
      </c>
      <c r="L626">
        <f t="shared" si="437"/>
        <v>92.185309306817416</v>
      </c>
      <c r="M626">
        <f t="shared" si="437"/>
        <v>161.95689617879606</v>
      </c>
      <c r="N626">
        <f t="shared" si="437"/>
        <v>172.30780607457064</v>
      </c>
      <c r="O626">
        <f t="shared" si="437"/>
        <v>151.37265071461985</v>
      </c>
      <c r="P626">
        <f t="shared" si="437"/>
        <v>60.558539063926631</v>
      </c>
      <c r="Q626">
        <f t="shared" si="437"/>
        <v>74.942556373921974</v>
      </c>
      <c r="R626">
        <f t="shared" si="437"/>
        <v>48.953876833036205</v>
      </c>
      <c r="S626">
        <f t="shared" si="437"/>
        <v>146.35487649643932</v>
      </c>
      <c r="T626">
        <f t="shared" si="437"/>
        <v>188.38936998561596</v>
      </c>
      <c r="U626">
        <f t="shared" si="437"/>
        <v>227.69355904480827</v>
      </c>
      <c r="V626">
        <f t="shared" si="437"/>
        <v>327.23681973315064</v>
      </c>
      <c r="W626">
        <f t="shared" si="437"/>
        <v>412.39637446669144</v>
      </c>
      <c r="Y626" s="15">
        <f t="shared" si="421"/>
        <v>3338.8077346119626</v>
      </c>
      <c r="Z626">
        <f t="shared" si="422"/>
        <v>389.22606267375551</v>
      </c>
    </row>
    <row r="627" spans="1:26" x14ac:dyDescent="0.25">
      <c r="A627" t="s">
        <v>59</v>
      </c>
      <c r="D627">
        <f t="shared" ref="D627:W627" si="438">D76*D192</f>
        <v>187.96509519569236</v>
      </c>
      <c r="E627">
        <f t="shared" si="438"/>
        <v>173.67885642002207</v>
      </c>
      <c r="F627">
        <f t="shared" si="438"/>
        <v>212.32860834379548</v>
      </c>
      <c r="G627">
        <f t="shared" si="438"/>
        <v>305.31031419850348</v>
      </c>
      <c r="H627">
        <f t="shared" si="438"/>
        <v>289.70790885710659</v>
      </c>
      <c r="I627">
        <f t="shared" si="438"/>
        <v>512.57620704131114</v>
      </c>
      <c r="J627">
        <f t="shared" si="438"/>
        <v>374.9303233629285</v>
      </c>
      <c r="K627">
        <f t="shared" si="438"/>
        <v>237.52624524322928</v>
      </c>
      <c r="L627">
        <f t="shared" si="438"/>
        <v>111.15999759617664</v>
      </c>
      <c r="M627">
        <f t="shared" si="438"/>
        <v>140.172672845709</v>
      </c>
      <c r="N627">
        <f t="shared" si="438"/>
        <v>239.62346957837937</v>
      </c>
      <c r="O627">
        <f t="shared" si="438"/>
        <v>222.88994699563887</v>
      </c>
      <c r="P627">
        <f t="shared" si="438"/>
        <v>150.12442759101251</v>
      </c>
      <c r="Q627">
        <f t="shared" si="438"/>
        <v>107.3224222009825</v>
      </c>
      <c r="R627">
        <f t="shared" si="438"/>
        <v>127.79415645571446</v>
      </c>
      <c r="S627">
        <f t="shared" si="438"/>
        <v>137.90161969097707</v>
      </c>
      <c r="T627">
        <f t="shared" si="438"/>
        <v>181.70573472647828</v>
      </c>
      <c r="U627">
        <f t="shared" si="438"/>
        <v>156.96277560220466</v>
      </c>
      <c r="V627">
        <f t="shared" si="438"/>
        <v>146.79054460210972</v>
      </c>
      <c r="W627">
        <f t="shared" si="438"/>
        <v>167.92052975052368</v>
      </c>
      <c r="Y627" s="15">
        <f t="shared" si="421"/>
        <v>4184.3918562984954</v>
      </c>
      <c r="Z627">
        <f t="shared" si="422"/>
        <v>563.00594743763054</v>
      </c>
    </row>
    <row r="628" spans="1:26" x14ac:dyDescent="0.25">
      <c r="A628" t="s">
        <v>60</v>
      </c>
      <c r="D628">
        <f t="shared" ref="D628:W628" si="439">D77*D193</f>
        <v>136.20230122846345</v>
      </c>
      <c r="E628">
        <f t="shared" si="439"/>
        <v>261.43328056030316</v>
      </c>
      <c r="F628">
        <f t="shared" si="439"/>
        <v>355.16881446952027</v>
      </c>
      <c r="G628">
        <f t="shared" si="439"/>
        <v>199.71562646296033</v>
      </c>
      <c r="H628">
        <f t="shared" si="439"/>
        <v>181.36779603194552</v>
      </c>
      <c r="I628">
        <f t="shared" si="439"/>
        <v>164.24847182811777</v>
      </c>
      <c r="J628">
        <f t="shared" si="439"/>
        <v>233.61440897066134</v>
      </c>
      <c r="K628">
        <f t="shared" si="439"/>
        <v>221.53587407769305</v>
      </c>
      <c r="L628">
        <f t="shared" si="439"/>
        <v>150.08868575943947</v>
      </c>
      <c r="M628">
        <f t="shared" si="439"/>
        <v>168.6160420533283</v>
      </c>
      <c r="N628">
        <f t="shared" si="439"/>
        <v>131.51804344216106</v>
      </c>
      <c r="O628">
        <f t="shared" si="439"/>
        <v>132.52825010390046</v>
      </c>
      <c r="P628">
        <f t="shared" si="439"/>
        <v>135.55910443474133</v>
      </c>
      <c r="Q628">
        <f t="shared" si="439"/>
        <v>166.69820868916986</v>
      </c>
      <c r="R628">
        <f t="shared" si="439"/>
        <v>243.63342374166834</v>
      </c>
      <c r="S628">
        <f t="shared" si="439"/>
        <v>125.23795359808162</v>
      </c>
      <c r="T628">
        <f t="shared" si="439"/>
        <v>150.40503887154293</v>
      </c>
      <c r="U628">
        <f t="shared" si="439"/>
        <v>164.96960415733037</v>
      </c>
      <c r="V628">
        <f t="shared" si="439"/>
        <v>227.13003053102199</v>
      </c>
      <c r="W628">
        <f t="shared" si="439"/>
        <v>175.30612964443728</v>
      </c>
      <c r="Y628" s="15">
        <f t="shared" si="421"/>
        <v>3724.9770886564866</v>
      </c>
      <c r="Z628">
        <f t="shared" si="422"/>
        <v>534.37728733383983</v>
      </c>
    </row>
    <row r="629" spans="1:26" x14ac:dyDescent="0.25">
      <c r="A629" t="s">
        <v>61</v>
      </c>
      <c r="D629">
        <f t="shared" ref="D629:W629" si="440">D78*D194</f>
        <v>266.87145580044779</v>
      </c>
      <c r="E629">
        <f t="shared" si="440"/>
        <v>353.77833440447796</v>
      </c>
      <c r="F629">
        <f t="shared" si="440"/>
        <v>461.4949417380825</v>
      </c>
      <c r="G629">
        <f t="shared" si="440"/>
        <v>381.45923428153537</v>
      </c>
      <c r="H629">
        <f t="shared" si="440"/>
        <v>384.82690232865144</v>
      </c>
      <c r="I629">
        <f t="shared" si="440"/>
        <v>220.10786840354834</v>
      </c>
      <c r="J629">
        <f t="shared" si="440"/>
        <v>88.534972593327424</v>
      </c>
      <c r="K629">
        <f t="shared" si="440"/>
        <v>73.930857400714984</v>
      </c>
      <c r="L629">
        <f t="shared" si="440"/>
        <v>150.35537415082698</v>
      </c>
      <c r="M629">
        <f t="shared" si="440"/>
        <v>92.482672691727501</v>
      </c>
      <c r="N629">
        <f t="shared" si="440"/>
        <v>82.535563782970911</v>
      </c>
      <c r="O629">
        <f t="shared" si="440"/>
        <v>175.77429291016088</v>
      </c>
      <c r="P629">
        <f t="shared" si="440"/>
        <v>163.63109725955334</v>
      </c>
      <c r="Q629">
        <f t="shared" si="440"/>
        <v>127.37684160243975</v>
      </c>
      <c r="R629">
        <f t="shared" si="440"/>
        <v>157.81860173178768</v>
      </c>
      <c r="S629">
        <f t="shared" si="440"/>
        <v>170.95191304827924</v>
      </c>
      <c r="T629">
        <f t="shared" si="440"/>
        <v>122.1949902981934</v>
      </c>
      <c r="U629">
        <f t="shared" si="440"/>
        <v>161.60018967138285</v>
      </c>
      <c r="V629">
        <f t="shared" si="440"/>
        <v>152.10520165372375</v>
      </c>
      <c r="W629">
        <f t="shared" si="440"/>
        <v>169.47577367979318</v>
      </c>
      <c r="Y629" s="15">
        <f t="shared" si="421"/>
        <v>3957.3070794316254</v>
      </c>
      <c r="Z629">
        <f t="shared" si="422"/>
        <v>820.63870694139496</v>
      </c>
    </row>
    <row r="630" spans="1:26" x14ac:dyDescent="0.25">
      <c r="A630" t="s">
        <v>62</v>
      </c>
      <c r="D630">
        <f t="shared" ref="D630:W630" si="441">D79*D195</f>
        <v>231.78835051265676</v>
      </c>
      <c r="E630">
        <f t="shared" si="441"/>
        <v>266.18886036683114</v>
      </c>
      <c r="F630">
        <f t="shared" si="441"/>
        <v>226.07544273161599</v>
      </c>
      <c r="G630">
        <f t="shared" si="441"/>
        <v>179.6430890276055</v>
      </c>
      <c r="H630">
        <f t="shared" si="441"/>
        <v>245.83902099742917</v>
      </c>
      <c r="I630">
        <f t="shared" si="441"/>
        <v>258.96249424858502</v>
      </c>
      <c r="J630">
        <f t="shared" si="441"/>
        <v>152.95017367197929</v>
      </c>
      <c r="K630">
        <f t="shared" si="441"/>
        <v>167.74802745220973</v>
      </c>
      <c r="L630">
        <f t="shared" si="441"/>
        <v>129.52904215448137</v>
      </c>
      <c r="M630">
        <f t="shared" si="441"/>
        <v>141.58502070854635</v>
      </c>
      <c r="N630">
        <f t="shared" si="441"/>
        <v>72.568910487569951</v>
      </c>
      <c r="O630">
        <f t="shared" si="441"/>
        <v>78.247402975512983</v>
      </c>
      <c r="P630">
        <f t="shared" si="441"/>
        <v>105.45052824699134</v>
      </c>
      <c r="Q630">
        <f t="shared" si="441"/>
        <v>132.28325178647935</v>
      </c>
      <c r="R630">
        <f t="shared" si="441"/>
        <v>67.380179643651061</v>
      </c>
      <c r="S630">
        <f t="shared" si="441"/>
        <v>107.48447884189889</v>
      </c>
      <c r="T630">
        <f t="shared" si="441"/>
        <v>104.68593555708418</v>
      </c>
      <c r="U630">
        <f t="shared" si="441"/>
        <v>120.88294381876484</v>
      </c>
      <c r="V630">
        <f t="shared" si="441"/>
        <v>110.33226811772178</v>
      </c>
      <c r="W630">
        <f t="shared" si="441"/>
        <v>175.60813689939792</v>
      </c>
      <c r="Y630" s="15">
        <f t="shared" si="421"/>
        <v>3075.2335582470128</v>
      </c>
      <c r="Z630">
        <f t="shared" si="422"/>
        <v>526.21734614727916</v>
      </c>
    </row>
    <row r="631" spans="1:26" x14ac:dyDescent="0.25">
      <c r="Y631" s="15"/>
    </row>
    <row r="632" spans="1:26" x14ac:dyDescent="0.25">
      <c r="A632" t="s">
        <v>63</v>
      </c>
      <c r="D632">
        <f t="shared" ref="D632:W632" si="442">D81*D197</f>
        <v>185.79386984840735</v>
      </c>
      <c r="E632">
        <f t="shared" si="442"/>
        <v>137.50153538083427</v>
      </c>
      <c r="F632">
        <f t="shared" si="442"/>
        <v>177.36142541982088</v>
      </c>
      <c r="G632">
        <f t="shared" si="442"/>
        <v>116.93469545460756</v>
      </c>
      <c r="H632">
        <f t="shared" si="442"/>
        <v>102.01837354840532</v>
      </c>
      <c r="I632">
        <f t="shared" si="442"/>
        <v>113.33154685502308</v>
      </c>
      <c r="J632">
        <f t="shared" si="442"/>
        <v>81.142913187419737</v>
      </c>
      <c r="K632">
        <f t="shared" si="442"/>
        <v>99.821856156901461</v>
      </c>
      <c r="L632">
        <f t="shared" si="442"/>
        <v>65.465185830428894</v>
      </c>
      <c r="M632">
        <f t="shared" si="442"/>
        <v>73.174069932068974</v>
      </c>
      <c r="N632">
        <f t="shared" si="442"/>
        <v>80.585148668758293</v>
      </c>
      <c r="O632">
        <f t="shared" si="442"/>
        <v>79.637170375707825</v>
      </c>
      <c r="P632">
        <f t="shared" si="442"/>
        <v>68.732549068918999</v>
      </c>
      <c r="Q632">
        <f t="shared" si="442"/>
        <v>87.461215166356709</v>
      </c>
      <c r="R632">
        <f t="shared" si="442"/>
        <v>88.652186495696512</v>
      </c>
      <c r="S632">
        <f t="shared" si="442"/>
        <v>105.85742267806259</v>
      </c>
      <c r="T632">
        <f t="shared" si="442"/>
        <v>120.28967979099879</v>
      </c>
      <c r="U632">
        <f t="shared" si="442"/>
        <v>143.43524319772592</v>
      </c>
      <c r="V632">
        <f t="shared" si="442"/>
        <v>138.33970383055291</v>
      </c>
      <c r="W632">
        <f t="shared" si="442"/>
        <v>190.20042180887722</v>
      </c>
      <c r="Y632" s="15">
        <f t="shared" si="421"/>
        <v>2255.7362126955736</v>
      </c>
      <c r="Z632">
        <f>SUMPRODUCT($D$636:$S$636,D632:S632)</f>
        <v>298.75401449470536</v>
      </c>
    </row>
    <row r="633" spans="1:26" x14ac:dyDescent="0.25">
      <c r="A633" t="s">
        <v>307</v>
      </c>
      <c r="D633">
        <f t="shared" ref="D633:W633" si="443">D82*D198</f>
        <v>302.72163265306114</v>
      </c>
      <c r="E633">
        <f t="shared" si="443"/>
        <v>250.64000000000001</v>
      </c>
      <c r="F633">
        <f t="shared" si="443"/>
        <v>212.28</v>
      </c>
      <c r="G633">
        <f t="shared" si="443"/>
        <v>147</v>
      </c>
      <c r="H633">
        <f t="shared" si="443"/>
        <v>235.4326530612245</v>
      </c>
      <c r="I633">
        <f t="shared" si="443"/>
        <v>172.57102040816324</v>
      </c>
      <c r="J633">
        <f t="shared" si="443"/>
        <v>123.05142857142859</v>
      </c>
      <c r="K633">
        <f t="shared" si="443"/>
        <v>107.32408163265309</v>
      </c>
      <c r="L633">
        <f t="shared" si="443"/>
        <v>155.62171874999999</v>
      </c>
      <c r="M633">
        <f t="shared" si="443"/>
        <v>173.66000000000003</v>
      </c>
      <c r="N633">
        <f t="shared" si="443"/>
        <v>136.31877551020409</v>
      </c>
      <c r="O633">
        <f t="shared" si="443"/>
        <v>105.12</v>
      </c>
      <c r="P633">
        <f t="shared" si="443"/>
        <v>248</v>
      </c>
      <c r="Q633">
        <f t="shared" si="443"/>
        <v>176.88</v>
      </c>
      <c r="R633">
        <f t="shared" si="443"/>
        <v>149.94</v>
      </c>
      <c r="S633">
        <f t="shared" si="443"/>
        <v>148.47999999999999</v>
      </c>
      <c r="T633">
        <f t="shared" si="443"/>
        <v>125.55000000000001</v>
      </c>
      <c r="U633">
        <f t="shared" si="443"/>
        <v>138.32</v>
      </c>
      <c r="V633">
        <f t="shared" si="443"/>
        <v>145.35999999999999</v>
      </c>
      <c r="W633">
        <f t="shared" si="443"/>
        <v>201.14000000000001</v>
      </c>
      <c r="Y633" s="15">
        <f t="shared" si="421"/>
        <v>3455.411310586735</v>
      </c>
      <c r="Z633">
        <f>SUMPRODUCT($D$636:$S$636,D633:S633)</f>
        <v>496.04430875101377</v>
      </c>
    </row>
    <row r="634" spans="1:26" x14ac:dyDescent="0.25">
      <c r="A634" t="s">
        <v>308</v>
      </c>
      <c r="D634">
        <f t="shared" ref="D634:W634" si="444">D83*D199</f>
        <v>210.46966102538195</v>
      </c>
      <c r="E634">
        <f t="shared" si="444"/>
        <v>155.04</v>
      </c>
      <c r="F634">
        <f t="shared" si="444"/>
        <v>190.08000000000004</v>
      </c>
      <c r="G634">
        <f t="shared" si="444"/>
        <v>118.69000000000001</v>
      </c>
      <c r="H634">
        <f t="shared" si="444"/>
        <v>172.89000000000001</v>
      </c>
      <c r="I634">
        <f t="shared" si="444"/>
        <v>139.52000000000001</v>
      </c>
      <c r="J634">
        <f t="shared" si="444"/>
        <v>94.920000000000016</v>
      </c>
      <c r="K634">
        <f t="shared" si="444"/>
        <v>125.43</v>
      </c>
      <c r="L634">
        <f t="shared" si="444"/>
        <v>134.61999999999998</v>
      </c>
      <c r="M634">
        <f t="shared" si="444"/>
        <v>136.63999999999999</v>
      </c>
      <c r="N634">
        <f t="shared" si="444"/>
        <v>132.24</v>
      </c>
      <c r="O634">
        <f t="shared" si="444"/>
        <v>126.69000000000001</v>
      </c>
      <c r="P634">
        <f t="shared" si="444"/>
        <v>101.84699314800561</v>
      </c>
      <c r="Q634">
        <f t="shared" si="444"/>
        <v>112.03655970263077</v>
      </c>
      <c r="R634">
        <f t="shared" si="444"/>
        <v>123.35977551347086</v>
      </c>
      <c r="S634">
        <f t="shared" si="444"/>
        <v>130.46226929435264</v>
      </c>
      <c r="T634">
        <f t="shared" si="444"/>
        <v>164.35632816294731</v>
      </c>
      <c r="U634">
        <f t="shared" si="444"/>
        <v>176.78645555594593</v>
      </c>
      <c r="V634">
        <f t="shared" si="444"/>
        <v>204.95406510344483</v>
      </c>
      <c r="W634">
        <f t="shared" si="444"/>
        <v>231.43432131012324</v>
      </c>
      <c r="Y634" s="15">
        <f t="shared" si="421"/>
        <v>2982.4664288163031</v>
      </c>
      <c r="Z634">
        <f>SUMPRODUCT($D$636:$S$636,D634:S634)</f>
        <v>364.67407294391512</v>
      </c>
    </row>
    <row r="635" spans="1:26" ht="18.75" customHeight="1" x14ac:dyDescent="0.25">
      <c r="A635" t="s">
        <v>670</v>
      </c>
      <c r="D635">
        <f t="shared" ref="D635:W635" si="445">D84*D200</f>
        <v>260.19737417267169</v>
      </c>
      <c r="E635">
        <f t="shared" si="445"/>
        <v>305.8382763045505</v>
      </c>
      <c r="F635">
        <f t="shared" si="445"/>
        <v>262.28819887483371</v>
      </c>
      <c r="G635">
        <f t="shared" si="445"/>
        <v>256.24635561760215</v>
      </c>
      <c r="H635">
        <f t="shared" si="445"/>
        <v>224.92442596601927</v>
      </c>
      <c r="I635">
        <f t="shared" si="445"/>
        <v>168.06954249353845</v>
      </c>
      <c r="J635">
        <f t="shared" si="445"/>
        <v>115.09417112976743</v>
      </c>
      <c r="K635">
        <f t="shared" si="445"/>
        <v>92.247577266994014</v>
      </c>
      <c r="L635">
        <f t="shared" si="445"/>
        <v>98.247430155986521</v>
      </c>
      <c r="M635">
        <f t="shared" si="445"/>
        <v>127.06833278279942</v>
      </c>
      <c r="N635">
        <f t="shared" si="445"/>
        <v>133.49228957477328</v>
      </c>
      <c r="O635">
        <f t="shared" si="445"/>
        <v>146.65491111067666</v>
      </c>
      <c r="P635">
        <f t="shared" si="445"/>
        <v>74.844766112236925</v>
      </c>
      <c r="Q635">
        <f t="shared" si="445"/>
        <v>84.014740668931651</v>
      </c>
      <c r="R635">
        <f t="shared" si="445"/>
        <v>123.86098100061493</v>
      </c>
      <c r="S635">
        <f t="shared" si="445"/>
        <v>132.77818395697778</v>
      </c>
      <c r="T635">
        <f t="shared" si="445"/>
        <v>122.14917751967432</v>
      </c>
      <c r="U635">
        <f t="shared" si="445"/>
        <v>147.29434943165714</v>
      </c>
      <c r="V635">
        <f t="shared" si="445"/>
        <v>148.08947618131748</v>
      </c>
      <c r="W635">
        <f t="shared" si="445"/>
        <v>190.63276129356697</v>
      </c>
      <c r="Y635" s="15">
        <f t="shared" ref="Y635" si="446">SUM(D635:W635)</f>
        <v>3214.0333216151898</v>
      </c>
      <c r="Z635">
        <f>SUMPRODUCT($D$636:$S$636,D635:S635)</f>
        <v>555.20778592904639</v>
      </c>
    </row>
    <row r="636" spans="1:26" x14ac:dyDescent="0.25">
      <c r="A636" s="2" t="s">
        <v>64</v>
      </c>
      <c r="D636" s="3">
        <f>CORREL($B$2:$B$21,D611:D630)</f>
        <v>8.5195913315023724E-3</v>
      </c>
      <c r="E636" s="3">
        <f t="shared" ref="E636:W636" si="447">CORREL($B$2:$B$21,E611:E630)</f>
        <v>0.6001660906629549</v>
      </c>
      <c r="F636" s="3">
        <f t="shared" si="447"/>
        <v>0.46460129174018472</v>
      </c>
      <c r="G636" s="3">
        <f t="shared" si="447"/>
        <v>0.30365647758418735</v>
      </c>
      <c r="H636" s="3">
        <f t="shared" si="447"/>
        <v>0.48796003706802671</v>
      </c>
      <c r="I636" s="3">
        <f t="shared" si="447"/>
        <v>0.211778846376765</v>
      </c>
      <c r="J636" s="3">
        <f t="shared" si="447"/>
        <v>-7.7401640067752034E-2</v>
      </c>
      <c r="K636" s="3">
        <f t="shared" si="447"/>
        <v>2.5293680419637792E-2</v>
      </c>
      <c r="L636" s="3">
        <f t="shared" si="447"/>
        <v>7.0168635009151773E-3</v>
      </c>
      <c r="M636" s="3">
        <f t="shared" si="447"/>
        <v>3.2244257709997837E-2</v>
      </c>
      <c r="N636" s="3">
        <f t="shared" si="447"/>
        <v>-2.1606025943045008E-2</v>
      </c>
      <c r="O636" s="3">
        <f t="shared" si="447"/>
        <v>1.749066224394729E-2</v>
      </c>
      <c r="P636" s="3">
        <f t="shared" si="447"/>
        <v>7.3009929110376098E-2</v>
      </c>
      <c r="Q636" s="3">
        <f t="shared" si="447"/>
        <v>0.10049301675877537</v>
      </c>
      <c r="R636" s="3">
        <f t="shared" si="447"/>
        <v>-3.6811202911802447E-2</v>
      </c>
      <c r="S636" s="3">
        <f t="shared" si="447"/>
        <v>0.12938222909024055</v>
      </c>
      <c r="T636" s="3">
        <f t="shared" si="447"/>
        <v>2.3117592257867206E-2</v>
      </c>
      <c r="U636" s="3">
        <f t="shared" si="447"/>
        <v>-3.0266266777942096E-2</v>
      </c>
      <c r="V636" s="3">
        <f t="shared" si="447"/>
        <v>9.1174360664073462E-3</v>
      </c>
      <c r="W636" s="3">
        <f t="shared" si="447"/>
        <v>-7.1402341720635532E-2</v>
      </c>
    </row>
    <row r="639" spans="1:26" x14ac:dyDescent="0.25">
      <c r="D639" t="s">
        <v>243</v>
      </c>
      <c r="E639" t="s">
        <v>244</v>
      </c>
      <c r="F639" t="s">
        <v>245</v>
      </c>
      <c r="G639" t="s">
        <v>246</v>
      </c>
      <c r="H639" t="s">
        <v>247</v>
      </c>
      <c r="I639" t="s">
        <v>248</v>
      </c>
      <c r="J639" t="s">
        <v>249</v>
      </c>
      <c r="K639" t="s">
        <v>250</v>
      </c>
      <c r="L639" t="s">
        <v>355</v>
      </c>
      <c r="M639" t="s">
        <v>427</v>
      </c>
      <c r="N639" t="s">
        <v>428</v>
      </c>
      <c r="O639" t="s">
        <v>429</v>
      </c>
      <c r="P639" t="s">
        <v>534</v>
      </c>
      <c r="Q639" t="s">
        <v>535</v>
      </c>
      <c r="R639" t="s">
        <v>536</v>
      </c>
      <c r="S639" t="s">
        <v>537</v>
      </c>
      <c r="T639" t="s">
        <v>646</v>
      </c>
      <c r="U639" t="s">
        <v>647</v>
      </c>
      <c r="V639" t="s">
        <v>648</v>
      </c>
      <c r="W639" t="s">
        <v>649</v>
      </c>
      <c r="Y639" t="s">
        <v>251</v>
      </c>
      <c r="Z639" t="s">
        <v>252</v>
      </c>
    </row>
    <row r="640" spans="1:26" x14ac:dyDescent="0.25">
      <c r="A640" t="s">
        <v>43</v>
      </c>
      <c r="D640">
        <f t="shared" ref="D640:W640" si="448">D89*D118</f>
        <v>3696</v>
      </c>
      <c r="E640">
        <f t="shared" si="448"/>
        <v>1359.1836734693879</v>
      </c>
      <c r="F640">
        <f t="shared" si="448"/>
        <v>2146.8571428571431</v>
      </c>
      <c r="G640">
        <f t="shared" si="448"/>
        <v>3151.1428571428573</v>
      </c>
      <c r="H640">
        <f t="shared" si="448"/>
        <v>3542.4147924999329</v>
      </c>
      <c r="I640">
        <f t="shared" si="448"/>
        <v>4093.6591426003756</v>
      </c>
      <c r="J640">
        <f t="shared" si="448"/>
        <v>3510.1467806327141</v>
      </c>
      <c r="K640">
        <f t="shared" si="448"/>
        <v>3914.9051799155154</v>
      </c>
      <c r="L640">
        <f t="shared" si="448"/>
        <v>4146.6002285774402</v>
      </c>
      <c r="M640">
        <f t="shared" si="448"/>
        <v>3806.1674032227365</v>
      </c>
      <c r="N640">
        <f t="shared" si="448"/>
        <v>4022.9555429297025</v>
      </c>
      <c r="O640">
        <f t="shared" si="448"/>
        <v>3770.8631140192642</v>
      </c>
      <c r="P640">
        <f t="shared" si="448"/>
        <v>2897.6543811648326</v>
      </c>
      <c r="Q640">
        <f t="shared" si="448"/>
        <v>2258.2804759036571</v>
      </c>
      <c r="R640">
        <f t="shared" si="448"/>
        <v>1794.3079689821514</v>
      </c>
      <c r="S640">
        <f t="shared" si="448"/>
        <v>1194.9069141168811</v>
      </c>
      <c r="T640">
        <f t="shared" si="448"/>
        <v>2263.0882887726448</v>
      </c>
      <c r="U640">
        <f t="shared" si="448"/>
        <v>2706.615570449716</v>
      </c>
      <c r="V640">
        <f t="shared" si="448"/>
        <v>1671.0458689093202</v>
      </c>
      <c r="W640">
        <f t="shared" si="448"/>
        <v>2857.7012021189162</v>
      </c>
      <c r="Y640" s="15">
        <f t="shared" ref="Y640:Y663" si="449">SUM(D640:W640)</f>
        <v>58804.496528285192</v>
      </c>
      <c r="Z640">
        <f t="shared" ref="Z640:Z659" si="450">SUMPRODUCT($D$665:$S$665,D640:S640)</f>
        <v>-8500.8643494594762</v>
      </c>
    </row>
    <row r="641" spans="1:26" x14ac:dyDescent="0.25">
      <c r="A641" t="s">
        <v>44</v>
      </c>
      <c r="D641">
        <f t="shared" ref="D641:W641" si="451">D90*D119</f>
        <v>2532.2448979591836</v>
      </c>
      <c r="E641">
        <f t="shared" si="451"/>
        <v>2483.4285714285716</v>
      </c>
      <c r="F641">
        <f t="shared" si="451"/>
        <v>3152.408163265306</v>
      </c>
      <c r="G641">
        <f t="shared" si="451"/>
        <v>4517.0612244897966</v>
      </c>
      <c r="H641">
        <f t="shared" si="451"/>
        <v>3732.0454201583602</v>
      </c>
      <c r="I641">
        <f t="shared" si="451"/>
        <v>3492.5689783532589</v>
      </c>
      <c r="J641">
        <f t="shared" si="451"/>
        <v>2969.3074346036792</v>
      </c>
      <c r="K641">
        <f t="shared" si="451"/>
        <v>2795.3508156549733</v>
      </c>
      <c r="L641">
        <f t="shared" si="451"/>
        <v>2725.6086325293923</v>
      </c>
      <c r="M641">
        <f t="shared" si="451"/>
        <v>1831.2881699258428</v>
      </c>
      <c r="N641">
        <f t="shared" si="451"/>
        <v>2431.9128822500284</v>
      </c>
      <c r="O641">
        <f t="shared" si="451"/>
        <v>2328.6135897752888</v>
      </c>
      <c r="P641">
        <f t="shared" si="451"/>
        <v>2036.8307598412639</v>
      </c>
      <c r="Q641">
        <f t="shared" si="451"/>
        <v>3181.7483265503938</v>
      </c>
      <c r="R641">
        <f t="shared" si="451"/>
        <v>2488.5554774239422</v>
      </c>
      <c r="S641">
        <f t="shared" si="451"/>
        <v>1138.8146972635213</v>
      </c>
      <c r="T641">
        <f t="shared" si="451"/>
        <v>1466.4034838862342</v>
      </c>
      <c r="U641">
        <f t="shared" si="451"/>
        <v>1298.6685673222958</v>
      </c>
      <c r="V641">
        <f t="shared" si="451"/>
        <v>1709.6591409345435</v>
      </c>
      <c r="W641">
        <f t="shared" si="451"/>
        <v>1102.3770817406437</v>
      </c>
      <c r="Y641" s="15">
        <f t="shared" si="449"/>
        <v>49414.896315356513</v>
      </c>
      <c r="Z641">
        <f t="shared" si="450"/>
        <v>-4928.2321751900572</v>
      </c>
    </row>
    <row r="642" spans="1:26" x14ac:dyDescent="0.25">
      <c r="A642" t="s">
        <v>45</v>
      </c>
      <c r="D642">
        <f t="shared" ref="D642:W642" si="452">D91*D120</f>
        <v>4272.4174196489485</v>
      </c>
      <c r="E642">
        <f t="shared" si="452"/>
        <v>1555.5102040816325</v>
      </c>
      <c r="F642">
        <f t="shared" si="452"/>
        <v>2602.6530612244901</v>
      </c>
      <c r="G642">
        <f t="shared" si="452"/>
        <v>1859.1020408163267</v>
      </c>
      <c r="H642">
        <f t="shared" si="452"/>
        <v>4467.4231308245953</v>
      </c>
      <c r="I642">
        <f t="shared" si="452"/>
        <v>3609.3746867865107</v>
      </c>
      <c r="J642">
        <f t="shared" si="452"/>
        <v>3420.6014945466941</v>
      </c>
      <c r="K642">
        <f t="shared" si="452"/>
        <v>3454.0327670791567</v>
      </c>
      <c r="L642">
        <f t="shared" si="452"/>
        <v>3464.7846828620168</v>
      </c>
      <c r="M642">
        <f t="shared" si="452"/>
        <v>2722.9003121696865</v>
      </c>
      <c r="N642">
        <f t="shared" si="452"/>
        <v>2780.2971103553641</v>
      </c>
      <c r="O642">
        <f t="shared" si="452"/>
        <v>2893.3450278641631</v>
      </c>
      <c r="P642">
        <f t="shared" si="452"/>
        <v>2167.6670858683178</v>
      </c>
      <c r="Q642">
        <f t="shared" si="452"/>
        <v>2143.234652943735</v>
      </c>
      <c r="R642">
        <f t="shared" si="452"/>
        <v>2296.9289876178482</v>
      </c>
      <c r="S642">
        <f t="shared" si="452"/>
        <v>1946.3815409235501</v>
      </c>
      <c r="T642">
        <f t="shared" si="452"/>
        <v>1048.2227070966285</v>
      </c>
      <c r="U642">
        <f t="shared" si="452"/>
        <v>8719.7451133015948</v>
      </c>
      <c r="V642">
        <f t="shared" si="452"/>
        <v>2424.9865671386301</v>
      </c>
      <c r="W642">
        <f t="shared" si="452"/>
        <v>2504.6209311849852</v>
      </c>
      <c r="Y642" s="15">
        <f t="shared" si="449"/>
        <v>60354.229524334864</v>
      </c>
      <c r="Z642">
        <f t="shared" si="450"/>
        <v>-6631.2201977053201</v>
      </c>
    </row>
    <row r="643" spans="1:26" x14ac:dyDescent="0.25">
      <c r="A643" t="s">
        <v>46</v>
      </c>
      <c r="D643">
        <f t="shared" ref="D643:W643" si="453">D92*D121</f>
        <v>4210.2576407748375</v>
      </c>
      <c r="E643">
        <f t="shared" si="453"/>
        <v>2690.0489550925327</v>
      </c>
      <c r="F643">
        <f t="shared" si="453"/>
        <v>2145.6856173403789</v>
      </c>
      <c r="G643">
        <f t="shared" si="453"/>
        <v>1579.4179601979911</v>
      </c>
      <c r="H643">
        <f t="shared" si="453"/>
        <v>2888.0068041972086</v>
      </c>
      <c r="I643">
        <f t="shared" si="453"/>
        <v>2010.8829486008419</v>
      </c>
      <c r="J643">
        <f t="shared" si="453"/>
        <v>4235.6320955623451</v>
      </c>
      <c r="K643">
        <f t="shared" si="453"/>
        <v>3539.2950371134107</v>
      </c>
      <c r="L643">
        <f t="shared" si="453"/>
        <v>5268.083591395507</v>
      </c>
      <c r="M643">
        <f t="shared" si="453"/>
        <v>6198.9783256980008</v>
      </c>
      <c r="N643">
        <f t="shared" si="453"/>
        <v>3937.8211466110401</v>
      </c>
      <c r="O643">
        <f t="shared" si="453"/>
        <v>5787.9671896498157</v>
      </c>
      <c r="P643">
        <f t="shared" si="453"/>
        <v>3469.77793377527</v>
      </c>
      <c r="Q643">
        <f t="shared" si="453"/>
        <v>1884.5703023901879</v>
      </c>
      <c r="R643">
        <f t="shared" si="453"/>
        <v>1564.6525704310807</v>
      </c>
      <c r="S643">
        <f t="shared" si="453"/>
        <v>956.8557047693821</v>
      </c>
      <c r="T643">
        <f t="shared" si="453"/>
        <v>2089.6522792646056</v>
      </c>
      <c r="U643">
        <f t="shared" si="453"/>
        <v>1411.6276929870621</v>
      </c>
      <c r="V643">
        <f t="shared" si="453"/>
        <v>2078.9936869950934</v>
      </c>
      <c r="W643">
        <f t="shared" si="453"/>
        <v>2395.49709330118</v>
      </c>
      <c r="Y643" s="15">
        <f t="shared" si="449"/>
        <v>60343.704576147778</v>
      </c>
      <c r="Z643">
        <f t="shared" si="450"/>
        <v>-10988.141082128324</v>
      </c>
    </row>
    <row r="644" spans="1:26" x14ac:dyDescent="0.25">
      <c r="A644" t="s">
        <v>47</v>
      </c>
      <c r="D644">
        <f t="shared" ref="D644:W644" si="454">D93*D122</f>
        <v>3364.49550807469</v>
      </c>
      <c r="E644">
        <f t="shared" si="454"/>
        <v>2635.1286204468256</v>
      </c>
      <c r="F644">
        <f t="shared" si="454"/>
        <v>2218.1541597854293</v>
      </c>
      <c r="G644">
        <f t="shared" si="454"/>
        <v>2272.9744860628907</v>
      </c>
      <c r="H644">
        <f t="shared" si="454"/>
        <v>2023.4269127957682</v>
      </c>
      <c r="I644">
        <f t="shared" si="454"/>
        <v>2409.992329506686</v>
      </c>
      <c r="J644">
        <f t="shared" si="454"/>
        <v>1620.0730639367539</v>
      </c>
      <c r="K644">
        <f t="shared" si="454"/>
        <v>1496.1459396238076</v>
      </c>
      <c r="L644">
        <f t="shared" si="454"/>
        <v>2587.7054563340012</v>
      </c>
      <c r="M644">
        <f t="shared" si="454"/>
        <v>2451.0841313961741</v>
      </c>
      <c r="N644">
        <f t="shared" si="454"/>
        <v>3129.8363148681824</v>
      </c>
      <c r="O644">
        <f t="shared" si="454"/>
        <v>2829.9909787832485</v>
      </c>
      <c r="P644">
        <f t="shared" si="454"/>
        <v>2544.7461135679687</v>
      </c>
      <c r="Q644">
        <f t="shared" si="454"/>
        <v>2770.8491131024252</v>
      </c>
      <c r="R644">
        <f t="shared" si="454"/>
        <v>1467.0336458019488</v>
      </c>
      <c r="S644">
        <f t="shared" si="454"/>
        <v>2493.84981626336</v>
      </c>
      <c r="T644">
        <f t="shared" si="454"/>
        <v>1868.2853018861917</v>
      </c>
      <c r="U644">
        <f t="shared" si="454"/>
        <v>1646.2890230000517</v>
      </c>
      <c r="V644">
        <f t="shared" si="454"/>
        <v>1620.018886080315</v>
      </c>
      <c r="W644">
        <f t="shared" si="454"/>
        <v>1961.9219124400754</v>
      </c>
      <c r="Y644" s="15">
        <f t="shared" si="449"/>
        <v>45412.001713756799</v>
      </c>
      <c r="Z644">
        <f t="shared" si="450"/>
        <v>-5488.3287108602381</v>
      </c>
    </row>
    <row r="645" spans="1:26" x14ac:dyDescent="0.25">
      <c r="A645" t="s">
        <v>48</v>
      </c>
      <c r="D645">
        <f t="shared" ref="D645:W645" si="455">D94*D123</f>
        <v>2777.3278525693895</v>
      </c>
      <c r="E645">
        <f t="shared" si="455"/>
        <v>2173.6824638254025</v>
      </c>
      <c r="F645">
        <f t="shared" si="455"/>
        <v>2133.0587130032773</v>
      </c>
      <c r="G645">
        <f t="shared" si="455"/>
        <v>2550.214734211464</v>
      </c>
      <c r="H645">
        <f t="shared" si="455"/>
        <v>3850.9793873903154</v>
      </c>
      <c r="I645">
        <f t="shared" si="455"/>
        <v>3398.055004319237</v>
      </c>
      <c r="J645">
        <f t="shared" si="455"/>
        <v>2041.1919907308948</v>
      </c>
      <c r="K645">
        <f t="shared" si="455"/>
        <v>3291.319739447476</v>
      </c>
      <c r="L645">
        <f t="shared" si="455"/>
        <v>2827.1716414007637</v>
      </c>
      <c r="M645">
        <f t="shared" si="455"/>
        <v>1727.515345147817</v>
      </c>
      <c r="N645">
        <f t="shared" si="455"/>
        <v>2000.425597922854</v>
      </c>
      <c r="O645">
        <f t="shared" si="455"/>
        <v>1476.4427658069162</v>
      </c>
      <c r="P645">
        <f t="shared" si="455"/>
        <v>2209.5376555780654</v>
      </c>
      <c r="Q645">
        <f t="shared" si="455"/>
        <v>1618.8246902085123</v>
      </c>
      <c r="R645">
        <f t="shared" si="455"/>
        <v>967.83004613997241</v>
      </c>
      <c r="S645">
        <f t="shared" si="455"/>
        <v>1635.3908593136973</v>
      </c>
      <c r="T645">
        <f t="shared" si="455"/>
        <v>1268.1954749409451</v>
      </c>
      <c r="U645">
        <f t="shared" si="455"/>
        <v>1377.5463171634219</v>
      </c>
      <c r="V645">
        <f t="shared" si="455"/>
        <v>1102.9431750835074</v>
      </c>
      <c r="W645">
        <f t="shared" si="455"/>
        <v>1768.6595846786033</v>
      </c>
      <c r="Y645" s="15">
        <f t="shared" si="449"/>
        <v>42196.313038882516</v>
      </c>
      <c r="Z645">
        <f t="shared" si="450"/>
        <v>-3921.9715036340349</v>
      </c>
    </row>
    <row r="646" spans="1:26" x14ac:dyDescent="0.25">
      <c r="A646" t="s">
        <v>49</v>
      </c>
      <c r="D646">
        <f t="shared" ref="D646:W646" si="456">D95*D124</f>
        <v>4030.8930187445649</v>
      </c>
      <c r="E646">
        <f t="shared" si="456"/>
        <v>2347.2764158469813</v>
      </c>
      <c r="F646">
        <f t="shared" si="456"/>
        <v>3044.6332744614465</v>
      </c>
      <c r="G646">
        <f t="shared" si="456"/>
        <v>3619.4671751633109</v>
      </c>
      <c r="H646">
        <f t="shared" si="456"/>
        <v>2842.3158970858967</v>
      </c>
      <c r="I646">
        <f t="shared" si="456"/>
        <v>3003.6813382713071</v>
      </c>
      <c r="J646">
        <f t="shared" si="456"/>
        <v>2727.3915433913244</v>
      </c>
      <c r="K646">
        <f t="shared" si="456"/>
        <v>4505.232635962182</v>
      </c>
      <c r="L646">
        <f t="shared" si="456"/>
        <v>2788.4246549458089</v>
      </c>
      <c r="M646">
        <f t="shared" si="456"/>
        <v>3343.0707883519863</v>
      </c>
      <c r="N646">
        <f t="shared" si="456"/>
        <v>2381.0096606137486</v>
      </c>
      <c r="O646">
        <f t="shared" si="456"/>
        <v>3068.9116123936637</v>
      </c>
      <c r="P646">
        <f t="shared" si="456"/>
        <v>3220.5936715594316</v>
      </c>
      <c r="Q646">
        <f t="shared" si="456"/>
        <v>2988.804129879989</v>
      </c>
      <c r="R646">
        <f t="shared" si="456"/>
        <v>2789.4322782060403</v>
      </c>
      <c r="S646">
        <f t="shared" si="456"/>
        <v>2915.2920253453353</v>
      </c>
      <c r="T646">
        <f t="shared" si="456"/>
        <v>2726.4824279004265</v>
      </c>
      <c r="U646">
        <f t="shared" si="456"/>
        <v>2326.5858304040371</v>
      </c>
      <c r="V646">
        <f t="shared" si="456"/>
        <v>2848.8373149589647</v>
      </c>
      <c r="W646">
        <f t="shared" si="456"/>
        <v>2224.6042825161753</v>
      </c>
      <c r="Y646" s="15">
        <f t="shared" si="449"/>
        <v>59742.939976002614</v>
      </c>
      <c r="Z646">
        <f t="shared" si="450"/>
        <v>-6510.3142479938733</v>
      </c>
    </row>
    <row r="647" spans="1:26" x14ac:dyDescent="0.25">
      <c r="A647" t="s">
        <v>50</v>
      </c>
      <c r="D647">
        <f t="shared" ref="D647:W647" si="457">D96*D125</f>
        <v>3188.1733473242443</v>
      </c>
      <c r="E647">
        <f t="shared" si="457"/>
        <v>2200.4897959183672</v>
      </c>
      <c r="F647">
        <f t="shared" si="457"/>
        <v>1876.1632653061224</v>
      </c>
      <c r="G647">
        <f t="shared" si="457"/>
        <v>2333.9183673469388</v>
      </c>
      <c r="H647">
        <f t="shared" si="457"/>
        <v>8686.647123747076</v>
      </c>
      <c r="I647">
        <f t="shared" si="457"/>
        <v>1164.7492505149874</v>
      </c>
      <c r="J647">
        <f t="shared" si="457"/>
        <v>2778.4457076458971</v>
      </c>
      <c r="K647">
        <f t="shared" si="457"/>
        <v>2180.2238198024916</v>
      </c>
      <c r="L647">
        <f t="shared" si="457"/>
        <v>1426.7426936435261</v>
      </c>
      <c r="M647">
        <f t="shared" si="457"/>
        <v>915.05831355195119</v>
      </c>
      <c r="N647">
        <f t="shared" si="457"/>
        <v>1432.4671942496327</v>
      </c>
      <c r="O647">
        <f t="shared" si="457"/>
        <v>1165.9513797353472</v>
      </c>
      <c r="P647">
        <f t="shared" si="457"/>
        <v>1222.5482226094884</v>
      </c>
      <c r="Q647">
        <f t="shared" si="457"/>
        <v>1606.597635385617</v>
      </c>
      <c r="R647">
        <f t="shared" si="457"/>
        <v>1518.256695652472</v>
      </c>
      <c r="S647">
        <f t="shared" si="457"/>
        <v>1393.3207462796854</v>
      </c>
      <c r="T647">
        <f t="shared" si="457"/>
        <v>1594.9046202355332</v>
      </c>
      <c r="U647">
        <f t="shared" si="457"/>
        <v>1186.5870028957102</v>
      </c>
      <c r="V647">
        <f t="shared" si="457"/>
        <v>1141.8960643810999</v>
      </c>
      <c r="W647">
        <f t="shared" si="457"/>
        <v>2464.8395262043209</v>
      </c>
      <c r="Y647" s="15">
        <f t="shared" si="449"/>
        <v>41477.980772430506</v>
      </c>
      <c r="Z647">
        <f t="shared" si="450"/>
        <v>-2500.9439832327389</v>
      </c>
    </row>
    <row r="648" spans="1:26" x14ac:dyDescent="0.25">
      <c r="A648" t="s">
        <v>51</v>
      </c>
      <c r="D648">
        <f t="shared" ref="D648:W648" si="458">D97*D126</f>
        <v>1232.013893502726</v>
      </c>
      <c r="E648">
        <f t="shared" si="458"/>
        <v>1502.2246171626559</v>
      </c>
      <c r="F648">
        <f t="shared" si="458"/>
        <v>2342.8518931325043</v>
      </c>
      <c r="G648">
        <f t="shared" si="458"/>
        <v>1300.3961147511968</v>
      </c>
      <c r="H648">
        <f t="shared" si="458"/>
        <v>2918.2176333826797</v>
      </c>
      <c r="I648">
        <f t="shared" si="458"/>
        <v>1925.232509651282</v>
      </c>
      <c r="J648">
        <f t="shared" si="458"/>
        <v>3675.9287766760667</v>
      </c>
      <c r="K648">
        <f t="shared" si="458"/>
        <v>2743.4944386458055</v>
      </c>
      <c r="L648">
        <f t="shared" si="458"/>
        <v>3185.3316121147682</v>
      </c>
      <c r="M648">
        <f t="shared" si="458"/>
        <v>2895.0849577374961</v>
      </c>
      <c r="N648">
        <f t="shared" si="458"/>
        <v>2558.04746046635</v>
      </c>
      <c r="O648">
        <f t="shared" si="458"/>
        <v>2846.1237500268767</v>
      </c>
      <c r="P648">
        <f t="shared" si="458"/>
        <v>1903.462394656776</v>
      </c>
      <c r="Q648">
        <f t="shared" si="458"/>
        <v>1732.7033667853179</v>
      </c>
      <c r="R648">
        <f t="shared" si="458"/>
        <v>2420.591547033664</v>
      </c>
      <c r="S648">
        <f t="shared" si="458"/>
        <v>2087.126335423598</v>
      </c>
      <c r="T648">
        <f t="shared" si="458"/>
        <v>2312.8304946572362</v>
      </c>
      <c r="U648">
        <f t="shared" si="458"/>
        <v>1166.9944430504995</v>
      </c>
      <c r="V648">
        <f t="shared" si="458"/>
        <v>1628.6070201102232</v>
      </c>
      <c r="W648">
        <f t="shared" si="458"/>
        <v>1293.6333307583482</v>
      </c>
      <c r="Y648" s="15">
        <f t="shared" si="449"/>
        <v>43670.896589726079</v>
      </c>
      <c r="Z648">
        <f t="shared" si="450"/>
        <v>-5454.7855781794215</v>
      </c>
    </row>
    <row r="649" spans="1:26" x14ac:dyDescent="0.25">
      <c r="A649" t="s">
        <v>52</v>
      </c>
      <c r="D649">
        <f t="shared" ref="D649:W649" si="459">D98*D127</f>
        <v>2084.1646417847414</v>
      </c>
      <c r="E649">
        <f t="shared" si="459"/>
        <v>1033.6890302747752</v>
      </c>
      <c r="F649">
        <f t="shared" si="459"/>
        <v>1474.8603161919814</v>
      </c>
      <c r="G649">
        <f t="shared" si="459"/>
        <v>1036.7479226393168</v>
      </c>
      <c r="H649">
        <f t="shared" si="459"/>
        <v>3227.5262547787579</v>
      </c>
      <c r="I649">
        <f t="shared" si="459"/>
        <v>3694.0553482824484</v>
      </c>
      <c r="J649">
        <f t="shared" si="459"/>
        <v>2215.907850972937</v>
      </c>
      <c r="K649">
        <f t="shared" si="459"/>
        <v>2734.6234490162801</v>
      </c>
      <c r="L649">
        <f t="shared" si="459"/>
        <v>2979.7938492423768</v>
      </c>
      <c r="M649">
        <f t="shared" si="459"/>
        <v>2722.8972999206057</v>
      </c>
      <c r="N649">
        <f t="shared" si="459"/>
        <v>2801.8681753822343</v>
      </c>
      <c r="O649">
        <f t="shared" si="459"/>
        <v>3148.8710903145243</v>
      </c>
      <c r="P649">
        <f t="shared" si="459"/>
        <v>2652.8540923458099</v>
      </c>
      <c r="Q649">
        <f t="shared" si="459"/>
        <v>2220.4664277892894</v>
      </c>
      <c r="R649">
        <f t="shared" si="459"/>
        <v>2267.5425563676858</v>
      </c>
      <c r="S649">
        <f t="shared" si="459"/>
        <v>1857.7670627308385</v>
      </c>
      <c r="T649">
        <f t="shared" si="459"/>
        <v>1944.9573846879648</v>
      </c>
      <c r="U649">
        <f t="shared" si="459"/>
        <v>1953.9791619617793</v>
      </c>
      <c r="V649">
        <f t="shared" si="459"/>
        <v>1655.9422295888821</v>
      </c>
      <c r="W649">
        <f t="shared" si="459"/>
        <v>821.62548995973611</v>
      </c>
      <c r="Y649" s="15">
        <f t="shared" si="449"/>
        <v>44530.139634232968</v>
      </c>
      <c r="Z649">
        <f t="shared" si="450"/>
        <v>-6106.484789664195</v>
      </c>
    </row>
    <row r="650" spans="1:26" x14ac:dyDescent="0.25">
      <c r="A650" t="s">
        <v>53</v>
      </c>
      <c r="D650">
        <f t="shared" ref="D650:W650" si="460">D99*D128</f>
        <v>1985.9656523825145</v>
      </c>
      <c r="E650">
        <f t="shared" si="460"/>
        <v>2310.1028070737916</v>
      </c>
      <c r="F650">
        <f t="shared" si="460"/>
        <v>1664.7986014386679</v>
      </c>
      <c r="G650">
        <f t="shared" si="460"/>
        <v>889.11412037860089</v>
      </c>
      <c r="H650">
        <f t="shared" si="460"/>
        <v>2913.6926257419545</v>
      </c>
      <c r="I650">
        <f t="shared" si="460"/>
        <v>2381.7036800872315</v>
      </c>
      <c r="J650">
        <f t="shared" si="460"/>
        <v>2209.3099977967277</v>
      </c>
      <c r="K650">
        <f t="shared" si="460"/>
        <v>2964.1358961022866</v>
      </c>
      <c r="L650">
        <f t="shared" si="460"/>
        <v>3340.7253204781932</v>
      </c>
      <c r="M650">
        <f t="shared" si="460"/>
        <v>3079.8220331152042</v>
      </c>
      <c r="N650">
        <f t="shared" si="460"/>
        <v>3626.7472759006705</v>
      </c>
      <c r="O650">
        <f t="shared" si="460"/>
        <v>2488.9812283119777</v>
      </c>
      <c r="P650">
        <f t="shared" si="460"/>
        <v>2754.4867145709827</v>
      </c>
      <c r="Q650">
        <f t="shared" si="460"/>
        <v>2091.5803002243165</v>
      </c>
      <c r="R650">
        <f t="shared" si="460"/>
        <v>2405.7452492260909</v>
      </c>
      <c r="S650">
        <f t="shared" si="460"/>
        <v>1859.8343433648561</v>
      </c>
      <c r="T650">
        <f t="shared" si="460"/>
        <v>1808.1558272938196</v>
      </c>
      <c r="U650">
        <f t="shared" si="460"/>
        <v>1534.4782428448193</v>
      </c>
      <c r="V650">
        <f t="shared" si="460"/>
        <v>2403.9952106700007</v>
      </c>
      <c r="W650">
        <f t="shared" si="460"/>
        <v>586.67392861807264</v>
      </c>
      <c r="Y650" s="15">
        <f t="shared" si="449"/>
        <v>45300.049055620781</v>
      </c>
      <c r="Z650">
        <f t="shared" si="450"/>
        <v>-6198.8674167480394</v>
      </c>
    </row>
    <row r="651" spans="1:26" x14ac:dyDescent="0.25">
      <c r="A651" t="s">
        <v>54</v>
      </c>
      <c r="D651">
        <f t="shared" ref="D651:W651" si="461">D100*D129</f>
        <v>1892.8117650939876</v>
      </c>
      <c r="E651">
        <f t="shared" si="461"/>
        <v>2636.5269425376</v>
      </c>
      <c r="F651">
        <f t="shared" si="461"/>
        <v>2159.5877696721363</v>
      </c>
      <c r="G651">
        <f t="shared" si="461"/>
        <v>2006.8742976887384</v>
      </c>
      <c r="H651">
        <f t="shared" si="461"/>
        <v>1760.0937071887706</v>
      </c>
      <c r="I651">
        <f t="shared" si="461"/>
        <v>2143.051575537927</v>
      </c>
      <c r="J651">
        <f t="shared" si="461"/>
        <v>1096.2116609265827</v>
      </c>
      <c r="K651">
        <f t="shared" si="461"/>
        <v>733.08743295421289</v>
      </c>
      <c r="L651">
        <f t="shared" si="461"/>
        <v>1768.9356909394817</v>
      </c>
      <c r="M651">
        <f t="shared" si="461"/>
        <v>1031.7772195767955</v>
      </c>
      <c r="N651">
        <f t="shared" si="461"/>
        <v>3524.60487060989</v>
      </c>
      <c r="O651">
        <f t="shared" si="461"/>
        <v>3179.0714582767637</v>
      </c>
      <c r="P651">
        <f t="shared" si="461"/>
        <v>2391.75052811061</v>
      </c>
      <c r="Q651">
        <f t="shared" si="461"/>
        <v>2582.0832916774343</v>
      </c>
      <c r="R651">
        <f t="shared" si="461"/>
        <v>1731.4114582718159</v>
      </c>
      <c r="S651">
        <f t="shared" si="461"/>
        <v>1334.0369708483838</v>
      </c>
      <c r="T651">
        <f t="shared" si="461"/>
        <v>652.03985962732304</v>
      </c>
      <c r="U651">
        <f t="shared" si="461"/>
        <v>679.33392309122485</v>
      </c>
      <c r="V651">
        <f t="shared" si="461"/>
        <v>1139.9269132335594</v>
      </c>
      <c r="W651">
        <f t="shared" si="461"/>
        <v>366.58490204270259</v>
      </c>
      <c r="Y651" s="15">
        <f t="shared" si="449"/>
        <v>34809.802237905948</v>
      </c>
      <c r="Z651">
        <f t="shared" si="450"/>
        <v>-4675.7824318568655</v>
      </c>
    </row>
    <row r="652" spans="1:26" x14ac:dyDescent="0.25">
      <c r="A652" t="s">
        <v>55</v>
      </c>
      <c r="D652">
        <f t="shared" ref="D652:W652" si="462">D101*D130</f>
        <v>1425.6525821156158</v>
      </c>
      <c r="E652">
        <f t="shared" si="462"/>
        <v>1568.9250446507419</v>
      </c>
      <c r="F652">
        <f t="shared" si="462"/>
        <v>2125.5382059310832</v>
      </c>
      <c r="G652">
        <f t="shared" si="462"/>
        <v>1417.4748378881657</v>
      </c>
      <c r="H652">
        <f t="shared" si="462"/>
        <v>1056.0724381278392</v>
      </c>
      <c r="I652">
        <f t="shared" si="462"/>
        <v>1397.4764319304911</v>
      </c>
      <c r="J652">
        <f t="shared" si="462"/>
        <v>984.02814345292404</v>
      </c>
      <c r="K652">
        <f t="shared" si="462"/>
        <v>476.3385408051808</v>
      </c>
      <c r="L652">
        <f t="shared" si="462"/>
        <v>1234.6554020494434</v>
      </c>
      <c r="M652">
        <f t="shared" si="462"/>
        <v>2519.0504142275163</v>
      </c>
      <c r="N652">
        <f t="shared" si="462"/>
        <v>3356.956359428038</v>
      </c>
      <c r="O652">
        <f t="shared" si="462"/>
        <v>2613.7899068475595</v>
      </c>
      <c r="P652">
        <f t="shared" si="462"/>
        <v>2697.4590697421281</v>
      </c>
      <c r="Q652">
        <f t="shared" si="462"/>
        <v>2548.0361152426276</v>
      </c>
      <c r="R652">
        <f t="shared" si="462"/>
        <v>1554.4262215428098</v>
      </c>
      <c r="S652">
        <f t="shared" si="462"/>
        <v>1855.2897487013151</v>
      </c>
      <c r="T652">
        <f t="shared" si="462"/>
        <v>207.30782326642654</v>
      </c>
      <c r="U652">
        <f t="shared" si="462"/>
        <v>1212.1561824401565</v>
      </c>
      <c r="V652">
        <f t="shared" si="462"/>
        <v>2008.2156223894997</v>
      </c>
      <c r="W652">
        <f t="shared" si="462"/>
        <v>1747.3659045320749</v>
      </c>
      <c r="Y652" s="15">
        <f t="shared" si="449"/>
        <v>34006.214995311639</v>
      </c>
      <c r="Z652">
        <f t="shared" si="450"/>
        <v>-4961.8437986762528</v>
      </c>
    </row>
    <row r="653" spans="1:26" x14ac:dyDescent="0.25">
      <c r="A653" t="s">
        <v>56</v>
      </c>
      <c r="D653">
        <f t="shared" ref="D653:W653" si="463">D102*D131</f>
        <v>3312.4064175404342</v>
      </c>
      <c r="E653">
        <f t="shared" si="463"/>
        <v>3060.4285714285711</v>
      </c>
      <c r="F653">
        <f t="shared" si="463"/>
        <v>3556.9387755102043</v>
      </c>
      <c r="G653">
        <f t="shared" si="463"/>
        <v>2595.1428571428569</v>
      </c>
      <c r="H653">
        <f t="shared" si="463"/>
        <v>3539.5394153344423</v>
      </c>
      <c r="I653">
        <f t="shared" si="463"/>
        <v>2380.6298621046262</v>
      </c>
      <c r="J653">
        <f t="shared" si="463"/>
        <v>2728.8735630993015</v>
      </c>
      <c r="K653">
        <f t="shared" si="463"/>
        <v>2502.5502662835538</v>
      </c>
      <c r="L653">
        <f t="shared" si="463"/>
        <v>9015.9592315740301</v>
      </c>
      <c r="M653">
        <f t="shared" si="463"/>
        <v>1916.5279388797039</v>
      </c>
      <c r="N653">
        <f t="shared" si="463"/>
        <v>1958.3379427369277</v>
      </c>
      <c r="O653">
        <f t="shared" si="463"/>
        <v>2829.438615798525</v>
      </c>
      <c r="P653">
        <f t="shared" si="463"/>
        <v>2341.876107819307</v>
      </c>
      <c r="Q653">
        <f t="shared" si="463"/>
        <v>1726.6408934042136</v>
      </c>
      <c r="R653">
        <f t="shared" si="463"/>
        <v>2042.2071646529339</v>
      </c>
      <c r="S653">
        <f t="shared" si="463"/>
        <v>2290.456631533867</v>
      </c>
      <c r="T653">
        <f t="shared" si="463"/>
        <v>2364.767144919183</v>
      </c>
      <c r="U653">
        <f t="shared" si="463"/>
        <v>1891.3047111575604</v>
      </c>
      <c r="V653">
        <f t="shared" si="463"/>
        <v>2733.6440300109884</v>
      </c>
      <c r="W653">
        <f t="shared" si="463"/>
        <v>3950.4041301519169</v>
      </c>
      <c r="Y653" s="15">
        <f t="shared" si="449"/>
        <v>58738.074271083155</v>
      </c>
      <c r="Z653">
        <f t="shared" si="450"/>
        <v>-5925.2546308709552</v>
      </c>
    </row>
    <row r="654" spans="1:26" x14ac:dyDescent="0.25">
      <c r="A654" t="s">
        <v>57</v>
      </c>
      <c r="D654">
        <f t="shared" ref="D654:W654" si="464">D103*D132</f>
        <v>2525</v>
      </c>
      <c r="E654">
        <f t="shared" si="464"/>
        <v>3112.7142857142858</v>
      </c>
      <c r="F654">
        <f t="shared" si="464"/>
        <v>4869.3265306122448</v>
      </c>
      <c r="G654">
        <f t="shared" si="464"/>
        <v>2997.0612244897961</v>
      </c>
      <c r="H654">
        <f t="shared" si="464"/>
        <v>2465.9916358861869</v>
      </c>
      <c r="I654">
        <f t="shared" si="464"/>
        <v>2427.6201537558582</v>
      </c>
      <c r="J654">
        <f t="shared" si="464"/>
        <v>2239.2203539437237</v>
      </c>
      <c r="K654">
        <f t="shared" si="464"/>
        <v>2115.9268764119138</v>
      </c>
      <c r="L654">
        <f t="shared" si="464"/>
        <v>3442.8526012140587</v>
      </c>
      <c r="M654">
        <f t="shared" si="464"/>
        <v>2655.3028861246671</v>
      </c>
      <c r="N654">
        <f t="shared" si="464"/>
        <v>2617.0762902103747</v>
      </c>
      <c r="O654">
        <f t="shared" si="464"/>
        <v>2602.3898093508628</v>
      </c>
      <c r="P654">
        <f t="shared" si="464"/>
        <v>2404.3402135378014</v>
      </c>
      <c r="Q654">
        <f t="shared" si="464"/>
        <v>2327.1137551485876</v>
      </c>
      <c r="R654">
        <f t="shared" si="464"/>
        <v>1883.8555196631062</v>
      </c>
      <c r="S654">
        <f t="shared" si="464"/>
        <v>2013.1060664473575</v>
      </c>
      <c r="T654">
        <f t="shared" si="464"/>
        <v>1823.7979621580907</v>
      </c>
      <c r="U654">
        <f t="shared" si="464"/>
        <v>2093.4426490494398</v>
      </c>
      <c r="V654">
        <f t="shared" si="464"/>
        <v>1802.363218644753</v>
      </c>
      <c r="W654">
        <f t="shared" si="464"/>
        <v>1810.2375907304952</v>
      </c>
      <c r="Y654" s="15">
        <f t="shared" si="449"/>
        <v>50228.739623093592</v>
      </c>
      <c r="Z654">
        <f t="shared" si="450"/>
        <v>-4898.8767347179546</v>
      </c>
    </row>
    <row r="655" spans="1:26" x14ac:dyDescent="0.25">
      <c r="A655" t="s">
        <v>58</v>
      </c>
      <c r="D655">
        <f t="shared" ref="D655:W655" si="465">D104*D133</f>
        <v>2590.9795918367345</v>
      </c>
      <c r="E655">
        <f t="shared" si="465"/>
        <v>2735.2653061224491</v>
      </c>
      <c r="F655">
        <f t="shared" si="465"/>
        <v>1941.8367346938776</v>
      </c>
      <c r="G655">
        <f t="shared" si="465"/>
        <v>1560.4897959183675</v>
      </c>
      <c r="H655">
        <f t="shared" si="465"/>
        <v>3173.9885733328647</v>
      </c>
      <c r="I655">
        <f t="shared" si="465"/>
        <v>2736.3217746182236</v>
      </c>
      <c r="J655">
        <f t="shared" si="465"/>
        <v>2716.3307702556831</v>
      </c>
      <c r="K655">
        <f t="shared" si="465"/>
        <v>2801.8502244407082</v>
      </c>
      <c r="L655">
        <f t="shared" si="465"/>
        <v>3002.0590216377714</v>
      </c>
      <c r="M655">
        <f t="shared" si="465"/>
        <v>2932.5013071457051</v>
      </c>
      <c r="N655">
        <f t="shared" si="465"/>
        <v>3027.3985634343926</v>
      </c>
      <c r="O655">
        <f t="shared" si="465"/>
        <v>3185.7044998629508</v>
      </c>
      <c r="P655">
        <f t="shared" si="465"/>
        <v>2007.4407445457057</v>
      </c>
      <c r="Q655">
        <f t="shared" si="465"/>
        <v>2605.0100818120341</v>
      </c>
      <c r="R655">
        <f t="shared" si="465"/>
        <v>2201.4016652263663</v>
      </c>
      <c r="S655">
        <f t="shared" si="465"/>
        <v>2182.5460072278511</v>
      </c>
      <c r="T655">
        <f t="shared" si="465"/>
        <v>2721.5840359421936</v>
      </c>
      <c r="U655">
        <f t="shared" si="465"/>
        <v>2768.1759125604544</v>
      </c>
      <c r="V655">
        <f t="shared" si="465"/>
        <v>2800.6333348612498</v>
      </c>
      <c r="W655">
        <f t="shared" si="465"/>
        <v>2611.4955018046016</v>
      </c>
      <c r="Y655" s="15">
        <f t="shared" si="449"/>
        <v>52303.013447280173</v>
      </c>
      <c r="Z655">
        <f t="shared" si="450"/>
        <v>-5881.1931482692335</v>
      </c>
    </row>
    <row r="656" spans="1:26" x14ac:dyDescent="0.25">
      <c r="A656" t="s">
        <v>59</v>
      </c>
      <c r="D656">
        <f t="shared" ref="D656:W656" si="466">D105*D134</f>
        <v>1923.1053341807649</v>
      </c>
      <c r="E656">
        <f t="shared" si="466"/>
        <v>1784.5433795688989</v>
      </c>
      <c r="F656">
        <f t="shared" si="466"/>
        <v>2612.0561726326087</v>
      </c>
      <c r="G656">
        <f t="shared" si="466"/>
        <v>4181.2076173519245</v>
      </c>
      <c r="H656">
        <f t="shared" si="466"/>
        <v>4326.8039323932871</v>
      </c>
      <c r="I656">
        <f t="shared" si="466"/>
        <v>6195.8998647024782</v>
      </c>
      <c r="J656">
        <f t="shared" si="466"/>
        <v>5049.5476451873146</v>
      </c>
      <c r="K656">
        <f t="shared" si="466"/>
        <v>2613.9905442401077</v>
      </c>
      <c r="L656">
        <f t="shared" si="466"/>
        <v>2863.6710812260098</v>
      </c>
      <c r="M656">
        <f t="shared" si="466"/>
        <v>2817.1968855120435</v>
      </c>
      <c r="N656">
        <f t="shared" si="466"/>
        <v>4393.1859887756555</v>
      </c>
      <c r="O656">
        <f t="shared" si="466"/>
        <v>2748.2153447260844</v>
      </c>
      <c r="P656">
        <f t="shared" si="466"/>
        <v>2709.2781643861013</v>
      </c>
      <c r="Q656">
        <f t="shared" si="466"/>
        <v>1825.3468930013044</v>
      </c>
      <c r="R656">
        <f t="shared" si="466"/>
        <v>2190.8562900576276</v>
      </c>
      <c r="S656">
        <f t="shared" si="466"/>
        <v>1680.315627122151</v>
      </c>
      <c r="T656">
        <f t="shared" si="466"/>
        <v>1343.9807583343656</v>
      </c>
      <c r="U656">
        <f t="shared" si="466"/>
        <v>1211.3182014071742</v>
      </c>
      <c r="V656">
        <f t="shared" si="466"/>
        <v>1202.2449315853551</v>
      </c>
      <c r="W656">
        <f t="shared" si="466"/>
        <v>904.07281703440128</v>
      </c>
      <c r="Y656" s="15">
        <f t="shared" si="449"/>
        <v>54576.837473425658</v>
      </c>
      <c r="Z656">
        <f t="shared" si="450"/>
        <v>-6644.6446785754279</v>
      </c>
    </row>
    <row r="657" spans="1:26" x14ac:dyDescent="0.25">
      <c r="A657" t="s">
        <v>60</v>
      </c>
      <c r="D657">
        <f t="shared" ref="D657:W657" si="467">D106*D135</f>
        <v>1084.2612198028023</v>
      </c>
      <c r="E657">
        <f t="shared" si="467"/>
        <v>2880.9295484083773</v>
      </c>
      <c r="F657">
        <f t="shared" si="467"/>
        <v>6162.9268550269762</v>
      </c>
      <c r="G657">
        <f t="shared" si="467"/>
        <v>2637.0268128781731</v>
      </c>
      <c r="H657">
        <f t="shared" si="467"/>
        <v>2768.6390496166696</v>
      </c>
      <c r="I657">
        <f t="shared" si="467"/>
        <v>2602.4125407892798</v>
      </c>
      <c r="J657">
        <f t="shared" si="467"/>
        <v>3632.2181212210808</v>
      </c>
      <c r="K657">
        <f t="shared" si="467"/>
        <v>4414.6287663664016</v>
      </c>
      <c r="L657">
        <f t="shared" si="467"/>
        <v>2806.1598798781915</v>
      </c>
      <c r="M657">
        <f t="shared" si="467"/>
        <v>3209.2203389261654</v>
      </c>
      <c r="N657">
        <f t="shared" si="467"/>
        <v>2380.970454693967</v>
      </c>
      <c r="O657">
        <f t="shared" si="467"/>
        <v>2887.0018128001361</v>
      </c>
      <c r="P657">
        <f t="shared" si="467"/>
        <v>2467.1530954233122</v>
      </c>
      <c r="Q657">
        <f t="shared" si="467"/>
        <v>2394.07731933795</v>
      </c>
      <c r="R657">
        <f t="shared" si="467"/>
        <v>2826.930496922856</v>
      </c>
      <c r="S657">
        <f t="shared" si="467"/>
        <v>2073.8328218532497</v>
      </c>
      <c r="T657">
        <f t="shared" si="467"/>
        <v>1484.1076927535496</v>
      </c>
      <c r="U657">
        <f t="shared" si="467"/>
        <v>1399.7689067648921</v>
      </c>
      <c r="V657">
        <f t="shared" si="467"/>
        <v>1618.941965100485</v>
      </c>
      <c r="W657">
        <f t="shared" si="467"/>
        <v>1181.2768948989799</v>
      </c>
      <c r="Y657" s="15">
        <f t="shared" si="449"/>
        <v>52912.484593463494</v>
      </c>
      <c r="Z657">
        <f t="shared" si="450"/>
        <v>-5021.709212961302</v>
      </c>
    </row>
    <row r="658" spans="1:26" x14ac:dyDescent="0.25">
      <c r="A658" t="s">
        <v>61</v>
      </c>
      <c r="D658">
        <f t="shared" ref="D658:W658" si="468">D107*D136</f>
        <v>2376.8420369437958</v>
      </c>
      <c r="E658">
        <f t="shared" si="468"/>
        <v>3026.0875470268993</v>
      </c>
      <c r="F658">
        <f t="shared" si="468"/>
        <v>4113.4519468437938</v>
      </c>
      <c r="G658">
        <f t="shared" si="468"/>
        <v>5505.792158113466</v>
      </c>
      <c r="H658">
        <f t="shared" si="468"/>
        <v>5136.3466434890597</v>
      </c>
      <c r="I658">
        <f t="shared" si="468"/>
        <v>3401.609449560101</v>
      </c>
      <c r="J658">
        <f t="shared" si="468"/>
        <v>2873.7014480431567</v>
      </c>
      <c r="K658">
        <f t="shared" si="468"/>
        <v>2517.9224805948843</v>
      </c>
      <c r="L658">
        <f t="shared" si="468"/>
        <v>3275.2301436205894</v>
      </c>
      <c r="M658">
        <f t="shared" si="468"/>
        <v>1802.9551136374025</v>
      </c>
      <c r="N658">
        <f t="shared" si="468"/>
        <v>2749.8167930060467</v>
      </c>
      <c r="O658">
        <f t="shared" si="468"/>
        <v>4673.5720309886856</v>
      </c>
      <c r="P658">
        <f t="shared" si="468"/>
        <v>2822.7328074635661</v>
      </c>
      <c r="Q658">
        <f t="shared" si="468"/>
        <v>2348.8950460240526</v>
      </c>
      <c r="R658">
        <f t="shared" si="468"/>
        <v>2937.2079026322099</v>
      </c>
      <c r="S658">
        <f t="shared" si="468"/>
        <v>2988.2533158440847</v>
      </c>
      <c r="T658">
        <f t="shared" si="468"/>
        <v>1531.6234455171714</v>
      </c>
      <c r="U658">
        <f t="shared" si="468"/>
        <v>1872.9672197647767</v>
      </c>
      <c r="V658">
        <f t="shared" si="468"/>
        <v>1738.5691034590654</v>
      </c>
      <c r="W658">
        <f t="shared" si="468"/>
        <v>1243.3487934270149</v>
      </c>
      <c r="Y658" s="15">
        <f t="shared" si="449"/>
        <v>58936.92542599982</v>
      </c>
      <c r="Z658">
        <f t="shared" si="450"/>
        <v>-5036.3617049219074</v>
      </c>
    </row>
    <row r="659" spans="1:26" x14ac:dyDescent="0.25">
      <c r="A659" t="s">
        <v>62</v>
      </c>
      <c r="D659">
        <f t="shared" ref="D659:W659" si="469">D108*D137</f>
        <v>1802.2354509741442</v>
      </c>
      <c r="E659">
        <f t="shared" si="469"/>
        <v>2079.6946318403702</v>
      </c>
      <c r="F659">
        <f t="shared" si="469"/>
        <v>1862.5189545892299</v>
      </c>
      <c r="G659">
        <f t="shared" si="469"/>
        <v>1961.0386669230609</v>
      </c>
      <c r="H659">
        <f t="shared" si="469"/>
        <v>2742.624436751456</v>
      </c>
      <c r="I659">
        <f t="shared" si="469"/>
        <v>3204.5393585089541</v>
      </c>
      <c r="J659">
        <f t="shared" si="469"/>
        <v>2282.0348086968361</v>
      </c>
      <c r="K659">
        <f t="shared" si="469"/>
        <v>3223.2850934482203</v>
      </c>
      <c r="L659">
        <f t="shared" si="469"/>
        <v>3141.6645883282954</v>
      </c>
      <c r="M659">
        <f t="shared" si="469"/>
        <v>3628.1697604379319</v>
      </c>
      <c r="N659">
        <f t="shared" si="469"/>
        <v>2010.0841424837565</v>
      </c>
      <c r="O659">
        <f t="shared" si="469"/>
        <v>2144.6688412167905</v>
      </c>
      <c r="P659">
        <f t="shared" si="469"/>
        <v>2111.7363350648243</v>
      </c>
      <c r="Q659">
        <f t="shared" si="469"/>
        <v>2313.7922343706955</v>
      </c>
      <c r="R659">
        <f t="shared" si="469"/>
        <v>1407.5891375380475</v>
      </c>
      <c r="S659">
        <f t="shared" si="469"/>
        <v>1938.2209090898966</v>
      </c>
      <c r="T659">
        <f t="shared" si="469"/>
        <v>1601.3965738336719</v>
      </c>
      <c r="U659">
        <f t="shared" si="469"/>
        <v>2543.5560369054324</v>
      </c>
      <c r="V659">
        <f t="shared" si="469"/>
        <v>3041.5620743237532</v>
      </c>
      <c r="W659">
        <f t="shared" si="469"/>
        <v>2308.6617523112368</v>
      </c>
      <c r="Y659" s="15">
        <f t="shared" si="449"/>
        <v>47349.073787636597</v>
      </c>
      <c r="Z659">
        <f t="shared" si="450"/>
        <v>-5056.8165829116169</v>
      </c>
    </row>
    <row r="660" spans="1:26" x14ac:dyDescent="0.25">
      <c r="Y660" s="15"/>
    </row>
    <row r="661" spans="1:26" x14ac:dyDescent="0.25">
      <c r="A661" t="s">
        <v>63</v>
      </c>
      <c r="D661">
        <f t="shared" ref="D661:W661" si="470">D110*D139</f>
        <v>1797.3096643307397</v>
      </c>
      <c r="E661">
        <f t="shared" si="470"/>
        <v>1662.9314695240951</v>
      </c>
      <c r="F661">
        <f t="shared" si="470"/>
        <v>1687.4529568657165</v>
      </c>
      <c r="G661">
        <f t="shared" si="470"/>
        <v>1670.6721237264189</v>
      </c>
      <c r="H661">
        <f t="shared" si="470"/>
        <v>4041.4199671625888</v>
      </c>
      <c r="I661">
        <f t="shared" si="470"/>
        <v>3790.0247042188125</v>
      </c>
      <c r="J661">
        <f t="shared" si="470"/>
        <v>2393.943030105771</v>
      </c>
      <c r="K661">
        <f t="shared" si="470"/>
        <v>2982.3495909986646</v>
      </c>
      <c r="L661">
        <f t="shared" si="470"/>
        <v>2888.8547038238657</v>
      </c>
      <c r="M661">
        <f t="shared" si="470"/>
        <v>2426.0133415945138</v>
      </c>
      <c r="N661">
        <f t="shared" si="470"/>
        <v>2878.1469765786073</v>
      </c>
      <c r="O661">
        <f t="shared" si="470"/>
        <v>2772.7080956667401</v>
      </c>
      <c r="P661">
        <f t="shared" si="470"/>
        <v>2381.336705282677</v>
      </c>
      <c r="Q661">
        <f t="shared" si="470"/>
        <v>2212.6730891143643</v>
      </c>
      <c r="R661">
        <f t="shared" si="470"/>
        <v>2098.5576252174965</v>
      </c>
      <c r="S661">
        <f t="shared" si="470"/>
        <v>1958.3837088910448</v>
      </c>
      <c r="T661">
        <f t="shared" si="470"/>
        <v>1768.8516123863922</v>
      </c>
      <c r="U661">
        <f t="shared" si="470"/>
        <v>1636.5836029092334</v>
      </c>
      <c r="V661">
        <f t="shared" si="470"/>
        <v>1958.0776480621823</v>
      </c>
      <c r="W661">
        <f t="shared" si="470"/>
        <v>1679.8790807650578</v>
      </c>
      <c r="Y661" s="15">
        <f t="shared" si="449"/>
        <v>46686.169697224977</v>
      </c>
      <c r="Z661">
        <f>SUMPRODUCT($D$665:$S$665,D661:S661)</f>
        <v>-5309.9143985480387</v>
      </c>
    </row>
    <row r="662" spans="1:26" x14ac:dyDescent="0.25">
      <c r="A662" t="s">
        <v>307</v>
      </c>
      <c r="D662">
        <f t="shared" ref="D662:W662" si="471">D111*D140</f>
        <v>4250.3877551020405</v>
      </c>
      <c r="E662">
        <f t="shared" si="471"/>
        <v>6233.9</v>
      </c>
      <c r="F662">
        <f t="shared" si="471"/>
        <v>2357.8999999999996</v>
      </c>
      <c r="G662">
        <f t="shared" si="471"/>
        <v>2530.9800000000005</v>
      </c>
      <c r="H662">
        <f t="shared" si="471"/>
        <v>3294.7551020408159</v>
      </c>
      <c r="I662">
        <f t="shared" si="471"/>
        <v>3646.2244897959181</v>
      </c>
      <c r="J662">
        <f t="shared" si="471"/>
        <v>3566.6938775510203</v>
      </c>
      <c r="K662">
        <f t="shared" si="471"/>
        <v>3764.9387755102039</v>
      </c>
      <c r="L662">
        <f t="shared" si="471"/>
        <v>3847.421875</v>
      </c>
      <c r="M662">
        <f t="shared" si="471"/>
        <v>4958.2448979591836</v>
      </c>
      <c r="N662">
        <f t="shared" si="471"/>
        <v>4493.0612244897966</v>
      </c>
      <c r="O662">
        <f t="shared" si="471"/>
        <v>3912</v>
      </c>
      <c r="P662">
        <f t="shared" si="471"/>
        <v>6499</v>
      </c>
      <c r="Q662">
        <f t="shared" si="471"/>
        <v>3906</v>
      </c>
      <c r="R662">
        <f t="shared" si="471"/>
        <v>3688.7999999999997</v>
      </c>
      <c r="S662">
        <f t="shared" si="471"/>
        <v>3663.6</v>
      </c>
      <c r="T662">
        <f t="shared" si="471"/>
        <v>1853.1000000000001</v>
      </c>
      <c r="U662">
        <f t="shared" si="471"/>
        <v>1680.2</v>
      </c>
      <c r="V662">
        <f t="shared" si="471"/>
        <v>1989.61</v>
      </c>
      <c r="W662">
        <f t="shared" si="471"/>
        <v>1639.28</v>
      </c>
      <c r="Y662" s="15">
        <f t="shared" si="449"/>
        <v>71776.097997448975</v>
      </c>
      <c r="Z662">
        <f>SUMPRODUCT($D$665:$S$665,D662:S662)</f>
        <v>-9517.0003720004133</v>
      </c>
    </row>
    <row r="663" spans="1:26" x14ac:dyDescent="0.25">
      <c r="A663" t="s">
        <v>308</v>
      </c>
      <c r="D663">
        <f t="shared" ref="D663:W663" si="472">D112*D141</f>
        <v>2014.2352075057445</v>
      </c>
      <c r="E663">
        <f t="shared" si="472"/>
        <v>4759.3599999999997</v>
      </c>
      <c r="F663">
        <f t="shared" si="472"/>
        <v>2687.8399999999997</v>
      </c>
      <c r="G663">
        <f t="shared" si="472"/>
        <v>2376.9199999999996</v>
      </c>
      <c r="H663">
        <f t="shared" si="472"/>
        <v>3321.2799999999997</v>
      </c>
      <c r="I663">
        <f t="shared" si="472"/>
        <v>2901.7799999999997</v>
      </c>
      <c r="J663">
        <f t="shared" si="472"/>
        <v>2422.1799999999998</v>
      </c>
      <c r="K663">
        <f t="shared" si="472"/>
        <v>3103.7400000000002</v>
      </c>
      <c r="L663">
        <f t="shared" si="472"/>
        <v>3243.6799999999994</v>
      </c>
      <c r="M663">
        <f t="shared" si="472"/>
        <v>4004.07</v>
      </c>
      <c r="N663">
        <f t="shared" si="472"/>
        <v>3526.72</v>
      </c>
      <c r="O663">
        <f t="shared" si="472"/>
        <v>3178.98</v>
      </c>
      <c r="P663">
        <f t="shared" si="472"/>
        <v>2352.7797563796817</v>
      </c>
      <c r="Q663">
        <f t="shared" si="472"/>
        <v>2204.0547122022176</v>
      </c>
      <c r="R663">
        <f t="shared" si="472"/>
        <v>2238.0246005626036</v>
      </c>
      <c r="S663">
        <f t="shared" si="472"/>
        <v>1966.5422840481003</v>
      </c>
      <c r="T663">
        <f t="shared" si="472"/>
        <v>1815.1926446554369</v>
      </c>
      <c r="U663">
        <f t="shared" si="472"/>
        <v>1825.1713278181635</v>
      </c>
      <c r="V663">
        <f t="shared" si="472"/>
        <v>2008.6824780904406</v>
      </c>
      <c r="W663">
        <f t="shared" si="472"/>
        <v>1966.9153434793636</v>
      </c>
      <c r="Y663" s="15">
        <f t="shared" si="449"/>
        <v>53918.148354741752</v>
      </c>
      <c r="Z663">
        <f>SUMPRODUCT($D$665:$S$665,D663:S663)</f>
        <v>-5806.9773347788287</v>
      </c>
    </row>
    <row r="664" spans="1:26" x14ac:dyDescent="0.25">
      <c r="A664" t="s">
        <v>670</v>
      </c>
      <c r="D664">
        <f t="shared" ref="D664:W664" si="473">D113*D142</f>
        <v>2119.3173360607657</v>
      </c>
      <c r="E664">
        <f t="shared" si="473"/>
        <v>2343.1967581398667</v>
      </c>
      <c r="F664">
        <f t="shared" si="473"/>
        <v>2048.2903235509361</v>
      </c>
      <c r="G664">
        <f t="shared" si="473"/>
        <v>2220.4511838366561</v>
      </c>
      <c r="H664">
        <f t="shared" si="473"/>
        <v>2055.5398561748634</v>
      </c>
      <c r="I664">
        <f t="shared" si="473"/>
        <v>1930.5806564222141</v>
      </c>
      <c r="J664">
        <f t="shared" si="473"/>
        <v>1780.6729876985914</v>
      </c>
      <c r="K664">
        <f t="shared" si="473"/>
        <v>1706.4931200965671</v>
      </c>
      <c r="L664">
        <f t="shared" si="473"/>
        <v>1446.1633186461413</v>
      </c>
      <c r="M664">
        <f t="shared" si="473"/>
        <v>2427.8800446198584</v>
      </c>
      <c r="N664">
        <f t="shared" si="473"/>
        <v>2936.8409234712276</v>
      </c>
      <c r="O664">
        <f t="shared" si="473"/>
        <v>2860.5549578286341</v>
      </c>
      <c r="P664">
        <f t="shared" si="473"/>
        <v>2451.5409668482703</v>
      </c>
      <c r="Q664">
        <f t="shared" si="473"/>
        <v>2305.4482622522396</v>
      </c>
      <c r="R664">
        <f t="shared" si="473"/>
        <v>2154.0310485639379</v>
      </c>
      <c r="S664">
        <f t="shared" si="473"/>
        <v>2092.9433198706101</v>
      </c>
      <c r="T664">
        <f t="shared" si="473"/>
        <v>1773.0485268237846</v>
      </c>
      <c r="U664">
        <f t="shared" si="473"/>
        <v>1667.1413735668593</v>
      </c>
      <c r="V664">
        <f t="shared" si="473"/>
        <v>1904.6441823666662</v>
      </c>
      <c r="W664">
        <f t="shared" si="473"/>
        <v>1614.3499276195441</v>
      </c>
      <c r="Y664" s="15">
        <f t="shared" ref="Y664" si="474">SUM(D664:W664)</f>
        <v>41839.129074458237</v>
      </c>
      <c r="Z664">
        <f>SUMPRODUCT($D$665:$S$665,D664:S664)</f>
        <v>-4942.3664435331075</v>
      </c>
    </row>
    <row r="665" spans="1:26" x14ac:dyDescent="0.25">
      <c r="A665" s="2" t="s">
        <v>64</v>
      </c>
      <c r="D665" s="3">
        <f>CORREL($B$2:$B$21,D640:D659)</f>
        <v>-0.38738004672029319</v>
      </c>
      <c r="E665" s="3">
        <f t="shared" ref="E665:W665" si="475">CORREL($B$2:$B$21,E640:E659)</f>
        <v>0.22850013557845936</v>
      </c>
      <c r="F665" s="3">
        <f t="shared" si="475"/>
        <v>0.11164677138477172</v>
      </c>
      <c r="G665" s="3">
        <f t="shared" si="475"/>
        <v>9.4852372719393091E-2</v>
      </c>
      <c r="H665" s="3">
        <f t="shared" si="475"/>
        <v>0.11654725552103494</v>
      </c>
      <c r="I665" s="3">
        <f t="shared" si="475"/>
        <v>2.917744766879499E-3</v>
      </c>
      <c r="J665" s="3">
        <f t="shared" si="475"/>
        <v>-0.27717715074995025</v>
      </c>
      <c r="K665" s="3">
        <f t="shared" si="475"/>
        <v>-4.768238644187571E-2</v>
      </c>
      <c r="L665" s="3">
        <f t="shared" si="475"/>
        <v>-0.2206722637201019</v>
      </c>
      <c r="M665" s="3">
        <f t="shared" si="475"/>
        <v>-0.42589705783534831</v>
      </c>
      <c r="N665" s="3">
        <f t="shared" si="475"/>
        <v>-0.44062882873520293</v>
      </c>
      <c r="O665" s="3">
        <f t="shared" si="475"/>
        <v>-0.37958168882952564</v>
      </c>
      <c r="P665" s="3">
        <f t="shared" si="475"/>
        <v>-0.37643169380971936</v>
      </c>
      <c r="Q665" s="3">
        <f t="shared" si="475"/>
        <v>-0.20388155531491417</v>
      </c>
      <c r="R665" s="3">
        <f t="shared" si="475"/>
        <v>-0.17267303139248108</v>
      </c>
      <c r="S665" s="3">
        <f t="shared" si="475"/>
        <v>0.34949362538442591</v>
      </c>
      <c r="T665" s="3">
        <f t="shared" si="475"/>
        <v>-0.20350995974004196</v>
      </c>
      <c r="U665" s="3">
        <f t="shared" si="475"/>
        <v>-0.10733650484118393</v>
      </c>
      <c r="V665" s="3">
        <f t="shared" si="475"/>
        <v>-0.12210033561182032</v>
      </c>
      <c r="W665" s="3">
        <f t="shared" si="475"/>
        <v>-0.1299838573574815</v>
      </c>
    </row>
    <row r="668" spans="1:26" x14ac:dyDescent="0.25">
      <c r="D668" t="s">
        <v>253</v>
      </c>
      <c r="E668" t="s">
        <v>254</v>
      </c>
      <c r="F668" t="s">
        <v>255</v>
      </c>
      <c r="G668" t="s">
        <v>256</v>
      </c>
      <c r="H668" t="s">
        <v>257</v>
      </c>
      <c r="I668" t="s">
        <v>258</v>
      </c>
      <c r="J668" t="s">
        <v>259</v>
      </c>
      <c r="K668" t="s">
        <v>260</v>
      </c>
      <c r="L668" t="s">
        <v>356</v>
      </c>
      <c r="M668" t="s">
        <v>430</v>
      </c>
      <c r="N668" t="s">
        <v>431</v>
      </c>
      <c r="O668" t="s">
        <v>432</v>
      </c>
      <c r="P668" t="s">
        <v>538</v>
      </c>
      <c r="Q668" t="s">
        <v>539</v>
      </c>
      <c r="R668" t="s">
        <v>540</v>
      </c>
      <c r="S668" t="s">
        <v>541</v>
      </c>
      <c r="T668" t="s">
        <v>650</v>
      </c>
      <c r="U668" t="s">
        <v>651</v>
      </c>
      <c r="V668" t="s">
        <v>652</v>
      </c>
      <c r="W668" t="s">
        <v>653</v>
      </c>
      <c r="Y668" t="s">
        <v>261</v>
      </c>
      <c r="Z668" t="s">
        <v>262</v>
      </c>
    </row>
    <row r="669" spans="1:26" x14ac:dyDescent="0.25">
      <c r="A669" t="s">
        <v>43</v>
      </c>
      <c r="D669">
        <f t="shared" ref="D669:W669" si="476">D89*D147</f>
        <v>1025.9928131751071</v>
      </c>
      <c r="E669">
        <f t="shared" si="476"/>
        <v>643.77551020408168</v>
      </c>
      <c r="F669">
        <f t="shared" si="476"/>
        <v>755.77142857142849</v>
      </c>
      <c r="G669">
        <f t="shared" si="476"/>
        <v>1053.1142857142859</v>
      </c>
      <c r="H669">
        <f t="shared" si="476"/>
        <v>788.51893403622955</v>
      </c>
      <c r="I669">
        <f t="shared" si="476"/>
        <v>1005.4340804120391</v>
      </c>
      <c r="J669">
        <f t="shared" si="476"/>
        <v>746.05394132402728</v>
      </c>
      <c r="K669">
        <f t="shared" si="476"/>
        <v>835.22209836529601</v>
      </c>
      <c r="L669">
        <f t="shared" si="476"/>
        <v>931.06849951744164</v>
      </c>
      <c r="M669">
        <f t="shared" si="476"/>
        <v>1010.3392148532167</v>
      </c>
      <c r="N669">
        <f t="shared" si="476"/>
        <v>961.78751835291132</v>
      </c>
      <c r="O669">
        <f t="shared" si="476"/>
        <v>794.22737615313326</v>
      </c>
      <c r="P669">
        <f t="shared" si="476"/>
        <v>692.89326265944248</v>
      </c>
      <c r="Q669">
        <f t="shared" si="476"/>
        <v>538.15955487479062</v>
      </c>
      <c r="R669">
        <f t="shared" si="476"/>
        <v>552.93073782670717</v>
      </c>
      <c r="S669">
        <f t="shared" si="476"/>
        <v>727.27306464195624</v>
      </c>
      <c r="T669">
        <f t="shared" si="476"/>
        <v>631.14527208941263</v>
      </c>
      <c r="U669">
        <f t="shared" si="476"/>
        <v>961.29823222109428</v>
      </c>
      <c r="V669">
        <f t="shared" si="476"/>
        <v>1041.1650926590576</v>
      </c>
      <c r="W669">
        <f t="shared" si="476"/>
        <v>1227.3219135449158</v>
      </c>
      <c r="Y669" s="15">
        <f t="shared" ref="Y669:Y692" si="477">SUM(D669:W669)</f>
        <v>16923.492831196574</v>
      </c>
      <c r="Z669">
        <f t="shared" ref="Z669:Z688" si="478">SUMPRODUCT($D$694:$S$694,D669:S669)</f>
        <v>-1188.0107464103812</v>
      </c>
    </row>
    <row r="670" spans="1:26" x14ac:dyDescent="0.25">
      <c r="A670" t="s">
        <v>44</v>
      </c>
      <c r="D670">
        <f t="shared" ref="D670:W670" si="479">D90*D148</f>
        <v>1162.5306122448978</v>
      </c>
      <c r="E670">
        <f t="shared" si="479"/>
        <v>1136.2857142857142</v>
      </c>
      <c r="F670">
        <f t="shared" si="479"/>
        <v>1104.4224489795918</v>
      </c>
      <c r="G670">
        <f t="shared" si="479"/>
        <v>1207.330612244898</v>
      </c>
      <c r="H670">
        <f t="shared" si="479"/>
        <v>3583.1368562909979</v>
      </c>
      <c r="I670">
        <f t="shared" si="479"/>
        <v>3152.0288528067053</v>
      </c>
      <c r="J670">
        <f t="shared" si="479"/>
        <v>2672.731758022433</v>
      </c>
      <c r="K670">
        <f t="shared" si="479"/>
        <v>2553.8340266879682</v>
      </c>
      <c r="L670">
        <f t="shared" si="479"/>
        <v>3167.7238230366343</v>
      </c>
      <c r="M670">
        <f t="shared" si="479"/>
        <v>769.98579187078542</v>
      </c>
      <c r="N670">
        <f t="shared" si="479"/>
        <v>834.68902675519814</v>
      </c>
      <c r="O670">
        <f t="shared" si="479"/>
        <v>654.65688924867868</v>
      </c>
      <c r="P670">
        <f t="shared" si="479"/>
        <v>825.38378612935799</v>
      </c>
      <c r="Q670">
        <f t="shared" si="479"/>
        <v>607.28234680575054</v>
      </c>
      <c r="R670">
        <f t="shared" si="479"/>
        <v>649.19349081986411</v>
      </c>
      <c r="S670">
        <f t="shared" si="479"/>
        <v>522.06708712754835</v>
      </c>
      <c r="T670">
        <f t="shared" si="479"/>
        <v>646.87382010763554</v>
      </c>
      <c r="U670">
        <f t="shared" si="479"/>
        <v>386.71636814751429</v>
      </c>
      <c r="V670">
        <f t="shared" si="479"/>
        <v>713.64747775208309</v>
      </c>
      <c r="W670">
        <f t="shared" si="479"/>
        <v>928.17656910162543</v>
      </c>
      <c r="Y670" s="15">
        <f t="shared" si="477"/>
        <v>27278.697358465877</v>
      </c>
      <c r="Z670">
        <f t="shared" si="478"/>
        <v>-2348.544180698093</v>
      </c>
    </row>
    <row r="671" spans="1:26" x14ac:dyDescent="0.25">
      <c r="A671" t="s">
        <v>45</v>
      </c>
      <c r="D671">
        <f t="shared" ref="D671:W671" si="480">D91*D149</f>
        <v>1768.7694856645321</v>
      </c>
      <c r="E671">
        <f t="shared" si="480"/>
        <v>622.20408163265301</v>
      </c>
      <c r="F671">
        <f t="shared" si="480"/>
        <v>1012.1428571428572</v>
      </c>
      <c r="G671">
        <f t="shared" si="480"/>
        <v>625.15918367346944</v>
      </c>
      <c r="H671">
        <f t="shared" si="480"/>
        <v>987.21931009262346</v>
      </c>
      <c r="I671">
        <f t="shared" si="480"/>
        <v>811.12987475856244</v>
      </c>
      <c r="J671">
        <f t="shared" si="480"/>
        <v>535.92534247751814</v>
      </c>
      <c r="K671">
        <f t="shared" si="480"/>
        <v>773.19888409495638</v>
      </c>
      <c r="L671">
        <f t="shared" si="480"/>
        <v>593.16528151421517</v>
      </c>
      <c r="M671">
        <f t="shared" si="480"/>
        <v>298.52825509817433</v>
      </c>
      <c r="N671">
        <f t="shared" si="480"/>
        <v>311.24938160900678</v>
      </c>
      <c r="O671">
        <f t="shared" si="480"/>
        <v>298.78125497564724</v>
      </c>
      <c r="P671">
        <f t="shared" si="480"/>
        <v>295.24022263130547</v>
      </c>
      <c r="Q671">
        <f t="shared" si="480"/>
        <v>291.51074205181129</v>
      </c>
      <c r="R671">
        <f t="shared" si="480"/>
        <v>306.78789461774221</v>
      </c>
      <c r="S671">
        <f t="shared" si="480"/>
        <v>285.23715569198623</v>
      </c>
      <c r="T671">
        <f t="shared" si="480"/>
        <v>281.39791156367642</v>
      </c>
      <c r="U671">
        <f t="shared" si="480"/>
        <v>538.24119160129999</v>
      </c>
      <c r="V671">
        <f t="shared" si="480"/>
        <v>835.72419000466255</v>
      </c>
      <c r="W671">
        <f t="shared" si="480"/>
        <v>1106.8936332310147</v>
      </c>
      <c r="Y671" s="15">
        <f t="shared" si="477"/>
        <v>12578.506134127716</v>
      </c>
      <c r="Z671">
        <f t="shared" si="478"/>
        <v>-567.55236438925613</v>
      </c>
    </row>
    <row r="672" spans="1:26" x14ac:dyDescent="0.25">
      <c r="A672" t="s">
        <v>46</v>
      </c>
      <c r="D672">
        <f t="shared" ref="D672:W672" si="481">D92*D150</f>
        <v>1275.7635204518833</v>
      </c>
      <c r="E672">
        <f t="shared" si="481"/>
        <v>883.88429770101243</v>
      </c>
      <c r="F672">
        <f t="shared" si="481"/>
        <v>803.24701094608815</v>
      </c>
      <c r="G672">
        <f t="shared" si="481"/>
        <v>908.96553913350522</v>
      </c>
      <c r="H672">
        <f t="shared" si="481"/>
        <v>878.07461078198583</v>
      </c>
      <c r="I672">
        <f t="shared" si="481"/>
        <v>983.0812377739403</v>
      </c>
      <c r="J672">
        <f t="shared" si="481"/>
        <v>907.52108648528053</v>
      </c>
      <c r="K672">
        <f t="shared" si="481"/>
        <v>916.6097304653515</v>
      </c>
      <c r="L672">
        <f t="shared" si="481"/>
        <v>761.43235050038322</v>
      </c>
      <c r="M672">
        <f t="shared" si="481"/>
        <v>1193.804640290547</v>
      </c>
      <c r="N672">
        <f t="shared" si="481"/>
        <v>928.26311573310579</v>
      </c>
      <c r="O672">
        <f t="shared" si="481"/>
        <v>1376.1267913231311</v>
      </c>
      <c r="P672">
        <f t="shared" si="481"/>
        <v>1493.3602003575713</v>
      </c>
      <c r="Q672">
        <f t="shared" si="481"/>
        <v>1759.0055768683067</v>
      </c>
      <c r="R672">
        <f t="shared" si="481"/>
        <v>678.43459432377483</v>
      </c>
      <c r="S672">
        <f t="shared" si="481"/>
        <v>798.28698184771099</v>
      </c>
      <c r="T672">
        <f t="shared" si="481"/>
        <v>1281.8449005353189</v>
      </c>
      <c r="U672">
        <f t="shared" si="481"/>
        <v>635.26448353590899</v>
      </c>
      <c r="V672">
        <f t="shared" si="481"/>
        <v>1069.9523548439195</v>
      </c>
      <c r="W672">
        <f t="shared" si="481"/>
        <v>1073.484553372655</v>
      </c>
      <c r="Y672" s="15">
        <f t="shared" si="477"/>
        <v>20606.40757727138</v>
      </c>
      <c r="Z672">
        <f t="shared" si="478"/>
        <v>-1970.9787210035581</v>
      </c>
    </row>
    <row r="673" spans="1:26" x14ac:dyDescent="0.25">
      <c r="A673" t="s">
        <v>47</v>
      </c>
      <c r="D673">
        <f t="shared" ref="D673:W673" si="482">D93*D151</f>
        <v>1508.6313425387373</v>
      </c>
      <c r="E673">
        <f t="shared" si="482"/>
        <v>1352.6120843852918</v>
      </c>
      <c r="F673">
        <f t="shared" si="482"/>
        <v>1038.8124872762178</v>
      </c>
      <c r="G673">
        <f t="shared" si="482"/>
        <v>1041.6765188735283</v>
      </c>
      <c r="H673">
        <f t="shared" si="482"/>
        <v>1021.9576996027761</v>
      </c>
      <c r="I673">
        <f t="shared" si="482"/>
        <v>904.78172484671688</v>
      </c>
      <c r="J673">
        <f t="shared" si="482"/>
        <v>661.07429650724828</v>
      </c>
      <c r="K673">
        <f t="shared" si="482"/>
        <v>1081.1613992045311</v>
      </c>
      <c r="L673">
        <f t="shared" si="482"/>
        <v>1060.2343624696534</v>
      </c>
      <c r="M673">
        <f t="shared" si="482"/>
        <v>678.66567309702964</v>
      </c>
      <c r="N673">
        <f t="shared" si="482"/>
        <v>802.47449427654055</v>
      </c>
      <c r="O673">
        <f t="shared" si="482"/>
        <v>839.95354789474254</v>
      </c>
      <c r="P673">
        <f t="shared" si="482"/>
        <v>809.63606514996275</v>
      </c>
      <c r="Q673">
        <f t="shared" si="482"/>
        <v>769.25433707366039</v>
      </c>
      <c r="R673">
        <f t="shared" si="482"/>
        <v>552.94330113967965</v>
      </c>
      <c r="S673">
        <f t="shared" si="482"/>
        <v>912.08415787395506</v>
      </c>
      <c r="T673">
        <f t="shared" si="482"/>
        <v>487.47076161863811</v>
      </c>
      <c r="U673">
        <f t="shared" si="482"/>
        <v>771.54499169232656</v>
      </c>
      <c r="V673">
        <f t="shared" si="482"/>
        <v>741.0670058050008</v>
      </c>
      <c r="W673">
        <f t="shared" si="482"/>
        <v>916.32798442482192</v>
      </c>
      <c r="Y673" s="15">
        <f t="shared" si="477"/>
        <v>17952.364235751058</v>
      </c>
      <c r="Z673">
        <f t="shared" si="478"/>
        <v>-936.10794745294061</v>
      </c>
    </row>
    <row r="674" spans="1:26" x14ac:dyDescent="0.25">
      <c r="A674" t="s">
        <v>48</v>
      </c>
      <c r="D674">
        <f t="shared" ref="D674:W674" si="483">D94*D152</f>
        <v>1345.2592811518437</v>
      </c>
      <c r="E674">
        <f t="shared" si="483"/>
        <v>1158.056028169769</v>
      </c>
      <c r="F674">
        <f t="shared" si="483"/>
        <v>1146.1596645210068</v>
      </c>
      <c r="G674">
        <f t="shared" si="483"/>
        <v>1139.3050810225511</v>
      </c>
      <c r="H674">
        <f t="shared" si="483"/>
        <v>1201.0673410844583</v>
      </c>
      <c r="I674">
        <f t="shared" si="483"/>
        <v>1134.278006788245</v>
      </c>
      <c r="J674">
        <f t="shared" si="483"/>
        <v>861.60013591181746</v>
      </c>
      <c r="K674">
        <f t="shared" si="483"/>
        <v>994.88251695603742</v>
      </c>
      <c r="L674">
        <f t="shared" si="483"/>
        <v>828.34530551528348</v>
      </c>
      <c r="M674">
        <f t="shared" si="483"/>
        <v>823.64971799454304</v>
      </c>
      <c r="N674">
        <f t="shared" si="483"/>
        <v>950.49237303524171</v>
      </c>
      <c r="O674">
        <f t="shared" si="483"/>
        <v>375.68780186257885</v>
      </c>
      <c r="P674">
        <f t="shared" si="483"/>
        <v>723.42343603813435</v>
      </c>
      <c r="Q674">
        <f t="shared" si="483"/>
        <v>815.46373990464235</v>
      </c>
      <c r="R674">
        <f t="shared" si="483"/>
        <v>450.20886616621772</v>
      </c>
      <c r="S674">
        <f t="shared" si="483"/>
        <v>880.48679435642055</v>
      </c>
      <c r="T674">
        <f t="shared" si="483"/>
        <v>439.19991614193577</v>
      </c>
      <c r="U674">
        <f t="shared" si="483"/>
        <v>570.77401224662287</v>
      </c>
      <c r="V674">
        <f t="shared" si="483"/>
        <v>604.60097047313366</v>
      </c>
      <c r="W674">
        <f t="shared" si="483"/>
        <v>917.7274855040497</v>
      </c>
      <c r="Y674" s="15">
        <f t="shared" si="477"/>
        <v>17360.668474844533</v>
      </c>
      <c r="Z674">
        <f t="shared" si="478"/>
        <v>-755.70462472816928</v>
      </c>
    </row>
    <row r="675" spans="1:26" x14ac:dyDescent="0.25">
      <c r="A675" t="s">
        <v>49</v>
      </c>
      <c r="D675">
        <f t="shared" ref="D675:W675" si="484">D95*D153</f>
        <v>1643.5194379143966</v>
      </c>
      <c r="E675">
        <f t="shared" si="484"/>
        <v>1177.2647799581357</v>
      </c>
      <c r="F675">
        <f t="shared" si="484"/>
        <v>1166.0908732415214</v>
      </c>
      <c r="G675">
        <f t="shared" si="484"/>
        <v>951.76034396094076</v>
      </c>
      <c r="H675">
        <f t="shared" si="484"/>
        <v>967.90821896957573</v>
      </c>
      <c r="I675">
        <f t="shared" si="484"/>
        <v>784.82262870495708</v>
      </c>
      <c r="J675">
        <f t="shared" si="484"/>
        <v>711.13308924054922</v>
      </c>
      <c r="K675">
        <f t="shared" si="484"/>
        <v>927.83501871451813</v>
      </c>
      <c r="L675">
        <f t="shared" si="484"/>
        <v>512.82791525134576</v>
      </c>
      <c r="M675">
        <f t="shared" si="484"/>
        <v>829.49018209916403</v>
      </c>
      <c r="N675">
        <f t="shared" si="484"/>
        <v>695.31963481163621</v>
      </c>
      <c r="O675">
        <f t="shared" si="484"/>
        <v>927.04784685354889</v>
      </c>
      <c r="P675">
        <f t="shared" si="484"/>
        <v>738.85754583664084</v>
      </c>
      <c r="Q675">
        <f t="shared" si="484"/>
        <v>574.49366618090562</v>
      </c>
      <c r="R675">
        <f t="shared" si="484"/>
        <v>958.62030470862169</v>
      </c>
      <c r="S675">
        <f t="shared" si="484"/>
        <v>983.93156676425019</v>
      </c>
      <c r="T675">
        <f t="shared" si="484"/>
        <v>902.18965104345966</v>
      </c>
      <c r="U675">
        <f t="shared" si="484"/>
        <v>1021.5036795421507</v>
      </c>
      <c r="V675">
        <f t="shared" si="484"/>
        <v>979.49888874311807</v>
      </c>
      <c r="W675">
        <f t="shared" si="484"/>
        <v>917.7873633496207</v>
      </c>
      <c r="Y675" s="15">
        <f t="shared" si="477"/>
        <v>18371.902635889055</v>
      </c>
      <c r="Z675">
        <f t="shared" si="478"/>
        <v>-888.08097664917705</v>
      </c>
    </row>
    <row r="676" spans="1:26" x14ac:dyDescent="0.25">
      <c r="A676" t="s">
        <v>50</v>
      </c>
      <c r="D676">
        <f t="shared" ref="D676:W676" si="485">D96*D154</f>
        <v>1162.7069749490049</v>
      </c>
      <c r="E676">
        <f t="shared" si="485"/>
        <v>1112.204081632653</v>
      </c>
      <c r="F676">
        <f t="shared" si="485"/>
        <v>943.83673469387747</v>
      </c>
      <c r="G676">
        <f t="shared" si="485"/>
        <v>848.39591836734678</v>
      </c>
      <c r="H676">
        <f t="shared" si="485"/>
        <v>516.53127402621112</v>
      </c>
      <c r="I676">
        <f t="shared" si="485"/>
        <v>804.74920842307085</v>
      </c>
      <c r="J676">
        <f t="shared" si="485"/>
        <v>642.37493143234337</v>
      </c>
      <c r="K676">
        <f t="shared" si="485"/>
        <v>475.16609658398136</v>
      </c>
      <c r="L676">
        <f t="shared" si="485"/>
        <v>665.5711339986168</v>
      </c>
      <c r="M676">
        <f t="shared" si="485"/>
        <v>332.04582382949769</v>
      </c>
      <c r="N676">
        <f t="shared" si="485"/>
        <v>691.47282710878687</v>
      </c>
      <c r="O676">
        <f t="shared" si="485"/>
        <v>521.18103203000169</v>
      </c>
      <c r="P676">
        <f t="shared" si="485"/>
        <v>502.2435594659637</v>
      </c>
      <c r="Q676">
        <f t="shared" si="485"/>
        <v>752.23386976777283</v>
      </c>
      <c r="R676">
        <f t="shared" si="485"/>
        <v>819.10487336825156</v>
      </c>
      <c r="S676">
        <f t="shared" si="485"/>
        <v>493.11683088740682</v>
      </c>
      <c r="T676">
        <f t="shared" si="485"/>
        <v>425.36948197172546</v>
      </c>
      <c r="U676">
        <f t="shared" si="485"/>
        <v>364.53093886024089</v>
      </c>
      <c r="V676">
        <f t="shared" si="485"/>
        <v>1001.8792118240044</v>
      </c>
      <c r="W676">
        <f t="shared" si="485"/>
        <v>1333.0438719552556</v>
      </c>
      <c r="Y676" s="15">
        <f t="shared" si="477"/>
        <v>14407.758675176014</v>
      </c>
      <c r="Z676">
        <f t="shared" si="478"/>
        <v>-530.88534328536582</v>
      </c>
    </row>
    <row r="677" spans="1:26" x14ac:dyDescent="0.25">
      <c r="A677" t="s">
        <v>51</v>
      </c>
      <c r="D677">
        <f t="shared" ref="D677:W677" si="486">D97*D155</f>
        <v>972.10239378730546</v>
      </c>
      <c r="E677">
        <f t="shared" si="486"/>
        <v>1035.0085493409922</v>
      </c>
      <c r="F677">
        <f t="shared" si="486"/>
        <v>1503.1166546947113</v>
      </c>
      <c r="G677">
        <f t="shared" si="486"/>
        <v>931.08329706224208</v>
      </c>
      <c r="H677">
        <f t="shared" si="486"/>
        <v>714.83036216482196</v>
      </c>
      <c r="I677">
        <f t="shared" si="486"/>
        <v>380.05808807214078</v>
      </c>
      <c r="J677">
        <f t="shared" si="486"/>
        <v>855.68982011978585</v>
      </c>
      <c r="K677">
        <f t="shared" si="486"/>
        <v>688.37477345706259</v>
      </c>
      <c r="L677">
        <f t="shared" si="486"/>
        <v>619.70213578831476</v>
      </c>
      <c r="M677">
        <f t="shared" si="486"/>
        <v>647.46391439877198</v>
      </c>
      <c r="N677">
        <f t="shared" si="486"/>
        <v>477.63613409080995</v>
      </c>
      <c r="O677">
        <f t="shared" si="486"/>
        <v>612.94891428113613</v>
      </c>
      <c r="P677">
        <f t="shared" si="486"/>
        <v>392.66092844448053</v>
      </c>
      <c r="Q677">
        <f t="shared" si="486"/>
        <v>395.02244250714455</v>
      </c>
      <c r="R677">
        <f t="shared" si="486"/>
        <v>525.49533151975595</v>
      </c>
      <c r="S677">
        <f t="shared" si="486"/>
        <v>544.87196842081005</v>
      </c>
      <c r="T677">
        <f t="shared" si="486"/>
        <v>1003.9903233598934</v>
      </c>
      <c r="U677">
        <f t="shared" si="486"/>
        <v>316.73765139742528</v>
      </c>
      <c r="V677">
        <f t="shared" si="486"/>
        <v>579.98646126750725</v>
      </c>
      <c r="W677">
        <f t="shared" si="486"/>
        <v>856.27627322832166</v>
      </c>
      <c r="Y677" s="15">
        <f t="shared" si="477"/>
        <v>14053.056417403432</v>
      </c>
      <c r="Z677">
        <f t="shared" si="478"/>
        <v>-261.41195742332422</v>
      </c>
    </row>
    <row r="678" spans="1:26" x14ac:dyDescent="0.25">
      <c r="A678" t="s">
        <v>52</v>
      </c>
      <c r="D678">
        <f t="shared" ref="D678:W678" si="487">D98*D156</f>
        <v>1331.494994095747</v>
      </c>
      <c r="E678">
        <f t="shared" si="487"/>
        <v>687.58809186267899</v>
      </c>
      <c r="F678">
        <f t="shared" si="487"/>
        <v>1014.4720093207001</v>
      </c>
      <c r="G678">
        <f t="shared" si="487"/>
        <v>881.28621461659202</v>
      </c>
      <c r="H678">
        <f t="shared" si="487"/>
        <v>741.93685600958315</v>
      </c>
      <c r="I678">
        <f t="shared" si="487"/>
        <v>1134.5339941854122</v>
      </c>
      <c r="J678">
        <f t="shared" si="487"/>
        <v>553.26236976602377</v>
      </c>
      <c r="K678">
        <f t="shared" si="487"/>
        <v>713.23459750554207</v>
      </c>
      <c r="L678">
        <f t="shared" si="487"/>
        <v>580.65670263056768</v>
      </c>
      <c r="M678">
        <f t="shared" si="487"/>
        <v>665.2328438232912</v>
      </c>
      <c r="N678">
        <f t="shared" si="487"/>
        <v>745.28786744615547</v>
      </c>
      <c r="O678">
        <f t="shared" si="487"/>
        <v>743.85308957806387</v>
      </c>
      <c r="P678">
        <f t="shared" si="487"/>
        <v>762.90284047451701</v>
      </c>
      <c r="Q678">
        <f t="shared" si="487"/>
        <v>542.67389709070028</v>
      </c>
      <c r="R678">
        <f t="shared" si="487"/>
        <v>554.53067778968534</v>
      </c>
      <c r="S678">
        <f t="shared" si="487"/>
        <v>587.8677711648844</v>
      </c>
      <c r="T678">
        <f t="shared" si="487"/>
        <v>791.8210633291427</v>
      </c>
      <c r="U678">
        <f t="shared" si="487"/>
        <v>788.79661621217542</v>
      </c>
      <c r="V678">
        <f t="shared" si="487"/>
        <v>699.93325655092428</v>
      </c>
      <c r="W678">
        <f t="shared" si="487"/>
        <v>691.38398748957445</v>
      </c>
      <c r="Y678" s="15">
        <f t="shared" si="477"/>
        <v>15212.749740941965</v>
      </c>
      <c r="Z678">
        <f t="shared" si="478"/>
        <v>-986.25732421785256</v>
      </c>
    </row>
    <row r="679" spans="1:26" x14ac:dyDescent="0.25">
      <c r="A679" t="s">
        <v>53</v>
      </c>
      <c r="D679">
        <f t="shared" ref="D679:W679" si="488">D99*D157</f>
        <v>994.35046693417962</v>
      </c>
      <c r="E679">
        <f t="shared" si="488"/>
        <v>1142.9587257313829</v>
      </c>
      <c r="F679">
        <f t="shared" si="488"/>
        <v>1116.4833536402978</v>
      </c>
      <c r="G679">
        <f t="shared" si="488"/>
        <v>1004.4927905608693</v>
      </c>
      <c r="H679">
        <f t="shared" si="488"/>
        <v>750.77535637499977</v>
      </c>
      <c r="I679">
        <f t="shared" si="488"/>
        <v>585.43434958617468</v>
      </c>
      <c r="J679">
        <f t="shared" si="488"/>
        <v>507.29470002954713</v>
      </c>
      <c r="K679">
        <f t="shared" si="488"/>
        <v>680.6342147068134</v>
      </c>
      <c r="L679">
        <f t="shared" si="488"/>
        <v>627.48203092658991</v>
      </c>
      <c r="M679">
        <f t="shared" si="488"/>
        <v>1015.6212161926619</v>
      </c>
      <c r="N679">
        <f t="shared" si="488"/>
        <v>1000.9722745654394</v>
      </c>
      <c r="O679">
        <f t="shared" si="488"/>
        <v>630.00344960594214</v>
      </c>
      <c r="P679">
        <f t="shared" si="488"/>
        <v>995.93775018557994</v>
      </c>
      <c r="Q679">
        <f t="shared" si="488"/>
        <v>917.16906239914249</v>
      </c>
      <c r="R679">
        <f t="shared" si="488"/>
        <v>967.74580572714376</v>
      </c>
      <c r="S679">
        <f t="shared" si="488"/>
        <v>757.14333974573128</v>
      </c>
      <c r="T679">
        <f t="shared" si="488"/>
        <v>878.52868016211914</v>
      </c>
      <c r="U679">
        <f t="shared" si="488"/>
        <v>588.15283506688161</v>
      </c>
      <c r="V679">
        <f t="shared" si="488"/>
        <v>904.28010509117723</v>
      </c>
      <c r="W679">
        <f t="shared" si="488"/>
        <v>1000.491665170591</v>
      </c>
      <c r="Y679" s="15">
        <f t="shared" si="477"/>
        <v>17065.95217240326</v>
      </c>
      <c r="Z679">
        <f t="shared" si="478"/>
        <v>-796.40954209104643</v>
      </c>
    </row>
    <row r="680" spans="1:26" x14ac:dyDescent="0.25">
      <c r="A680" t="s">
        <v>54</v>
      </c>
      <c r="D680">
        <f t="shared" ref="D680:W680" si="489">D100*D158</f>
        <v>1221.7170794228587</v>
      </c>
      <c r="E680">
        <f t="shared" si="489"/>
        <v>1435.3713372382977</v>
      </c>
      <c r="F680">
        <f t="shared" si="489"/>
        <v>1166.8446228910175</v>
      </c>
      <c r="G680">
        <f t="shared" si="489"/>
        <v>951.35643452688282</v>
      </c>
      <c r="H680">
        <f t="shared" si="489"/>
        <v>979.45941804832864</v>
      </c>
      <c r="I680">
        <f t="shared" si="489"/>
        <v>1185.3294788514122</v>
      </c>
      <c r="J680">
        <f t="shared" si="489"/>
        <v>893.8037186636692</v>
      </c>
      <c r="K680">
        <f t="shared" si="489"/>
        <v>627.49365939839402</v>
      </c>
      <c r="L680">
        <f t="shared" si="489"/>
        <v>599.96075023455262</v>
      </c>
      <c r="M680">
        <f t="shared" si="489"/>
        <v>805.85043480983802</v>
      </c>
      <c r="N680">
        <f t="shared" si="489"/>
        <v>786.63326040410709</v>
      </c>
      <c r="O680">
        <f t="shared" si="489"/>
        <v>778.26889553416083</v>
      </c>
      <c r="P680">
        <f t="shared" si="489"/>
        <v>714.2398944222108</v>
      </c>
      <c r="Q680">
        <f t="shared" si="489"/>
        <v>750.3126049555558</v>
      </c>
      <c r="R680">
        <f t="shared" si="489"/>
        <v>509.06924623387329</v>
      </c>
      <c r="S680">
        <f t="shared" si="489"/>
        <v>935.74517081795011</v>
      </c>
      <c r="T680">
        <f t="shared" si="489"/>
        <v>947.15860188348893</v>
      </c>
      <c r="U680">
        <f t="shared" si="489"/>
        <v>716.69534180198502</v>
      </c>
      <c r="V680">
        <f t="shared" si="489"/>
        <v>331.7574445066802</v>
      </c>
      <c r="W680">
        <f t="shared" si="489"/>
        <v>661.4575531074546</v>
      </c>
      <c r="Y680" s="15">
        <f t="shared" si="477"/>
        <v>16998.524947752721</v>
      </c>
      <c r="Z680">
        <f t="shared" si="478"/>
        <v>-708.18462209423217</v>
      </c>
    </row>
    <row r="681" spans="1:26" x14ac:dyDescent="0.25">
      <c r="A681" t="s">
        <v>55</v>
      </c>
      <c r="D681">
        <f t="shared" ref="D681:W681" si="490">D101*D159</f>
        <v>984.05386448219144</v>
      </c>
      <c r="E681">
        <f t="shared" si="490"/>
        <v>921.09469930792272</v>
      </c>
      <c r="F681">
        <f t="shared" si="490"/>
        <v>1283.919172017497</v>
      </c>
      <c r="G681">
        <f t="shared" si="490"/>
        <v>1194.8112776002433</v>
      </c>
      <c r="H681">
        <f t="shared" si="490"/>
        <v>1005.731121058419</v>
      </c>
      <c r="I681">
        <f t="shared" si="490"/>
        <v>862.6524311694493</v>
      </c>
      <c r="J681">
        <f t="shared" si="490"/>
        <v>1069.5131811972362</v>
      </c>
      <c r="K681">
        <f t="shared" si="490"/>
        <v>839.17260343423766</v>
      </c>
      <c r="L681">
        <f t="shared" si="490"/>
        <v>746.33264619540557</v>
      </c>
      <c r="M681">
        <f t="shared" si="490"/>
        <v>616.8839634633747</v>
      </c>
      <c r="N681">
        <f t="shared" si="490"/>
        <v>958.07775146795768</v>
      </c>
      <c r="O681">
        <f t="shared" si="490"/>
        <v>534.12725176839535</v>
      </c>
      <c r="P681">
        <f t="shared" si="490"/>
        <v>729.28125831445595</v>
      </c>
      <c r="Q681">
        <f t="shared" si="490"/>
        <v>900.42453760469698</v>
      </c>
      <c r="R681">
        <f t="shared" si="490"/>
        <v>1000.7134973719716</v>
      </c>
      <c r="S681">
        <f t="shared" si="490"/>
        <v>873.91704735142434</v>
      </c>
      <c r="T681">
        <f t="shared" si="490"/>
        <v>423.61404372887182</v>
      </c>
      <c r="U681">
        <f t="shared" si="490"/>
        <v>753.50769054880061</v>
      </c>
      <c r="V681">
        <f t="shared" si="490"/>
        <v>1218.3453329552478</v>
      </c>
      <c r="W681">
        <f t="shared" si="490"/>
        <v>804.57882965532747</v>
      </c>
      <c r="Y681" s="15">
        <f t="shared" si="477"/>
        <v>17720.752200693129</v>
      </c>
      <c r="Z681">
        <f t="shared" si="478"/>
        <v>-735.21291931631902</v>
      </c>
    </row>
    <row r="682" spans="1:26" x14ac:dyDescent="0.25">
      <c r="A682" t="s">
        <v>56</v>
      </c>
      <c r="D682">
        <f t="shared" ref="D682:W682" si="491">D102*D160</f>
        <v>1175.7221873865963</v>
      </c>
      <c r="E682">
        <f t="shared" si="491"/>
        <v>1273.8</v>
      </c>
      <c r="F682">
        <f t="shared" si="491"/>
        <v>1253.5142857142857</v>
      </c>
      <c r="G682">
        <f t="shared" si="491"/>
        <v>1155.2571428571428</v>
      </c>
      <c r="H682">
        <f t="shared" si="491"/>
        <v>1037.7946925532674</v>
      </c>
      <c r="I682">
        <f t="shared" si="491"/>
        <v>1032.2330264086936</v>
      </c>
      <c r="J682">
        <f t="shared" si="491"/>
        <v>920.8461409674303</v>
      </c>
      <c r="K682">
        <f t="shared" si="491"/>
        <v>911.60027104583469</v>
      </c>
      <c r="L682">
        <f t="shared" si="491"/>
        <v>543.81464630081848</v>
      </c>
      <c r="M682">
        <f t="shared" si="491"/>
        <v>700.30888406501992</v>
      </c>
      <c r="N682">
        <f t="shared" si="491"/>
        <v>700.76548974975674</v>
      </c>
      <c r="O682">
        <f t="shared" si="491"/>
        <v>860.59372592481952</v>
      </c>
      <c r="P682">
        <f t="shared" si="491"/>
        <v>729.92011750104962</v>
      </c>
      <c r="Q682">
        <f t="shared" si="491"/>
        <v>644.38285159183113</v>
      </c>
      <c r="R682">
        <f t="shared" si="491"/>
        <v>714.66913550224274</v>
      </c>
      <c r="S682">
        <f t="shared" si="491"/>
        <v>925.86944577632676</v>
      </c>
      <c r="T682">
        <f t="shared" si="491"/>
        <v>1159.3475359207669</v>
      </c>
      <c r="U682">
        <f t="shared" si="491"/>
        <v>952.90400646088278</v>
      </c>
      <c r="V682">
        <f t="shared" si="491"/>
        <v>749.88724480755286</v>
      </c>
      <c r="W682">
        <f t="shared" si="491"/>
        <v>949.0056425736359</v>
      </c>
      <c r="Y682" s="15">
        <f t="shared" si="477"/>
        <v>18392.236473107954</v>
      </c>
      <c r="Z682">
        <f t="shared" si="478"/>
        <v>-721.37467513376362</v>
      </c>
    </row>
    <row r="683" spans="1:26" x14ac:dyDescent="0.25">
      <c r="A683" t="s">
        <v>57</v>
      </c>
      <c r="D683">
        <f t="shared" ref="D683:W683" si="492">D103*D161</f>
        <v>1011.030612244898</v>
      </c>
      <c r="E683">
        <f t="shared" si="492"/>
        <v>1182.5999999999999</v>
      </c>
      <c r="F683">
        <f t="shared" si="492"/>
        <v>1305.0285714285715</v>
      </c>
      <c r="G683">
        <f t="shared" si="492"/>
        <v>1229.8285714285714</v>
      </c>
      <c r="H683">
        <f t="shared" si="492"/>
        <v>1054.5887470362468</v>
      </c>
      <c r="I683">
        <f t="shared" si="492"/>
        <v>1028.3870019284111</v>
      </c>
      <c r="J683">
        <f t="shared" si="492"/>
        <v>901.31400244154713</v>
      </c>
      <c r="K683">
        <f t="shared" si="492"/>
        <v>952.65420453903414</v>
      </c>
      <c r="L683">
        <f t="shared" si="492"/>
        <v>894.70700016073215</v>
      </c>
      <c r="M683">
        <f t="shared" si="492"/>
        <v>676.85593827561081</v>
      </c>
      <c r="N683">
        <f t="shared" si="492"/>
        <v>708.59032684846113</v>
      </c>
      <c r="O683">
        <f t="shared" si="492"/>
        <v>680.88275204987656</v>
      </c>
      <c r="P683">
        <f t="shared" si="492"/>
        <v>701.8402078192845</v>
      </c>
      <c r="Q683">
        <f t="shared" si="492"/>
        <v>686.0189288101966</v>
      </c>
      <c r="R683">
        <f t="shared" si="492"/>
        <v>605.24321847533088</v>
      </c>
      <c r="S683">
        <f t="shared" si="492"/>
        <v>658.19623150872974</v>
      </c>
      <c r="T683">
        <f t="shared" si="492"/>
        <v>673.30377125971756</v>
      </c>
      <c r="U683">
        <f t="shared" si="492"/>
        <v>598.08483286148919</v>
      </c>
      <c r="V683">
        <f t="shared" si="492"/>
        <v>795.99819969692476</v>
      </c>
      <c r="W683">
        <f t="shared" si="492"/>
        <v>965.17846895337266</v>
      </c>
      <c r="Y683" s="15">
        <f t="shared" si="477"/>
        <v>17310.331587767007</v>
      </c>
      <c r="Z683">
        <f t="shared" si="478"/>
        <v>-689.71815956863634</v>
      </c>
    </row>
    <row r="684" spans="1:26" x14ac:dyDescent="0.25">
      <c r="A684" t="s">
        <v>58</v>
      </c>
      <c r="D684">
        <f t="shared" ref="D684:W684" si="493">D104*D162</f>
        <v>1126.6040816326531</v>
      </c>
      <c r="E684">
        <f t="shared" si="493"/>
        <v>1517.5102040816323</v>
      </c>
      <c r="F684">
        <f t="shared" si="493"/>
        <v>954.08163265306121</v>
      </c>
      <c r="G684">
        <f t="shared" si="493"/>
        <v>740.14897959183668</v>
      </c>
      <c r="H684">
        <f t="shared" si="493"/>
        <v>872.54603476722684</v>
      </c>
      <c r="I684">
        <f t="shared" si="493"/>
        <v>820.1152288249192</v>
      </c>
      <c r="J684">
        <f t="shared" si="493"/>
        <v>687.49482980342714</v>
      </c>
      <c r="K684">
        <f t="shared" si="493"/>
        <v>797.44090813991568</v>
      </c>
      <c r="L684">
        <f t="shared" si="493"/>
        <v>688.17851773855148</v>
      </c>
      <c r="M684">
        <f t="shared" si="493"/>
        <v>647.4486105583303</v>
      </c>
      <c r="N684">
        <f t="shared" si="493"/>
        <v>670.17569955739282</v>
      </c>
      <c r="O684">
        <f t="shared" si="493"/>
        <v>730.02264547026471</v>
      </c>
      <c r="P684">
        <f t="shared" si="493"/>
        <v>538.27180287038334</v>
      </c>
      <c r="Q684">
        <f t="shared" si="493"/>
        <v>657.58119104098205</v>
      </c>
      <c r="R684">
        <f t="shared" si="493"/>
        <v>592.74011204901274</v>
      </c>
      <c r="S684">
        <f t="shared" si="493"/>
        <v>563.68709276301036</v>
      </c>
      <c r="T684">
        <f t="shared" si="493"/>
        <v>698.40130567187521</v>
      </c>
      <c r="U684">
        <f t="shared" si="493"/>
        <v>659.52726634265161</v>
      </c>
      <c r="V684">
        <f t="shared" si="493"/>
        <v>815.56188995000787</v>
      </c>
      <c r="W684">
        <f t="shared" si="493"/>
        <v>841.77436988711497</v>
      </c>
      <c r="Y684" s="15">
        <f t="shared" si="477"/>
        <v>15619.312403394249</v>
      </c>
      <c r="Z684">
        <f t="shared" si="478"/>
        <v>-617.70888409224665</v>
      </c>
    </row>
    <row r="685" spans="1:26" x14ac:dyDescent="0.25">
      <c r="A685" t="s">
        <v>59</v>
      </c>
      <c r="D685">
        <f t="shared" ref="D685:W685" si="494">D105*D163</f>
        <v>1085.613118699963</v>
      </c>
      <c r="E685">
        <f t="shared" si="494"/>
        <v>961.47424840202655</v>
      </c>
      <c r="F685">
        <f t="shared" si="494"/>
        <v>1011.128186202022</v>
      </c>
      <c r="G685">
        <f t="shared" si="494"/>
        <v>1108.5024982711429</v>
      </c>
      <c r="H685">
        <f t="shared" si="494"/>
        <v>960.49311649655635</v>
      </c>
      <c r="I685">
        <f t="shared" si="494"/>
        <v>1363.7220809547741</v>
      </c>
      <c r="J685">
        <f t="shared" si="494"/>
        <v>1183.9131848796603</v>
      </c>
      <c r="K685">
        <f t="shared" si="494"/>
        <v>840.07153776540633</v>
      </c>
      <c r="L685">
        <f t="shared" si="494"/>
        <v>886.61214764752265</v>
      </c>
      <c r="M685">
        <f t="shared" si="494"/>
        <v>706.08751807086514</v>
      </c>
      <c r="N685">
        <f t="shared" si="494"/>
        <v>994.65853772716378</v>
      </c>
      <c r="O685">
        <f t="shared" si="494"/>
        <v>976.78608579982836</v>
      </c>
      <c r="P685">
        <f t="shared" si="494"/>
        <v>789.9398027466201</v>
      </c>
      <c r="Q685">
        <f t="shared" si="494"/>
        <v>647.08070272915256</v>
      </c>
      <c r="R685">
        <f t="shared" si="494"/>
        <v>696.67697824711388</v>
      </c>
      <c r="S685">
        <f t="shared" si="494"/>
        <v>588.86954378344228</v>
      </c>
      <c r="T685">
        <f t="shared" si="494"/>
        <v>614.88430881003603</v>
      </c>
      <c r="U685">
        <f t="shared" si="494"/>
        <v>833.708440886782</v>
      </c>
      <c r="V685">
        <f t="shared" si="494"/>
        <v>634.09430168001336</v>
      </c>
      <c r="W685">
        <f t="shared" si="494"/>
        <v>536.64128910541888</v>
      </c>
      <c r="Y685" s="15">
        <f t="shared" si="477"/>
        <v>17420.957628905511</v>
      </c>
      <c r="Z685">
        <f t="shared" si="478"/>
        <v>-1237.9274131936254</v>
      </c>
    </row>
    <row r="686" spans="1:26" x14ac:dyDescent="0.25">
      <c r="A686" t="s">
        <v>60</v>
      </c>
      <c r="D686">
        <f t="shared" ref="D686:W686" si="495">D106*D164</f>
        <v>665.6368813812237</v>
      </c>
      <c r="E686">
        <f t="shared" si="495"/>
        <v>1057.1636805478418</v>
      </c>
      <c r="F686">
        <f t="shared" si="495"/>
        <v>1723.3073541135359</v>
      </c>
      <c r="G686">
        <f t="shared" si="495"/>
        <v>966.82667285983121</v>
      </c>
      <c r="H686">
        <f t="shared" si="495"/>
        <v>913.16772630642856</v>
      </c>
      <c r="I686">
        <f t="shared" si="495"/>
        <v>881.73285117155513</v>
      </c>
      <c r="J686">
        <f t="shared" si="495"/>
        <v>1146.1018885553046</v>
      </c>
      <c r="K686">
        <f t="shared" si="495"/>
        <v>1220.4132681748285</v>
      </c>
      <c r="L686">
        <f t="shared" si="495"/>
        <v>866.288644029235</v>
      </c>
      <c r="M686">
        <f t="shared" si="495"/>
        <v>835.24774497606836</v>
      </c>
      <c r="N686">
        <f t="shared" si="495"/>
        <v>669.66433894671127</v>
      </c>
      <c r="O686">
        <f t="shared" si="495"/>
        <v>766.48856163543348</v>
      </c>
      <c r="P686">
        <f t="shared" si="495"/>
        <v>826.16265575036471</v>
      </c>
      <c r="Q686">
        <f t="shared" si="495"/>
        <v>764.44584973207031</v>
      </c>
      <c r="R686">
        <f t="shared" si="495"/>
        <v>904.3969362133314</v>
      </c>
      <c r="S686">
        <f t="shared" si="495"/>
        <v>543.00551197148729</v>
      </c>
      <c r="T686">
        <f t="shared" si="495"/>
        <v>600.43205117881291</v>
      </c>
      <c r="U686">
        <f t="shared" si="495"/>
        <v>658.59643000099345</v>
      </c>
      <c r="V686">
        <f t="shared" si="495"/>
        <v>717.95399876050703</v>
      </c>
      <c r="W686">
        <f t="shared" si="495"/>
        <v>966.10925625124048</v>
      </c>
      <c r="Y686" s="15">
        <f t="shared" si="477"/>
        <v>17693.142302556807</v>
      </c>
      <c r="Z686">
        <f t="shared" si="478"/>
        <v>-756.57523394403995</v>
      </c>
    </row>
    <row r="687" spans="1:26" x14ac:dyDescent="0.25">
      <c r="A687" t="s">
        <v>61</v>
      </c>
      <c r="D687">
        <f t="shared" ref="D687:W687" si="496">D107*D165</f>
        <v>1016.2911773890214</v>
      </c>
      <c r="E687">
        <f t="shared" si="496"/>
        <v>1072.5312994048024</v>
      </c>
      <c r="F687">
        <f t="shared" si="496"/>
        <v>1637.6105217767365</v>
      </c>
      <c r="G687">
        <f t="shared" si="496"/>
        <v>1394.7092282777919</v>
      </c>
      <c r="H687">
        <f t="shared" si="496"/>
        <v>1380.8366927303698</v>
      </c>
      <c r="I687">
        <f t="shared" si="496"/>
        <v>884.02969101571773</v>
      </c>
      <c r="J687">
        <f t="shared" si="496"/>
        <v>839.8015376309985</v>
      </c>
      <c r="K687">
        <f t="shared" si="496"/>
        <v>749.48479610297875</v>
      </c>
      <c r="L687">
        <f t="shared" si="496"/>
        <v>991.21913411478204</v>
      </c>
      <c r="M687">
        <f t="shared" si="496"/>
        <v>378.73531181972567</v>
      </c>
      <c r="N687">
        <f t="shared" si="496"/>
        <v>677.0689254410745</v>
      </c>
      <c r="O687">
        <f t="shared" si="496"/>
        <v>713.83948865929574</v>
      </c>
      <c r="P687">
        <f t="shared" si="496"/>
        <v>673.59081348999575</v>
      </c>
      <c r="Q687">
        <f t="shared" si="496"/>
        <v>773.17494616431884</v>
      </c>
      <c r="R687">
        <f t="shared" si="496"/>
        <v>1079.2341581254479</v>
      </c>
      <c r="S687">
        <f t="shared" si="496"/>
        <v>1076.1498937085041</v>
      </c>
      <c r="T687">
        <f t="shared" si="496"/>
        <v>626.39824837017659</v>
      </c>
      <c r="U687">
        <f t="shared" si="496"/>
        <v>803.69189006899364</v>
      </c>
      <c r="V687">
        <f t="shared" si="496"/>
        <v>1016.8074623236298</v>
      </c>
      <c r="W687">
        <f t="shared" si="496"/>
        <v>704.28440432050832</v>
      </c>
      <c r="Y687" s="15">
        <f t="shared" si="477"/>
        <v>18489.48962093487</v>
      </c>
      <c r="Z687">
        <f t="shared" si="478"/>
        <v>-460.79104706233841</v>
      </c>
    </row>
    <row r="688" spans="1:26" x14ac:dyDescent="0.25">
      <c r="A688" t="s">
        <v>62</v>
      </c>
      <c r="D688">
        <f t="shared" ref="D688:W688" si="497">D108*D166</f>
        <v>933.57026661419036</v>
      </c>
      <c r="E688">
        <f t="shared" si="497"/>
        <v>967.70633347026092</v>
      </c>
      <c r="F688">
        <f t="shared" si="497"/>
        <v>866.77830691446377</v>
      </c>
      <c r="G688">
        <f t="shared" si="497"/>
        <v>866.30336964200023</v>
      </c>
      <c r="H688">
        <f t="shared" si="497"/>
        <v>1138.0183589320447</v>
      </c>
      <c r="I688">
        <f t="shared" si="497"/>
        <v>1242.7949835664494</v>
      </c>
      <c r="J688">
        <f t="shared" si="497"/>
        <v>696.70808544582565</v>
      </c>
      <c r="K688">
        <f t="shared" si="497"/>
        <v>944.41658473957943</v>
      </c>
      <c r="L688">
        <f t="shared" si="497"/>
        <v>799.52056139371985</v>
      </c>
      <c r="M688">
        <f t="shared" si="497"/>
        <v>957.2241759242313</v>
      </c>
      <c r="N688">
        <f t="shared" si="497"/>
        <v>536.25155726579976</v>
      </c>
      <c r="O688">
        <f t="shared" si="497"/>
        <v>568.41845034822597</v>
      </c>
      <c r="P688">
        <f t="shared" si="497"/>
        <v>586.153440806768</v>
      </c>
      <c r="Q688">
        <f t="shared" si="497"/>
        <v>540.1333513130819</v>
      </c>
      <c r="R688">
        <f t="shared" si="497"/>
        <v>352.49524019235605</v>
      </c>
      <c r="S688">
        <f t="shared" si="497"/>
        <v>602.19025783074846</v>
      </c>
      <c r="T688">
        <f t="shared" si="497"/>
        <v>782.31331276114611</v>
      </c>
      <c r="U688">
        <f t="shared" si="497"/>
        <v>820.47114127238353</v>
      </c>
      <c r="V688">
        <f t="shared" si="497"/>
        <v>788.69845639535083</v>
      </c>
      <c r="W688">
        <f t="shared" si="497"/>
        <v>625.87995934860442</v>
      </c>
      <c r="Y688" s="15">
        <f t="shared" si="477"/>
        <v>15616.046194177228</v>
      </c>
      <c r="Z688">
        <f t="shared" si="478"/>
        <v>-867.41633697727275</v>
      </c>
    </row>
    <row r="689" spans="1:26" x14ac:dyDescent="0.25">
      <c r="Y689" s="15"/>
    </row>
    <row r="690" spans="1:26" x14ac:dyDescent="0.25">
      <c r="A690" t="s">
        <v>63</v>
      </c>
      <c r="D690">
        <f t="shared" ref="D690:W690" si="498">D110*D168</f>
        <v>856.86572839359371</v>
      </c>
      <c r="E690">
        <f t="shared" si="498"/>
        <v>845.08804317017632</v>
      </c>
      <c r="F690">
        <f t="shared" si="498"/>
        <v>552.57522929579909</v>
      </c>
      <c r="G690">
        <f t="shared" si="498"/>
        <v>734.32506947836782</v>
      </c>
      <c r="H690">
        <f t="shared" si="498"/>
        <v>823.69576126807851</v>
      </c>
      <c r="I690">
        <f t="shared" si="498"/>
        <v>886.85825276147716</v>
      </c>
      <c r="J690">
        <f t="shared" si="498"/>
        <v>717.35441337810857</v>
      </c>
      <c r="K690">
        <f t="shared" si="498"/>
        <v>830.27077946391876</v>
      </c>
      <c r="L690">
        <f t="shared" si="498"/>
        <v>711.48761179691894</v>
      </c>
      <c r="M690">
        <f t="shared" si="498"/>
        <v>687.04252736059118</v>
      </c>
      <c r="N690">
        <f t="shared" si="498"/>
        <v>760.66598170159614</v>
      </c>
      <c r="O690">
        <f t="shared" si="498"/>
        <v>722.81026684065671</v>
      </c>
      <c r="P690">
        <f t="shared" si="498"/>
        <v>682.57095654318618</v>
      </c>
      <c r="Q690">
        <f t="shared" si="498"/>
        <v>677.77861688621158</v>
      </c>
      <c r="R690">
        <f t="shared" si="498"/>
        <v>738.57432173313919</v>
      </c>
      <c r="S690">
        <f t="shared" si="498"/>
        <v>728.06432970351989</v>
      </c>
      <c r="T690">
        <f t="shared" si="498"/>
        <v>750.1230413998004</v>
      </c>
      <c r="U690">
        <f t="shared" si="498"/>
        <v>655.7944666373495</v>
      </c>
      <c r="V690">
        <f t="shared" si="498"/>
        <v>775.26817547862515</v>
      </c>
      <c r="W690">
        <f t="shared" si="498"/>
        <v>867.22302447977756</v>
      </c>
      <c r="Y690" s="15">
        <f t="shared" si="477"/>
        <v>15004.436597770893</v>
      </c>
      <c r="Z690">
        <f>SUMPRODUCT($D$694:$S$694,D690:S690)</f>
        <v>-1035.0441646039424</v>
      </c>
    </row>
    <row r="691" spans="1:26" x14ac:dyDescent="0.25">
      <c r="A691" t="s">
        <v>307</v>
      </c>
      <c r="D691">
        <f t="shared" ref="D691:W691" si="499">D111*D169</f>
        <v>1626.4102040816324</v>
      </c>
      <c r="E691">
        <f t="shared" si="499"/>
        <v>1312.3999999999999</v>
      </c>
      <c r="F691">
        <f t="shared" si="499"/>
        <v>736.43999999999994</v>
      </c>
      <c r="G691">
        <f t="shared" si="499"/>
        <v>725.94</v>
      </c>
      <c r="H691">
        <f t="shared" si="499"/>
        <v>1005.2938775510203</v>
      </c>
      <c r="I691">
        <f t="shared" si="499"/>
        <v>1162.3163265306123</v>
      </c>
      <c r="J691">
        <f t="shared" si="499"/>
        <v>1021.3714285714284</v>
      </c>
      <c r="K691">
        <f t="shared" si="499"/>
        <v>992.20408163265301</v>
      </c>
      <c r="L691">
        <f t="shared" si="499"/>
        <v>766.64843750000011</v>
      </c>
      <c r="M691">
        <f t="shared" si="499"/>
        <v>1168.6326530612246</v>
      </c>
      <c r="N691">
        <f t="shared" si="499"/>
        <v>924.73469387755097</v>
      </c>
      <c r="O691">
        <f t="shared" si="499"/>
        <v>1008.6040816326529</v>
      </c>
      <c r="P691">
        <f t="shared" si="499"/>
        <v>1377.3999999999999</v>
      </c>
      <c r="Q691">
        <f t="shared" si="499"/>
        <v>1088.0999999999999</v>
      </c>
      <c r="R691">
        <f t="shared" si="499"/>
        <v>1000.5</v>
      </c>
      <c r="S691">
        <f t="shared" si="499"/>
        <v>997.6</v>
      </c>
      <c r="T691">
        <f t="shared" si="499"/>
        <v>795.19999999999993</v>
      </c>
      <c r="U691">
        <f t="shared" si="499"/>
        <v>669.6</v>
      </c>
      <c r="V691">
        <f t="shared" si="499"/>
        <v>746.93</v>
      </c>
      <c r="W691">
        <f t="shared" si="499"/>
        <v>826.24999999999989</v>
      </c>
      <c r="Y691" s="15">
        <f t="shared" si="477"/>
        <v>19952.575784438774</v>
      </c>
      <c r="Z691">
        <f>SUMPRODUCT($D$694:$S$694,D691:S691)</f>
        <v>-1658.3445909562354</v>
      </c>
    </row>
    <row r="692" spans="1:26" x14ac:dyDescent="0.25">
      <c r="A692" t="s">
        <v>308</v>
      </c>
      <c r="D692">
        <f t="shared" ref="D692:W692" si="500">D112*D170</f>
        <v>1048.0741012620008</v>
      </c>
      <c r="E692">
        <f t="shared" si="500"/>
        <v>1078.56</v>
      </c>
      <c r="F692">
        <f t="shared" si="500"/>
        <v>722.19999999999993</v>
      </c>
      <c r="G692">
        <f t="shared" si="500"/>
        <v>809.72</v>
      </c>
      <c r="H692">
        <f t="shared" si="500"/>
        <v>977.75999999999988</v>
      </c>
      <c r="I692">
        <f t="shared" si="500"/>
        <v>1116.7199999999998</v>
      </c>
      <c r="J692">
        <f t="shared" si="500"/>
        <v>638.9799999999999</v>
      </c>
      <c r="K692">
        <f t="shared" si="500"/>
        <v>769.92</v>
      </c>
      <c r="L692">
        <f t="shared" si="500"/>
        <v>729.43999999999994</v>
      </c>
      <c r="M692">
        <f t="shared" si="500"/>
        <v>845.58</v>
      </c>
      <c r="N692">
        <f t="shared" si="500"/>
        <v>889.92000000000007</v>
      </c>
      <c r="O692">
        <f t="shared" si="500"/>
        <v>767.34</v>
      </c>
      <c r="P692">
        <f t="shared" si="500"/>
        <v>711.12843700975282</v>
      </c>
      <c r="Q692">
        <f t="shared" si="500"/>
        <v>691.3515555404033</v>
      </c>
      <c r="R692">
        <f t="shared" si="500"/>
        <v>702.4768998926105</v>
      </c>
      <c r="S692">
        <f t="shared" si="500"/>
        <v>588.32813809620973</v>
      </c>
      <c r="T692">
        <f t="shared" si="500"/>
        <v>648.45339067495809</v>
      </c>
      <c r="U692">
        <f t="shared" si="500"/>
        <v>686.60504051956661</v>
      </c>
      <c r="V692">
        <f t="shared" si="500"/>
        <v>739.70403237906385</v>
      </c>
      <c r="W692">
        <f t="shared" si="500"/>
        <v>817.31256198131234</v>
      </c>
      <c r="Y692" s="15">
        <f t="shared" si="477"/>
        <v>15979.574157355879</v>
      </c>
      <c r="Z692">
        <f>SUMPRODUCT($D$694:$S$694,D692:S692)</f>
        <v>-1055.910848554623</v>
      </c>
    </row>
    <row r="693" spans="1:26" x14ac:dyDescent="0.25">
      <c r="A693" t="s">
        <v>670</v>
      </c>
      <c r="D693">
        <f t="shared" ref="D693:W693" si="501">D113*D171</f>
        <v>907.48685145885622</v>
      </c>
      <c r="E693">
        <f t="shared" si="501"/>
        <v>1010.3651837507674</v>
      </c>
      <c r="F693">
        <f t="shared" si="501"/>
        <v>965.9971645749813</v>
      </c>
      <c r="G693">
        <f t="shared" si="501"/>
        <v>1094.9499629552911</v>
      </c>
      <c r="H693">
        <f t="shared" si="501"/>
        <v>856.23363478892122</v>
      </c>
      <c r="I693">
        <f t="shared" si="501"/>
        <v>707.9721242014574</v>
      </c>
      <c r="J693">
        <f t="shared" si="501"/>
        <v>520.76040728256839</v>
      </c>
      <c r="K693">
        <f t="shared" si="501"/>
        <v>458.58126364406678</v>
      </c>
      <c r="L693">
        <f t="shared" si="501"/>
        <v>459.85246349366594</v>
      </c>
      <c r="M693">
        <f t="shared" si="501"/>
        <v>688.87512927017053</v>
      </c>
      <c r="N693">
        <f t="shared" si="501"/>
        <v>751.57548709566754</v>
      </c>
      <c r="O693">
        <f t="shared" si="501"/>
        <v>713.76889781697673</v>
      </c>
      <c r="P693">
        <f t="shared" si="501"/>
        <v>729.92217792170561</v>
      </c>
      <c r="Q693">
        <f t="shared" si="501"/>
        <v>701.6958354287483</v>
      </c>
      <c r="R693">
        <f t="shared" si="501"/>
        <v>755.51302798620804</v>
      </c>
      <c r="S693">
        <f t="shared" si="501"/>
        <v>727.25816734587181</v>
      </c>
      <c r="T693">
        <f t="shared" si="501"/>
        <v>751.40027883224252</v>
      </c>
      <c r="U693">
        <f t="shared" si="501"/>
        <v>708.60849213482447</v>
      </c>
      <c r="V693">
        <f t="shared" si="501"/>
        <v>753.80086162367411</v>
      </c>
      <c r="W693">
        <f t="shared" si="501"/>
        <v>813.28873795843401</v>
      </c>
      <c r="Y693" s="15">
        <f t="shared" ref="Y693" si="502">SUM(D693:W693)</f>
        <v>15077.906149565102</v>
      </c>
      <c r="Z693">
        <f>SUMPRODUCT($D$694:$S$694,D693:S693)</f>
        <v>-634.91040907655542</v>
      </c>
    </row>
    <row r="694" spans="1:26" x14ac:dyDescent="0.25">
      <c r="A694" s="2" t="s">
        <v>64</v>
      </c>
      <c r="D694" s="3">
        <f>CORREL($B$2:$B$21,D669:D688)</f>
        <v>-0.2074550457536074</v>
      </c>
      <c r="E694" s="3">
        <f t="shared" ref="E694:W694" si="503">CORREL($B$2:$B$21,E669:E688)</f>
        <v>0.3643470552873978</v>
      </c>
      <c r="F694" s="3">
        <f t="shared" si="503"/>
        <v>0.37717266074745814</v>
      </c>
      <c r="G694" s="3">
        <f t="shared" si="503"/>
        <v>0.14174172168702981</v>
      </c>
      <c r="H694" s="3">
        <f t="shared" si="503"/>
        <v>-6.8355933905639862E-2</v>
      </c>
      <c r="I694" s="3">
        <f t="shared" si="503"/>
        <v>-0.17005275728676178</v>
      </c>
      <c r="J694" s="3">
        <f t="shared" si="503"/>
        <v>-0.17821492470744896</v>
      </c>
      <c r="K694" s="3">
        <f t="shared" si="503"/>
        <v>-0.15388277062290792</v>
      </c>
      <c r="L694" s="3">
        <f t="shared" si="503"/>
        <v>-0.15476746866122607</v>
      </c>
      <c r="M694" s="3">
        <f t="shared" si="503"/>
        <v>-0.22416802625303292</v>
      </c>
      <c r="N694" s="3">
        <f t="shared" si="503"/>
        <v>-0.15613973185030311</v>
      </c>
      <c r="O694" s="3">
        <f t="shared" si="503"/>
        <v>-0.50139211550683682</v>
      </c>
      <c r="P694" s="3">
        <f t="shared" si="503"/>
        <v>-0.34715769203016628</v>
      </c>
      <c r="Q694" s="3">
        <f t="shared" si="503"/>
        <v>-0.16153038083945789</v>
      </c>
      <c r="R694" s="3">
        <f t="shared" si="503"/>
        <v>-6.5243872397134944E-2</v>
      </c>
      <c r="S694" s="3">
        <f t="shared" si="503"/>
        <v>0.17165290894433596</v>
      </c>
      <c r="T694" s="3">
        <f t="shared" si="503"/>
        <v>-0.32577212821880558</v>
      </c>
      <c r="U694" s="3">
        <f t="shared" si="503"/>
        <v>-0.10524565892520128</v>
      </c>
      <c r="V694" s="3">
        <f t="shared" si="503"/>
        <v>-0.30749251628955354</v>
      </c>
      <c r="W694" s="3">
        <f t="shared" si="503"/>
        <v>-0.32351077045161863</v>
      </c>
    </row>
    <row r="697" spans="1:26" x14ac:dyDescent="0.25">
      <c r="D697" t="s">
        <v>263</v>
      </c>
      <c r="E697" t="s">
        <v>264</v>
      </c>
      <c r="F697" t="s">
        <v>265</v>
      </c>
      <c r="G697" t="s">
        <v>266</v>
      </c>
      <c r="H697" t="s">
        <v>267</v>
      </c>
      <c r="I697" t="s">
        <v>268</v>
      </c>
      <c r="J697" t="s">
        <v>269</v>
      </c>
      <c r="K697" t="s">
        <v>270</v>
      </c>
      <c r="L697" t="s">
        <v>357</v>
      </c>
      <c r="M697" t="s">
        <v>433</v>
      </c>
      <c r="N697" t="s">
        <v>434</v>
      </c>
      <c r="O697" t="s">
        <v>435</v>
      </c>
      <c r="P697" t="s">
        <v>542</v>
      </c>
      <c r="Q697" t="s">
        <v>543</v>
      </c>
      <c r="R697" t="s">
        <v>544</v>
      </c>
      <c r="S697" t="s">
        <v>545</v>
      </c>
      <c r="T697" t="s">
        <v>654</v>
      </c>
      <c r="U697" t="s">
        <v>655</v>
      </c>
      <c r="V697" t="s">
        <v>656</v>
      </c>
      <c r="W697" t="s">
        <v>657</v>
      </c>
      <c r="Y697" t="s">
        <v>271</v>
      </c>
      <c r="Z697" t="s">
        <v>272</v>
      </c>
    </row>
    <row r="698" spans="1:26" x14ac:dyDescent="0.25">
      <c r="A698" t="s">
        <v>43</v>
      </c>
      <c r="D698">
        <f t="shared" ref="D698:W698" si="504">D89*D176</f>
        <v>1377.7419628057905</v>
      </c>
      <c r="E698">
        <f t="shared" si="504"/>
        <v>495.91836734693891</v>
      </c>
      <c r="F698">
        <f t="shared" si="504"/>
        <v>756.74285714285725</v>
      </c>
      <c r="G698">
        <f t="shared" si="504"/>
        <v>998.05714285714294</v>
      </c>
      <c r="H698">
        <f t="shared" si="504"/>
        <v>1224.372618174732</v>
      </c>
      <c r="I698">
        <f t="shared" si="504"/>
        <v>1377.9221965627924</v>
      </c>
      <c r="J698">
        <f t="shared" si="504"/>
        <v>1105.5694512833288</v>
      </c>
      <c r="K698">
        <f t="shared" si="504"/>
        <v>1234.8423254414231</v>
      </c>
      <c r="L698">
        <f t="shared" si="504"/>
        <v>1145.6427366576977</v>
      </c>
      <c r="M698">
        <f t="shared" si="504"/>
        <v>1241.5382182598023</v>
      </c>
      <c r="N698">
        <f t="shared" si="504"/>
        <v>1247.5728629824403</v>
      </c>
      <c r="O698">
        <f t="shared" si="504"/>
        <v>1027.0934407816392</v>
      </c>
      <c r="P698">
        <f t="shared" si="504"/>
        <v>869.31122148870395</v>
      </c>
      <c r="Q698">
        <f t="shared" si="504"/>
        <v>760.01251540704868</v>
      </c>
      <c r="R698">
        <f t="shared" si="504"/>
        <v>654.58478369891111</v>
      </c>
      <c r="S698">
        <f t="shared" si="504"/>
        <v>437.76669377287897</v>
      </c>
      <c r="T698">
        <f t="shared" si="504"/>
        <v>667.54077726386163</v>
      </c>
      <c r="U698">
        <f t="shared" si="504"/>
        <v>1029.0334525151097</v>
      </c>
      <c r="V698">
        <f t="shared" si="504"/>
        <v>789.28581420275179</v>
      </c>
      <c r="W698">
        <f t="shared" si="504"/>
        <v>1232.1487970467399</v>
      </c>
      <c r="Y698" s="15">
        <f t="shared" ref="Y698:Y721" si="505">SUM(D698:W698)</f>
        <v>19672.698235692587</v>
      </c>
      <c r="Z698">
        <f t="shared" ref="Z698:Z717" si="506">SUMPRODUCT($D$723:$S$723,D698:S698)</f>
        <v>-729.64022305329354</v>
      </c>
    </row>
    <row r="699" spans="1:26" x14ac:dyDescent="0.25">
      <c r="A699" t="s">
        <v>44</v>
      </c>
      <c r="D699">
        <f t="shared" ref="D699:W699" si="507">D90*D177</f>
        <v>953.04489795918357</v>
      </c>
      <c r="E699">
        <f t="shared" si="507"/>
        <v>948.85714285714289</v>
      </c>
      <c r="F699">
        <f t="shared" si="507"/>
        <v>1093.6265306122448</v>
      </c>
      <c r="G699">
        <f t="shared" si="507"/>
        <v>1525.5510204081631</v>
      </c>
      <c r="H699">
        <f t="shared" si="507"/>
        <v>714.10203165492305</v>
      </c>
      <c r="I699">
        <f t="shared" si="507"/>
        <v>598.41493892711253</v>
      </c>
      <c r="J699">
        <f t="shared" si="507"/>
        <v>560.55721998373406</v>
      </c>
      <c r="K699">
        <f t="shared" si="507"/>
        <v>555.37825353360154</v>
      </c>
      <c r="L699">
        <f t="shared" si="507"/>
        <v>560.47687204240617</v>
      </c>
      <c r="M699">
        <f t="shared" si="507"/>
        <v>668.14271834987699</v>
      </c>
      <c r="N699">
        <f t="shared" si="507"/>
        <v>790.64310519254718</v>
      </c>
      <c r="O699">
        <f t="shared" si="507"/>
        <v>665.43055241096738</v>
      </c>
      <c r="P699">
        <f t="shared" si="507"/>
        <v>755.37194602116324</v>
      </c>
      <c r="Q699">
        <f t="shared" si="507"/>
        <v>960.062452470587</v>
      </c>
      <c r="R699">
        <f t="shared" si="507"/>
        <v>746.28046844615369</v>
      </c>
      <c r="S699">
        <f t="shared" si="507"/>
        <v>402.69889354192912</v>
      </c>
      <c r="T699">
        <f t="shared" si="507"/>
        <v>490.07348857359921</v>
      </c>
      <c r="U699">
        <f t="shared" si="507"/>
        <v>239.53275357117354</v>
      </c>
      <c r="V699">
        <f t="shared" si="507"/>
        <v>284.0712442446623</v>
      </c>
      <c r="W699">
        <f t="shared" si="507"/>
        <v>495.45600056457766</v>
      </c>
      <c r="Y699" s="15">
        <f t="shared" si="505"/>
        <v>14007.772531365747</v>
      </c>
      <c r="Z699">
        <f t="shared" si="506"/>
        <v>-136.790275960739</v>
      </c>
    </row>
    <row r="700" spans="1:26" x14ac:dyDescent="0.25">
      <c r="A700" t="s">
        <v>45</v>
      </c>
      <c r="D700">
        <f t="shared" ref="D700:W700" si="508">D91*D178</f>
        <v>1508.1950294589517</v>
      </c>
      <c r="E700">
        <f t="shared" si="508"/>
        <v>598.66122448979593</v>
      </c>
      <c r="F700">
        <f t="shared" si="508"/>
        <v>907.59183673469386</v>
      </c>
      <c r="G700">
        <f t="shared" si="508"/>
        <v>579.88571428571424</v>
      </c>
      <c r="H700">
        <f t="shared" si="508"/>
        <v>1363.7589431569597</v>
      </c>
      <c r="I700">
        <f t="shared" si="508"/>
        <v>1054.148361427332</v>
      </c>
      <c r="J700">
        <f t="shared" si="508"/>
        <v>797.19584646405133</v>
      </c>
      <c r="K700">
        <f t="shared" si="508"/>
        <v>1053.909967721386</v>
      </c>
      <c r="L700">
        <f t="shared" si="508"/>
        <v>759.76895419469133</v>
      </c>
      <c r="M700">
        <f t="shared" si="508"/>
        <v>229.58222557052457</v>
      </c>
      <c r="N700">
        <f t="shared" si="508"/>
        <v>249.4141976811531</v>
      </c>
      <c r="O700">
        <f t="shared" si="508"/>
        <v>179.32011239071755</v>
      </c>
      <c r="P700">
        <f t="shared" si="508"/>
        <v>228.0702750677018</v>
      </c>
      <c r="Q700">
        <f t="shared" si="508"/>
        <v>397.49333228041752</v>
      </c>
      <c r="R700">
        <f t="shared" si="508"/>
        <v>428.5526511488124</v>
      </c>
      <c r="S700">
        <f t="shared" si="508"/>
        <v>316.88507986689882</v>
      </c>
      <c r="T700">
        <f t="shared" si="508"/>
        <v>254.01871832066925</v>
      </c>
      <c r="U700">
        <f t="shared" si="508"/>
        <v>493.54217177902586</v>
      </c>
      <c r="V700">
        <f t="shared" si="508"/>
        <v>786.83052203384216</v>
      </c>
      <c r="W700">
        <f t="shared" si="508"/>
        <v>1028.5476353970594</v>
      </c>
      <c r="Y700" s="15">
        <f t="shared" si="505"/>
        <v>13215.372799470397</v>
      </c>
      <c r="Z700">
        <f t="shared" si="506"/>
        <v>-38.663020067090798</v>
      </c>
    </row>
    <row r="701" spans="1:26" x14ac:dyDescent="0.25">
      <c r="A701" t="s">
        <v>46</v>
      </c>
      <c r="D701">
        <f t="shared" ref="D701:W701" si="509">D92*D179</f>
        <v>1590.7964640725568</v>
      </c>
      <c r="E701">
        <f t="shared" si="509"/>
        <v>1039.3507754008569</v>
      </c>
      <c r="F701">
        <f t="shared" si="509"/>
        <v>807.2857984520864</v>
      </c>
      <c r="G701">
        <f t="shared" si="509"/>
        <v>602.88850726132046</v>
      </c>
      <c r="H701">
        <f t="shared" si="509"/>
        <v>888.50238660760101</v>
      </c>
      <c r="I701">
        <f t="shared" si="509"/>
        <v>586.03106538090958</v>
      </c>
      <c r="J701">
        <f t="shared" si="509"/>
        <v>1453.6514952882512</v>
      </c>
      <c r="K701">
        <f t="shared" si="509"/>
        <v>909.25177522891636</v>
      </c>
      <c r="L701">
        <f t="shared" si="509"/>
        <v>1263.3193527116275</v>
      </c>
      <c r="M701">
        <f t="shared" si="509"/>
        <v>1515.172658452168</v>
      </c>
      <c r="N701">
        <f t="shared" si="509"/>
        <v>962.85172598151939</v>
      </c>
      <c r="O701">
        <f t="shared" si="509"/>
        <v>1430.5288559018263</v>
      </c>
      <c r="P701">
        <f t="shared" si="509"/>
        <v>1141.5853002998683</v>
      </c>
      <c r="Q701">
        <f t="shared" si="509"/>
        <v>627.46418370306196</v>
      </c>
      <c r="R701">
        <f t="shared" si="509"/>
        <v>524.68673768461827</v>
      </c>
      <c r="S701">
        <f t="shared" si="509"/>
        <v>334.71870419044774</v>
      </c>
      <c r="T701">
        <f t="shared" si="509"/>
        <v>759.66683915721535</v>
      </c>
      <c r="U701">
        <f t="shared" si="509"/>
        <v>538.11211488824222</v>
      </c>
      <c r="V701">
        <f t="shared" si="509"/>
        <v>912.43573033566463</v>
      </c>
      <c r="W701">
        <f t="shared" si="509"/>
        <v>933.94285185748345</v>
      </c>
      <c r="Y701" s="15">
        <f t="shared" si="505"/>
        <v>18822.24332285624</v>
      </c>
      <c r="Z701">
        <f t="shared" si="506"/>
        <v>-973.76381158880645</v>
      </c>
    </row>
    <row r="702" spans="1:26" x14ac:dyDescent="0.25">
      <c r="A702" t="s">
        <v>47</v>
      </c>
      <c r="D702">
        <f t="shared" ref="D702:W702" si="510">D93*D180</f>
        <v>1219.1215618433846</v>
      </c>
      <c r="E702">
        <f t="shared" si="510"/>
        <v>1018.439845941911</v>
      </c>
      <c r="F702">
        <f t="shared" si="510"/>
        <v>823.42386301175679</v>
      </c>
      <c r="G702">
        <f t="shared" si="510"/>
        <v>771.50760556352225</v>
      </c>
      <c r="H702">
        <f t="shared" si="510"/>
        <v>672.42277978873301</v>
      </c>
      <c r="I702">
        <f t="shared" si="510"/>
        <v>707.09893921496439</v>
      </c>
      <c r="J702">
        <f t="shared" si="510"/>
        <v>485.255728692839</v>
      </c>
      <c r="K702">
        <f t="shared" si="510"/>
        <v>573.32354985077598</v>
      </c>
      <c r="L702">
        <f t="shared" si="510"/>
        <v>878.49157154448847</v>
      </c>
      <c r="M702">
        <f t="shared" si="510"/>
        <v>695.44969838796703</v>
      </c>
      <c r="N702">
        <f t="shared" si="510"/>
        <v>844.31726977931805</v>
      </c>
      <c r="O702">
        <f t="shared" si="510"/>
        <v>723.17146955746114</v>
      </c>
      <c r="P702">
        <f t="shared" si="510"/>
        <v>751.447612218431</v>
      </c>
      <c r="Q702">
        <f t="shared" si="510"/>
        <v>784.99758720438854</v>
      </c>
      <c r="R702">
        <f t="shared" si="510"/>
        <v>433.96188750822836</v>
      </c>
      <c r="S702">
        <f t="shared" si="510"/>
        <v>848.4602332981251</v>
      </c>
      <c r="T702">
        <f t="shared" si="510"/>
        <v>713.91992700059905</v>
      </c>
      <c r="U702">
        <f t="shared" si="510"/>
        <v>629.07446129970606</v>
      </c>
      <c r="V702">
        <f t="shared" si="510"/>
        <v>683.30668886622163</v>
      </c>
      <c r="W702">
        <f t="shared" si="510"/>
        <v>782.26816114087251</v>
      </c>
      <c r="Y702" s="15">
        <f t="shared" si="505"/>
        <v>15039.460441713694</v>
      </c>
      <c r="Z702">
        <f t="shared" si="506"/>
        <v>-217.90420244097518</v>
      </c>
    </row>
    <row r="703" spans="1:26" x14ac:dyDescent="0.25">
      <c r="A703" t="s">
        <v>48</v>
      </c>
      <c r="D703">
        <f t="shared" ref="D703:W703" si="511">D94*D181</f>
        <v>1143.3154529814722</v>
      </c>
      <c r="E703">
        <f t="shared" si="511"/>
        <v>892.78602614359534</v>
      </c>
      <c r="F703">
        <f t="shared" si="511"/>
        <v>823.14401880874095</v>
      </c>
      <c r="G703">
        <f t="shared" si="511"/>
        <v>889.78749437832016</v>
      </c>
      <c r="H703">
        <f t="shared" si="511"/>
        <v>1198.9834854928456</v>
      </c>
      <c r="I703">
        <f t="shared" si="511"/>
        <v>936.69996163891574</v>
      </c>
      <c r="J703">
        <f t="shared" si="511"/>
        <v>576.25235936656588</v>
      </c>
      <c r="K703">
        <f t="shared" si="511"/>
        <v>867.50027948701995</v>
      </c>
      <c r="L703">
        <f t="shared" si="511"/>
        <v>515.91475038163355</v>
      </c>
      <c r="M703">
        <f t="shared" si="511"/>
        <v>530.30298696397199</v>
      </c>
      <c r="N703">
        <f t="shared" si="511"/>
        <v>657.5696752463225</v>
      </c>
      <c r="O703">
        <f t="shared" si="511"/>
        <v>384.50300710396067</v>
      </c>
      <c r="P703">
        <f t="shared" si="511"/>
        <v>605.26943103564531</v>
      </c>
      <c r="Q703">
        <f t="shared" si="511"/>
        <v>585.11381538513865</v>
      </c>
      <c r="R703">
        <f t="shared" si="511"/>
        <v>360.34110752786643</v>
      </c>
      <c r="S703">
        <f t="shared" si="511"/>
        <v>509.8711865187737</v>
      </c>
      <c r="T703">
        <f t="shared" si="511"/>
        <v>409.77688340716634</v>
      </c>
      <c r="U703">
        <f t="shared" si="511"/>
        <v>508.20122263909661</v>
      </c>
      <c r="V703">
        <f t="shared" si="511"/>
        <v>465.23578519346211</v>
      </c>
      <c r="W703">
        <f t="shared" si="511"/>
        <v>743.05198446926158</v>
      </c>
      <c r="Y703" s="15">
        <f t="shared" si="505"/>
        <v>13603.620914169776</v>
      </c>
      <c r="Z703">
        <f t="shared" si="506"/>
        <v>38.044656803055204</v>
      </c>
    </row>
    <row r="704" spans="1:26" x14ac:dyDescent="0.25">
      <c r="A704" t="s">
        <v>49</v>
      </c>
      <c r="D704">
        <f t="shared" ref="D704:W704" si="512">D95*D182</f>
        <v>1576.3523854131731</v>
      </c>
      <c r="E704">
        <f t="shared" si="512"/>
        <v>888.39934556174319</v>
      </c>
      <c r="F704">
        <f t="shared" si="512"/>
        <v>1072.7313280916844</v>
      </c>
      <c r="G704">
        <f t="shared" si="512"/>
        <v>1242.9322081660828</v>
      </c>
      <c r="H704">
        <f t="shared" si="512"/>
        <v>988.38223115277356</v>
      </c>
      <c r="I704">
        <f t="shared" si="512"/>
        <v>1057.4787353156489</v>
      </c>
      <c r="J704">
        <f t="shared" si="512"/>
        <v>880.23937948311027</v>
      </c>
      <c r="K704">
        <f t="shared" si="512"/>
        <v>1405.755862488536</v>
      </c>
      <c r="L704">
        <f t="shared" si="512"/>
        <v>612.85464021967994</v>
      </c>
      <c r="M704">
        <f t="shared" si="512"/>
        <v>1026.2472333056312</v>
      </c>
      <c r="N704">
        <f t="shared" si="512"/>
        <v>731.67907312128284</v>
      </c>
      <c r="O704">
        <f t="shared" si="512"/>
        <v>1021.8334986067982</v>
      </c>
      <c r="P704">
        <f t="shared" si="512"/>
        <v>933.76130669966335</v>
      </c>
      <c r="Q704">
        <f t="shared" si="512"/>
        <v>848.69979202833542</v>
      </c>
      <c r="R704">
        <f t="shared" si="512"/>
        <v>917.89654199481674</v>
      </c>
      <c r="S704">
        <f t="shared" si="512"/>
        <v>1145.4653639164737</v>
      </c>
      <c r="T704">
        <f t="shared" si="512"/>
        <v>1079.6372047653838</v>
      </c>
      <c r="U704">
        <f t="shared" si="512"/>
        <v>1034.4966197635272</v>
      </c>
      <c r="V704">
        <f t="shared" si="512"/>
        <v>1095.6157890978907</v>
      </c>
      <c r="W704">
        <f t="shared" si="512"/>
        <v>973.33672542412091</v>
      </c>
      <c r="Y704" s="15">
        <f t="shared" si="505"/>
        <v>20533.795264616354</v>
      </c>
      <c r="Z704">
        <f t="shared" si="506"/>
        <v>-302.43419379458976</v>
      </c>
    </row>
    <row r="705" spans="1:26" x14ac:dyDescent="0.25">
      <c r="A705" t="s">
        <v>50</v>
      </c>
      <c r="D705">
        <f t="shared" ref="D705:W705" si="513">D96*D183</f>
        <v>934.19220638552736</v>
      </c>
      <c r="E705">
        <f t="shared" si="513"/>
        <v>863.45306122448983</v>
      </c>
      <c r="F705">
        <f t="shared" si="513"/>
        <v>715.93469387755113</v>
      </c>
      <c r="G705">
        <f t="shared" si="513"/>
        <v>770.96734693877545</v>
      </c>
      <c r="H705">
        <f t="shared" si="513"/>
        <v>428.13835465094343</v>
      </c>
      <c r="I705">
        <f t="shared" si="513"/>
        <v>436.66481461410319</v>
      </c>
      <c r="J705">
        <f t="shared" si="513"/>
        <v>212.52900169185213</v>
      </c>
      <c r="K705">
        <f t="shared" si="513"/>
        <v>124.05401686224293</v>
      </c>
      <c r="L705">
        <f t="shared" si="513"/>
        <v>219.2311277811751</v>
      </c>
      <c r="M705">
        <f t="shared" si="513"/>
        <v>332.74820641959798</v>
      </c>
      <c r="N705">
        <f t="shared" si="513"/>
        <v>529.59090029167896</v>
      </c>
      <c r="O705">
        <f t="shared" si="513"/>
        <v>409.95947759432732</v>
      </c>
      <c r="P705">
        <f t="shared" si="513"/>
        <v>425.98351579133549</v>
      </c>
      <c r="Q705">
        <f t="shared" si="513"/>
        <v>571.59493657528799</v>
      </c>
      <c r="R705">
        <f t="shared" si="513"/>
        <v>503.37180658627238</v>
      </c>
      <c r="S705">
        <f t="shared" si="513"/>
        <v>475.55775986469013</v>
      </c>
      <c r="T705">
        <f t="shared" si="513"/>
        <v>549.62944796896272</v>
      </c>
      <c r="U705">
        <f t="shared" si="513"/>
        <v>472.7132602290269</v>
      </c>
      <c r="V705">
        <f t="shared" si="513"/>
        <v>447.81674705565757</v>
      </c>
      <c r="W705">
        <f t="shared" si="513"/>
        <v>1002.2561667044021</v>
      </c>
      <c r="Y705" s="15">
        <f t="shared" si="505"/>
        <v>10426.386849107901</v>
      </c>
      <c r="Z705">
        <f t="shared" si="506"/>
        <v>-20.2581809723101</v>
      </c>
    </row>
    <row r="706" spans="1:26" x14ac:dyDescent="0.25">
      <c r="A706" t="s">
        <v>51</v>
      </c>
      <c r="D706">
        <f t="shared" ref="D706:W706" si="514">D97*D184</f>
        <v>593.11786399204857</v>
      </c>
      <c r="E706">
        <f t="shared" si="514"/>
        <v>698.39934707290081</v>
      </c>
      <c r="F706">
        <f t="shared" si="514"/>
        <v>1092.5502916964376</v>
      </c>
      <c r="G706">
        <f t="shared" si="514"/>
        <v>584.17948169429587</v>
      </c>
      <c r="H706">
        <f t="shared" si="514"/>
        <v>269.77849093218896</v>
      </c>
      <c r="I706">
        <f t="shared" si="514"/>
        <v>98.730610562305003</v>
      </c>
      <c r="J706">
        <f t="shared" si="514"/>
        <v>72.158048566952544</v>
      </c>
      <c r="K706">
        <f t="shared" si="514"/>
        <v>143.75101490544478</v>
      </c>
      <c r="L706">
        <f t="shared" si="514"/>
        <v>151.86708846828756</v>
      </c>
      <c r="M706">
        <f t="shared" si="514"/>
        <v>174.50015131520746</v>
      </c>
      <c r="N706">
        <f t="shared" si="514"/>
        <v>140.40909228185953</v>
      </c>
      <c r="O706">
        <f t="shared" si="514"/>
        <v>186.90826954421189</v>
      </c>
      <c r="P706">
        <f t="shared" si="514"/>
        <v>385.49871422666416</v>
      </c>
      <c r="Q706">
        <f t="shared" si="514"/>
        <v>477.01829659626503</v>
      </c>
      <c r="R706">
        <f t="shared" si="514"/>
        <v>443.9976992155859</v>
      </c>
      <c r="S706">
        <f t="shared" si="514"/>
        <v>131.25604444119929</v>
      </c>
      <c r="T706">
        <f t="shared" si="514"/>
        <v>394.70516259774172</v>
      </c>
      <c r="U706">
        <f t="shared" si="514"/>
        <v>67.037933178008842</v>
      </c>
      <c r="V706">
        <f t="shared" si="514"/>
        <v>254.5469463002747</v>
      </c>
      <c r="W706">
        <f t="shared" si="514"/>
        <v>581.88330137941318</v>
      </c>
      <c r="Y706" s="15">
        <f t="shared" si="505"/>
        <v>6942.2938489672933</v>
      </c>
      <c r="Z706">
        <f t="shared" si="506"/>
        <v>159.90266333849482</v>
      </c>
    </row>
    <row r="707" spans="1:26" x14ac:dyDescent="0.25">
      <c r="A707" t="s">
        <v>52</v>
      </c>
      <c r="D707">
        <f t="shared" ref="D707:W707" si="515">D98*D185</f>
        <v>951.75917233258087</v>
      </c>
      <c r="E707">
        <f t="shared" si="515"/>
        <v>422.77451001048968</v>
      </c>
      <c r="F707">
        <f t="shared" si="515"/>
        <v>572.34925925857874</v>
      </c>
      <c r="G707">
        <f t="shared" si="515"/>
        <v>400.14999008205245</v>
      </c>
      <c r="H707">
        <f t="shared" si="515"/>
        <v>213.15891346680826</v>
      </c>
      <c r="I707">
        <f t="shared" si="515"/>
        <v>148.37764238911703</v>
      </c>
      <c r="J707">
        <f t="shared" si="515"/>
        <v>128.49945724107573</v>
      </c>
      <c r="K707">
        <f t="shared" si="515"/>
        <v>167.94568568474517</v>
      </c>
      <c r="L707">
        <f t="shared" si="515"/>
        <v>213.28838027779102</v>
      </c>
      <c r="M707">
        <f t="shared" si="515"/>
        <v>163.76156208129922</v>
      </c>
      <c r="N707">
        <f t="shared" si="515"/>
        <v>196.65068711143587</v>
      </c>
      <c r="O707">
        <f t="shared" si="515"/>
        <v>80.134640029215134</v>
      </c>
      <c r="P707">
        <f t="shared" si="515"/>
        <v>104.76162843437444</v>
      </c>
      <c r="Q707">
        <f t="shared" si="515"/>
        <v>606.02834876354166</v>
      </c>
      <c r="R707">
        <f t="shared" si="515"/>
        <v>436.2387890348387</v>
      </c>
      <c r="S707">
        <f t="shared" si="515"/>
        <v>189.9141190117289</v>
      </c>
      <c r="T707">
        <f t="shared" si="515"/>
        <v>94.511013026013273</v>
      </c>
      <c r="U707">
        <f t="shared" si="515"/>
        <v>203.81044079191045</v>
      </c>
      <c r="V707">
        <f t="shared" si="515"/>
        <v>237.81812889549704</v>
      </c>
      <c r="W707">
        <f t="shared" si="515"/>
        <v>372.68069306049307</v>
      </c>
      <c r="Y707" s="15">
        <f t="shared" si="505"/>
        <v>5904.6130609835882</v>
      </c>
      <c r="Z707">
        <f t="shared" si="506"/>
        <v>-178.32008433525192</v>
      </c>
    </row>
    <row r="708" spans="1:26" x14ac:dyDescent="0.25">
      <c r="A708" t="s">
        <v>53</v>
      </c>
      <c r="D708">
        <f t="shared" ref="D708:W708" si="516">D99*D186</f>
        <v>831.3984627471865</v>
      </c>
      <c r="E708">
        <f t="shared" si="516"/>
        <v>884.07448373718853</v>
      </c>
      <c r="F708">
        <f t="shared" si="516"/>
        <v>675.21127943919487</v>
      </c>
      <c r="G708">
        <f t="shared" si="516"/>
        <v>375.36708715197415</v>
      </c>
      <c r="H708">
        <f t="shared" si="516"/>
        <v>153.44321242387284</v>
      </c>
      <c r="I708">
        <f t="shared" si="516"/>
        <v>235.60045947857719</v>
      </c>
      <c r="J708">
        <f t="shared" si="516"/>
        <v>79.525190741475583</v>
      </c>
      <c r="K708">
        <f t="shared" si="516"/>
        <v>494.58731272570543</v>
      </c>
      <c r="L708">
        <f t="shared" si="516"/>
        <v>142.66844019079696</v>
      </c>
      <c r="M708">
        <f t="shared" si="516"/>
        <v>506.48693982551447</v>
      </c>
      <c r="N708">
        <f t="shared" si="516"/>
        <v>497.01768394318049</v>
      </c>
      <c r="O708">
        <f t="shared" si="516"/>
        <v>302.84129576992575</v>
      </c>
      <c r="P708">
        <f t="shared" si="516"/>
        <v>305.01762665577195</v>
      </c>
      <c r="Q708">
        <f t="shared" si="516"/>
        <v>446.32623871639913</v>
      </c>
      <c r="R708">
        <f t="shared" si="516"/>
        <v>326.27474835394383</v>
      </c>
      <c r="S708">
        <f t="shared" si="516"/>
        <v>290.9976594215824</v>
      </c>
      <c r="T708">
        <f t="shared" si="516"/>
        <v>622.41664811038265</v>
      </c>
      <c r="U708">
        <f t="shared" si="516"/>
        <v>659.17542047451184</v>
      </c>
      <c r="V708">
        <f t="shared" si="516"/>
        <v>261.38301026978172</v>
      </c>
      <c r="W708">
        <f t="shared" si="516"/>
        <v>273.42727805939523</v>
      </c>
      <c r="Y708" s="15">
        <f t="shared" si="505"/>
        <v>8363.2404782363628</v>
      </c>
      <c r="Z708">
        <f t="shared" si="506"/>
        <v>-73.835801080279793</v>
      </c>
    </row>
    <row r="709" spans="1:26" x14ac:dyDescent="0.25">
      <c r="A709" t="s">
        <v>54</v>
      </c>
      <c r="D709">
        <f t="shared" ref="D709:W709" si="517">D100*D187</f>
        <v>821.72891405656844</v>
      </c>
      <c r="E709">
        <f t="shared" si="517"/>
        <v>1123.1140155420276</v>
      </c>
      <c r="F709">
        <f t="shared" si="517"/>
        <v>864.74195053953497</v>
      </c>
      <c r="G709">
        <f t="shared" si="517"/>
        <v>774.35555318795514</v>
      </c>
      <c r="H709">
        <f t="shared" si="517"/>
        <v>661.2441912639365</v>
      </c>
      <c r="I709">
        <f t="shared" si="517"/>
        <v>807.94173380608356</v>
      </c>
      <c r="J709">
        <f t="shared" si="517"/>
        <v>411.55687504715013</v>
      </c>
      <c r="K709">
        <f t="shared" si="517"/>
        <v>266.18473941800471</v>
      </c>
      <c r="L709">
        <f t="shared" si="517"/>
        <v>303.58302771891226</v>
      </c>
      <c r="M709">
        <f t="shared" si="517"/>
        <v>321.7911163023831</v>
      </c>
      <c r="N709">
        <f t="shared" si="517"/>
        <v>145.74030774013576</v>
      </c>
      <c r="O709">
        <f t="shared" si="517"/>
        <v>162.60028212655558</v>
      </c>
      <c r="P709">
        <f t="shared" si="517"/>
        <v>115.23784456964519</v>
      </c>
      <c r="Q709">
        <f t="shared" si="517"/>
        <v>210.85246359759191</v>
      </c>
      <c r="R709">
        <f t="shared" si="517"/>
        <v>391.49432787921984</v>
      </c>
      <c r="S709">
        <f t="shared" si="517"/>
        <v>474.18934870507945</v>
      </c>
      <c r="T709">
        <f t="shared" si="517"/>
        <v>284.75137694741869</v>
      </c>
      <c r="U709">
        <f t="shared" si="517"/>
        <v>329.20728054167836</v>
      </c>
      <c r="V709">
        <f t="shared" si="517"/>
        <v>166.52883349721094</v>
      </c>
      <c r="W709">
        <f t="shared" si="517"/>
        <v>223.74325148768364</v>
      </c>
      <c r="Y709" s="15">
        <f t="shared" si="505"/>
        <v>8860.587433974777</v>
      </c>
      <c r="Z709">
        <f t="shared" si="506"/>
        <v>344.8947410409221</v>
      </c>
    </row>
    <row r="710" spans="1:26" x14ac:dyDescent="0.25">
      <c r="A710" t="s">
        <v>55</v>
      </c>
      <c r="D710">
        <f t="shared" ref="D710:W710" si="518">D101*D188</f>
        <v>607.16225854131574</v>
      </c>
      <c r="E710">
        <f t="shared" si="518"/>
        <v>607.05873645765234</v>
      </c>
      <c r="F710">
        <f t="shared" si="518"/>
        <v>878.76001542484869</v>
      </c>
      <c r="G710">
        <f t="shared" si="518"/>
        <v>592.84396988913852</v>
      </c>
      <c r="H710">
        <f t="shared" si="518"/>
        <v>417.25319713881009</v>
      </c>
      <c r="I710">
        <f t="shared" si="518"/>
        <v>519.64659075205441</v>
      </c>
      <c r="J710">
        <f t="shared" si="518"/>
        <v>358.84794218906171</v>
      </c>
      <c r="K710">
        <f t="shared" si="518"/>
        <v>157.89945050976172</v>
      </c>
      <c r="L710">
        <f t="shared" si="518"/>
        <v>382.86783333205415</v>
      </c>
      <c r="M710">
        <f t="shared" si="518"/>
        <v>110.71853472939232</v>
      </c>
      <c r="N710">
        <f t="shared" si="518"/>
        <v>382.66627465262906</v>
      </c>
      <c r="O710">
        <f t="shared" si="518"/>
        <v>148.14039632479464</v>
      </c>
      <c r="P710">
        <f t="shared" si="518"/>
        <v>265.20751023242468</v>
      </c>
      <c r="Q710">
        <f t="shared" si="518"/>
        <v>253.66269087078132</v>
      </c>
      <c r="R710">
        <f t="shared" si="518"/>
        <v>562.70405616079699</v>
      </c>
      <c r="S710">
        <f t="shared" si="518"/>
        <v>612.28647735008758</v>
      </c>
      <c r="T710">
        <f t="shared" si="518"/>
        <v>60.04122056218695</v>
      </c>
      <c r="U710">
        <f t="shared" si="518"/>
        <v>477.65388110467217</v>
      </c>
      <c r="V710">
        <f t="shared" si="518"/>
        <v>782.69944697777407</v>
      </c>
      <c r="W710">
        <f t="shared" si="518"/>
        <v>713.47158602885668</v>
      </c>
      <c r="Y710" s="15">
        <f t="shared" si="505"/>
        <v>8891.5920692290929</v>
      </c>
      <c r="Z710">
        <f t="shared" si="506"/>
        <v>181.19023084009683</v>
      </c>
    </row>
    <row r="711" spans="1:26" x14ac:dyDescent="0.25">
      <c r="A711" t="s">
        <v>56</v>
      </c>
      <c r="D711">
        <f t="shared" ref="D711:W711" si="519">D102*D189</f>
        <v>1251.031514474884</v>
      </c>
      <c r="E711">
        <f t="shared" si="519"/>
        <v>876.77142857142849</v>
      </c>
      <c r="F711">
        <f t="shared" si="519"/>
        <v>729.78571428571433</v>
      </c>
      <c r="G711">
        <f t="shared" si="519"/>
        <v>770.17142857142846</v>
      </c>
      <c r="H711">
        <f t="shared" si="519"/>
        <v>342.46587121925478</v>
      </c>
      <c r="I711">
        <f t="shared" si="519"/>
        <v>372.09252545334459</v>
      </c>
      <c r="J711">
        <f t="shared" si="519"/>
        <v>218.34162493308759</v>
      </c>
      <c r="K711">
        <f t="shared" si="519"/>
        <v>260.81974228480357</v>
      </c>
      <c r="L711">
        <f t="shared" si="519"/>
        <v>499.11483403674316</v>
      </c>
      <c r="M711">
        <f t="shared" si="519"/>
        <v>534.81507720648813</v>
      </c>
      <c r="N711">
        <f t="shared" si="519"/>
        <v>520.28837800195129</v>
      </c>
      <c r="O711">
        <f t="shared" si="519"/>
        <v>850.61481242384627</v>
      </c>
      <c r="P711">
        <f t="shared" si="519"/>
        <v>661.87610226338597</v>
      </c>
      <c r="Q711">
        <f t="shared" si="519"/>
        <v>604.94835986272869</v>
      </c>
      <c r="R711">
        <f t="shared" si="519"/>
        <v>749.56692709540403</v>
      </c>
      <c r="S711">
        <f t="shared" si="519"/>
        <v>860.27059361529609</v>
      </c>
      <c r="T711">
        <f t="shared" si="519"/>
        <v>941.74165302688209</v>
      </c>
      <c r="U711">
        <f t="shared" si="519"/>
        <v>786.61572894256108</v>
      </c>
      <c r="V711">
        <f t="shared" si="519"/>
        <v>789.53805132700165</v>
      </c>
      <c r="W711">
        <f t="shared" si="519"/>
        <v>1168.8072175286611</v>
      </c>
      <c r="Y711" s="15">
        <f t="shared" si="505"/>
        <v>13789.677585124895</v>
      </c>
      <c r="Z711">
        <f t="shared" si="506"/>
        <v>-253.97119602106261</v>
      </c>
    </row>
    <row r="712" spans="1:26" x14ac:dyDescent="0.25">
      <c r="A712" t="s">
        <v>57</v>
      </c>
      <c r="D712">
        <f t="shared" ref="D712:W712" si="520">D103*D190</f>
        <v>1003.8163265306121</v>
      </c>
      <c r="E712">
        <f t="shared" si="520"/>
        <v>1223.0999999999999</v>
      </c>
      <c r="F712">
        <f t="shared" si="520"/>
        <v>1182.3755102040818</v>
      </c>
      <c r="G712">
        <f t="shared" si="520"/>
        <v>1278.9183673469388</v>
      </c>
      <c r="H712">
        <f t="shared" si="520"/>
        <v>654.32305767512503</v>
      </c>
      <c r="I712">
        <f t="shared" si="520"/>
        <v>621.0204349583812</v>
      </c>
      <c r="J712">
        <f t="shared" si="520"/>
        <v>460.753946702419</v>
      </c>
      <c r="K712">
        <f t="shared" si="520"/>
        <v>594.30339074625067</v>
      </c>
      <c r="L712">
        <f t="shared" si="520"/>
        <v>582.38246522155748</v>
      </c>
      <c r="M712">
        <f t="shared" si="520"/>
        <v>563.7083476835262</v>
      </c>
      <c r="N712">
        <f t="shared" si="520"/>
        <v>547.62573705380305</v>
      </c>
      <c r="O712">
        <f t="shared" si="520"/>
        <v>526.67003070235251</v>
      </c>
      <c r="P712">
        <f t="shared" si="520"/>
        <v>580.8050692835443</v>
      </c>
      <c r="Q712">
        <f t="shared" si="520"/>
        <v>669.92251702255828</v>
      </c>
      <c r="R712">
        <f t="shared" si="520"/>
        <v>527.07226732703441</v>
      </c>
      <c r="S712">
        <f t="shared" si="520"/>
        <v>466.39782984703743</v>
      </c>
      <c r="T712">
        <f t="shared" si="520"/>
        <v>543.82007782806988</v>
      </c>
      <c r="U712">
        <f t="shared" si="520"/>
        <v>458.33487503116089</v>
      </c>
      <c r="V712">
        <f t="shared" si="520"/>
        <v>562.96423408427302</v>
      </c>
      <c r="W712">
        <f t="shared" si="520"/>
        <v>758.47102867071044</v>
      </c>
      <c r="Y712" s="15">
        <f t="shared" si="505"/>
        <v>13806.785513919434</v>
      </c>
      <c r="Z712">
        <f t="shared" si="506"/>
        <v>94.885745567257203</v>
      </c>
    </row>
    <row r="713" spans="1:26" x14ac:dyDescent="0.25">
      <c r="A713" t="s">
        <v>58</v>
      </c>
      <c r="D713">
        <f t="shared" ref="D713:W713" si="521">D104*D191</f>
        <v>1078.3510204081633</v>
      </c>
      <c r="E713">
        <f t="shared" si="521"/>
        <v>1194.0244897959183</v>
      </c>
      <c r="F713">
        <f t="shared" si="521"/>
        <v>747.55102040816325</v>
      </c>
      <c r="G713">
        <f t="shared" si="521"/>
        <v>548.33877551020407</v>
      </c>
      <c r="H713">
        <f t="shared" si="521"/>
        <v>678.30357170270577</v>
      </c>
      <c r="I713">
        <f t="shared" si="521"/>
        <v>575.51195620037686</v>
      </c>
      <c r="J713">
        <f t="shared" si="521"/>
        <v>505.6122590413317</v>
      </c>
      <c r="K713">
        <f t="shared" si="521"/>
        <v>604.71522812655769</v>
      </c>
      <c r="L713">
        <f t="shared" si="521"/>
        <v>520.16372451080508</v>
      </c>
      <c r="M713">
        <f t="shared" si="521"/>
        <v>834.32688923448779</v>
      </c>
      <c r="N713">
        <f t="shared" si="521"/>
        <v>849.8412344957103</v>
      </c>
      <c r="O713">
        <f t="shared" si="521"/>
        <v>888.15835103411064</v>
      </c>
      <c r="P713">
        <f t="shared" si="521"/>
        <v>487.47936989858772</v>
      </c>
      <c r="Q713">
        <f t="shared" si="521"/>
        <v>599.12014381777033</v>
      </c>
      <c r="R713">
        <f t="shared" si="521"/>
        <v>485.65128611725032</v>
      </c>
      <c r="S713">
        <f t="shared" si="521"/>
        <v>766.07166853037415</v>
      </c>
      <c r="T713">
        <f t="shared" si="521"/>
        <v>967.15963267939856</v>
      </c>
      <c r="U713">
        <f t="shared" si="521"/>
        <v>1090.3664145536477</v>
      </c>
      <c r="V713">
        <f t="shared" si="521"/>
        <v>1186.3174374626487</v>
      </c>
      <c r="W713">
        <f t="shared" si="521"/>
        <v>1190.0931435211849</v>
      </c>
      <c r="Y713" s="15">
        <f t="shared" si="505"/>
        <v>15797.157617049397</v>
      </c>
      <c r="Z713">
        <f t="shared" si="506"/>
        <v>-131.26981678065764</v>
      </c>
    </row>
    <row r="714" spans="1:26" x14ac:dyDescent="0.25">
      <c r="A714" t="s">
        <v>59</v>
      </c>
      <c r="D714">
        <f t="shared" ref="D714:W714" si="522">D105*D192</f>
        <v>735.37400074549134</v>
      </c>
      <c r="E714">
        <f t="shared" si="522"/>
        <v>745.32396089010672</v>
      </c>
      <c r="F714">
        <f t="shared" si="522"/>
        <v>896.72876841860079</v>
      </c>
      <c r="G714">
        <f t="shared" si="522"/>
        <v>1419.4548859428485</v>
      </c>
      <c r="H714">
        <f t="shared" si="522"/>
        <v>1335.2839355399037</v>
      </c>
      <c r="I714">
        <f t="shared" si="522"/>
        <v>2426.1330264119433</v>
      </c>
      <c r="J714">
        <f t="shared" si="522"/>
        <v>1709.2491212003199</v>
      </c>
      <c r="K714">
        <f t="shared" si="522"/>
        <v>837.22463931724894</v>
      </c>
      <c r="L714">
        <f t="shared" si="522"/>
        <v>849.79871929007038</v>
      </c>
      <c r="M714">
        <f t="shared" si="522"/>
        <v>767.45233313456606</v>
      </c>
      <c r="N714">
        <f t="shared" si="522"/>
        <v>1183.7669277147152</v>
      </c>
      <c r="O714">
        <f t="shared" si="522"/>
        <v>921.32513222118951</v>
      </c>
      <c r="P714">
        <f t="shared" si="522"/>
        <v>818.75523683727988</v>
      </c>
      <c r="Q714">
        <f t="shared" si="522"/>
        <v>594.44018019393116</v>
      </c>
      <c r="R714">
        <f t="shared" si="522"/>
        <v>658.58513798373679</v>
      </c>
      <c r="S714">
        <f t="shared" si="522"/>
        <v>547.53435251762244</v>
      </c>
      <c r="T714">
        <f t="shared" si="522"/>
        <v>540.06113079466775</v>
      </c>
      <c r="U714">
        <f t="shared" si="522"/>
        <v>544.51870118117449</v>
      </c>
      <c r="V714">
        <f t="shared" si="522"/>
        <v>476.35746954658748</v>
      </c>
      <c r="W714">
        <f t="shared" si="522"/>
        <v>407.49534270015027</v>
      </c>
      <c r="Y714" s="15">
        <f t="shared" si="505"/>
        <v>18414.863002582151</v>
      </c>
      <c r="Z714">
        <f t="shared" si="506"/>
        <v>-136.39270764024857</v>
      </c>
    </row>
    <row r="715" spans="1:26" x14ac:dyDescent="0.25">
      <c r="A715" t="s">
        <v>60</v>
      </c>
      <c r="D715">
        <f t="shared" ref="D715:W715" si="523">D106*D193</f>
        <v>478.36469091510105</v>
      </c>
      <c r="E715">
        <f t="shared" si="523"/>
        <v>970.17232867590087</v>
      </c>
      <c r="F715">
        <f t="shared" si="523"/>
        <v>1723.9418858084082</v>
      </c>
      <c r="G715">
        <f t="shared" si="523"/>
        <v>892.42494371470912</v>
      </c>
      <c r="H715">
        <f t="shared" si="523"/>
        <v>937.14046103925295</v>
      </c>
      <c r="I715">
        <f t="shared" si="523"/>
        <v>862.43523722455427</v>
      </c>
      <c r="J715">
        <f t="shared" si="523"/>
        <v>1219.7918049665973</v>
      </c>
      <c r="K715">
        <f t="shared" si="523"/>
        <v>1382.5009783291346</v>
      </c>
      <c r="L715">
        <f t="shared" si="523"/>
        <v>801.93468935413705</v>
      </c>
      <c r="M715">
        <f t="shared" si="523"/>
        <v>878.53415839130798</v>
      </c>
      <c r="N715">
        <f t="shared" si="523"/>
        <v>679.26162630136184</v>
      </c>
      <c r="O715">
        <f t="shared" si="523"/>
        <v>875.5833480094293</v>
      </c>
      <c r="P715">
        <f t="shared" si="523"/>
        <v>828.77160666772011</v>
      </c>
      <c r="Q715">
        <f t="shared" si="523"/>
        <v>794.67755053886071</v>
      </c>
      <c r="R715">
        <f t="shared" si="523"/>
        <v>934.97641492292496</v>
      </c>
      <c r="S715">
        <f t="shared" si="523"/>
        <v>674.7018904750081</v>
      </c>
      <c r="T715">
        <f t="shared" si="523"/>
        <v>546.02340759714662</v>
      </c>
      <c r="U715">
        <f t="shared" si="523"/>
        <v>559.77182914577065</v>
      </c>
      <c r="V715">
        <f t="shared" si="523"/>
        <v>652.19546057578634</v>
      </c>
      <c r="W715">
        <f t="shared" si="523"/>
        <v>601.88764676824337</v>
      </c>
      <c r="Y715" s="15">
        <f t="shared" si="505"/>
        <v>17295.091959421356</v>
      </c>
      <c r="Z715">
        <f t="shared" si="506"/>
        <v>128.04798748458359</v>
      </c>
    </row>
    <row r="716" spans="1:26" x14ac:dyDescent="0.25">
      <c r="A716" t="s">
        <v>61</v>
      </c>
      <c r="D716">
        <f t="shared" ref="D716:W716" si="524">D107*D194</f>
        <v>932.02157817304567</v>
      </c>
      <c r="E716">
        <f t="shared" si="524"/>
        <v>1108.6537008764492</v>
      </c>
      <c r="F716">
        <f t="shared" si="524"/>
        <v>1566.3523032069795</v>
      </c>
      <c r="G716">
        <f t="shared" si="524"/>
        <v>1533.673701280929</v>
      </c>
      <c r="H716">
        <f t="shared" si="524"/>
        <v>1593.7832150849115</v>
      </c>
      <c r="I716">
        <f t="shared" si="524"/>
        <v>990.40240575564167</v>
      </c>
      <c r="J716">
        <f t="shared" si="524"/>
        <v>750.63240357393806</v>
      </c>
      <c r="K716">
        <f t="shared" si="524"/>
        <v>708.07973083959814</v>
      </c>
      <c r="L716">
        <f t="shared" si="524"/>
        <v>921.36728111671221</v>
      </c>
      <c r="M716">
        <f t="shared" si="524"/>
        <v>475.37078357603451</v>
      </c>
      <c r="N716">
        <f t="shared" si="524"/>
        <v>780.05290427819864</v>
      </c>
      <c r="O716">
        <f t="shared" si="524"/>
        <v>1400.2018788488263</v>
      </c>
      <c r="P716">
        <f t="shared" si="524"/>
        <v>891.71435933502335</v>
      </c>
      <c r="Q716">
        <f t="shared" si="524"/>
        <v>773.28958907923675</v>
      </c>
      <c r="R716">
        <f t="shared" si="524"/>
        <v>973.89370535963474</v>
      </c>
      <c r="S716">
        <f t="shared" si="524"/>
        <v>893.53914741535209</v>
      </c>
      <c r="T716">
        <f t="shared" si="524"/>
        <v>507.84262115769417</v>
      </c>
      <c r="U716">
        <f t="shared" si="524"/>
        <v>708.2006926742323</v>
      </c>
      <c r="V716">
        <f t="shared" si="524"/>
        <v>685.22389467358471</v>
      </c>
      <c r="W716">
        <f t="shared" si="524"/>
        <v>606.14910040614802</v>
      </c>
      <c r="Y716" s="15">
        <f t="shared" si="505"/>
        <v>18800.444996712169</v>
      </c>
      <c r="Z716">
        <f t="shared" si="506"/>
        <v>274.94316350324283</v>
      </c>
    </row>
    <row r="717" spans="1:26" x14ac:dyDescent="0.25">
      <c r="A717" t="s">
        <v>62</v>
      </c>
      <c r="D717">
        <f t="shared" ref="D717:W717" si="525">D108*D195</f>
        <v>740.15639924604045</v>
      </c>
      <c r="E717">
        <f t="shared" si="525"/>
        <v>874.25754446253461</v>
      </c>
      <c r="F717">
        <f t="shared" si="525"/>
        <v>748.06711595988349</v>
      </c>
      <c r="G717">
        <f t="shared" si="525"/>
        <v>715.6906790348628</v>
      </c>
      <c r="H717">
        <f t="shared" si="525"/>
        <v>972.57720019427791</v>
      </c>
      <c r="I717">
        <f t="shared" si="525"/>
        <v>1164.5826881152725</v>
      </c>
      <c r="J717">
        <f t="shared" si="525"/>
        <v>742.74593426228</v>
      </c>
      <c r="K717">
        <f t="shared" si="525"/>
        <v>1026.6453987087907</v>
      </c>
      <c r="L717">
        <f t="shared" si="525"/>
        <v>864.69918560032568</v>
      </c>
      <c r="M717">
        <f t="shared" si="525"/>
        <v>946.95567070350478</v>
      </c>
      <c r="N717">
        <f t="shared" si="525"/>
        <v>510.72645564235756</v>
      </c>
      <c r="O717">
        <f t="shared" si="525"/>
        <v>547.65325827722017</v>
      </c>
      <c r="P717">
        <f t="shared" si="525"/>
        <v>595.22145571491922</v>
      </c>
      <c r="Q717">
        <f t="shared" si="525"/>
        <v>661.25448727778394</v>
      </c>
      <c r="R717">
        <f t="shared" si="525"/>
        <v>373.41182612395016</v>
      </c>
      <c r="S717">
        <f t="shared" si="525"/>
        <v>589.75772196254275</v>
      </c>
      <c r="T717">
        <f t="shared" si="525"/>
        <v>560.49698640318763</v>
      </c>
      <c r="U717">
        <f t="shared" si="525"/>
        <v>719.75186160506485</v>
      </c>
      <c r="V717">
        <f t="shared" si="525"/>
        <v>757.42078364062274</v>
      </c>
      <c r="W717">
        <f t="shared" si="525"/>
        <v>607.50788724993538</v>
      </c>
      <c r="Y717" s="15">
        <f t="shared" si="505"/>
        <v>14719.580540185359</v>
      </c>
      <c r="Z717">
        <f t="shared" si="506"/>
        <v>-39.722732952662341</v>
      </c>
    </row>
    <row r="718" spans="1:26" x14ac:dyDescent="0.25">
      <c r="Y718" s="15"/>
    </row>
    <row r="719" spans="1:26" x14ac:dyDescent="0.25">
      <c r="A719" t="s">
        <v>63</v>
      </c>
      <c r="D719">
        <f t="shared" ref="D719:W719" si="526">D110*D197</f>
        <v>677.13101041434584</v>
      </c>
      <c r="E719">
        <f t="shared" si="526"/>
        <v>603.33061551702258</v>
      </c>
      <c r="F719">
        <f t="shared" si="526"/>
        <v>565.77377755586576</v>
      </c>
      <c r="G719">
        <f t="shared" si="526"/>
        <v>561.3896736312721</v>
      </c>
      <c r="H719">
        <f t="shared" si="526"/>
        <v>692.44790100082639</v>
      </c>
      <c r="I719">
        <f t="shared" si="526"/>
        <v>766.84515155885583</v>
      </c>
      <c r="J719">
        <f t="shared" si="526"/>
        <v>537.76618387878841</v>
      </c>
      <c r="K719">
        <f t="shared" si="526"/>
        <v>680.24416622010779</v>
      </c>
      <c r="L719">
        <f t="shared" si="526"/>
        <v>523.42243789481256</v>
      </c>
      <c r="M719">
        <f t="shared" si="526"/>
        <v>482.91914028301204</v>
      </c>
      <c r="N719">
        <f t="shared" si="526"/>
        <v>518.63656668536009</v>
      </c>
      <c r="O719">
        <f t="shared" si="526"/>
        <v>488.64096574466464</v>
      </c>
      <c r="P719">
        <f t="shared" si="526"/>
        <v>470.95649772571505</v>
      </c>
      <c r="Q719">
        <f t="shared" si="526"/>
        <v>549.28793000988674</v>
      </c>
      <c r="R719">
        <f t="shared" si="526"/>
        <v>547.28752458624365</v>
      </c>
      <c r="S719">
        <f t="shared" si="526"/>
        <v>531.22339782297661</v>
      </c>
      <c r="T719">
        <f t="shared" si="526"/>
        <v>557.633792564651</v>
      </c>
      <c r="U719">
        <f t="shared" si="526"/>
        <v>542.28788650751994</v>
      </c>
      <c r="V719">
        <f t="shared" si="526"/>
        <v>561.26109028613189</v>
      </c>
      <c r="W719">
        <f t="shared" si="526"/>
        <v>692.58849998451376</v>
      </c>
      <c r="Y719" s="15">
        <f t="shared" si="505"/>
        <v>11551.074209872573</v>
      </c>
      <c r="Z719">
        <f>SUMPRODUCT($D$723:$S$723,D719:S719)</f>
        <v>-74.276397669902366</v>
      </c>
    </row>
    <row r="720" spans="1:26" x14ac:dyDescent="0.25">
      <c r="A720" t="s">
        <v>307</v>
      </c>
      <c r="D720">
        <f t="shared" ref="D720:W720" si="527">D111*D198</f>
        <v>1583.504081632653</v>
      </c>
      <c r="E720">
        <f t="shared" si="527"/>
        <v>1003.6</v>
      </c>
      <c r="F720">
        <f t="shared" si="527"/>
        <v>749.3599999999999</v>
      </c>
      <c r="G720">
        <f t="shared" si="527"/>
        <v>640.92000000000007</v>
      </c>
      <c r="H720">
        <f t="shared" si="527"/>
        <v>1108.74693877551</v>
      </c>
      <c r="I720">
        <f t="shared" si="527"/>
        <v>1157.0510204081631</v>
      </c>
      <c r="J720">
        <f t="shared" si="527"/>
        <v>1049.742857142857</v>
      </c>
      <c r="K720">
        <f t="shared" si="527"/>
        <v>1015.3102040816327</v>
      </c>
      <c r="L720">
        <f t="shared" si="527"/>
        <v>948.1484375</v>
      </c>
      <c r="M720">
        <f t="shared" si="527"/>
        <v>1257.8</v>
      </c>
      <c r="N720">
        <f t="shared" si="527"/>
        <v>1127.1836734693877</v>
      </c>
      <c r="O720">
        <f t="shared" si="527"/>
        <v>874.21224489795918</v>
      </c>
      <c r="P720">
        <f t="shared" si="527"/>
        <v>1552</v>
      </c>
      <c r="Q720">
        <f t="shared" si="527"/>
        <v>1246.2</v>
      </c>
      <c r="R720">
        <f t="shared" si="527"/>
        <v>1035.3</v>
      </c>
      <c r="S720">
        <f t="shared" si="527"/>
        <v>997.6</v>
      </c>
      <c r="T720">
        <f t="shared" si="527"/>
        <v>660.30000000000007</v>
      </c>
      <c r="U720">
        <f t="shared" si="527"/>
        <v>564.19999999999993</v>
      </c>
      <c r="V720">
        <f t="shared" si="527"/>
        <v>608.11999999999989</v>
      </c>
      <c r="W720">
        <f t="shared" si="527"/>
        <v>746.93</v>
      </c>
      <c r="Y720" s="15">
        <f t="shared" si="505"/>
        <v>19926.229457908161</v>
      </c>
      <c r="Z720">
        <f>SUMPRODUCT($D$723:$S$723,D720:S720)</f>
        <v>-665.06658529782226</v>
      </c>
    </row>
    <row r="721" spans="1:26" x14ac:dyDescent="0.25">
      <c r="A721" t="s">
        <v>308</v>
      </c>
      <c r="D721">
        <f t="shared" ref="D721:W721" si="528">D112*D199</f>
        <v>835.41518078601632</v>
      </c>
      <c r="E721">
        <f t="shared" si="528"/>
        <v>873.11999999999989</v>
      </c>
      <c r="F721">
        <f t="shared" si="528"/>
        <v>678.24</v>
      </c>
      <c r="G721">
        <f t="shared" si="528"/>
        <v>541.99</v>
      </c>
      <c r="H721">
        <f t="shared" si="528"/>
        <v>876.88</v>
      </c>
      <c r="I721">
        <f t="shared" si="528"/>
        <v>922.14</v>
      </c>
      <c r="J721">
        <f t="shared" si="528"/>
        <v>624.12</v>
      </c>
      <c r="K721">
        <f t="shared" si="528"/>
        <v>906.2600000000001</v>
      </c>
      <c r="L721">
        <f t="shared" si="528"/>
        <v>985.51999999999987</v>
      </c>
      <c r="M721">
        <f t="shared" si="528"/>
        <v>928.48</v>
      </c>
      <c r="N721">
        <f t="shared" si="528"/>
        <v>939.36000000000013</v>
      </c>
      <c r="O721">
        <f t="shared" si="528"/>
        <v>806.49</v>
      </c>
      <c r="P721">
        <f t="shared" si="528"/>
        <v>675.36730634873277</v>
      </c>
      <c r="Q721">
        <f t="shared" si="528"/>
        <v>667.98555302920693</v>
      </c>
      <c r="R721">
        <f t="shared" si="528"/>
        <v>655.33541774216746</v>
      </c>
      <c r="S721">
        <f t="shared" si="528"/>
        <v>615.72270410265776</v>
      </c>
      <c r="T721">
        <f t="shared" si="528"/>
        <v>642.5885912902869</v>
      </c>
      <c r="U721">
        <f t="shared" si="528"/>
        <v>661.26689322120865</v>
      </c>
      <c r="V721">
        <f t="shared" si="528"/>
        <v>716.07591640156443</v>
      </c>
      <c r="W721">
        <f t="shared" si="528"/>
        <v>735.72084916351116</v>
      </c>
      <c r="Y721" s="15">
        <f t="shared" si="505"/>
        <v>15288.078412085355</v>
      </c>
      <c r="Z721">
        <f>SUMPRODUCT($D$723:$S$723,D721:S721)</f>
        <v>-264.68372563413618</v>
      </c>
    </row>
    <row r="722" spans="1:26" x14ac:dyDescent="0.25">
      <c r="A722" t="s">
        <v>670</v>
      </c>
      <c r="D722">
        <f t="shared" ref="D722:W722" si="529">D113*D200</f>
        <v>782.83197616351049</v>
      </c>
      <c r="E722">
        <f t="shared" si="529"/>
        <v>952.98640840279938</v>
      </c>
      <c r="F722">
        <f t="shared" si="529"/>
        <v>865.05693496039885</v>
      </c>
      <c r="G722">
        <f t="shared" si="529"/>
        <v>869.60848786369195</v>
      </c>
      <c r="H722">
        <f t="shared" si="529"/>
        <v>758.19260612416235</v>
      </c>
      <c r="I722">
        <f t="shared" si="529"/>
        <v>702.04092149614337</v>
      </c>
      <c r="J722">
        <f t="shared" si="529"/>
        <v>523.42100993820247</v>
      </c>
      <c r="K722">
        <f t="shared" si="529"/>
        <v>463.57051611467324</v>
      </c>
      <c r="L722">
        <f t="shared" si="529"/>
        <v>465.03429891681031</v>
      </c>
      <c r="M722">
        <f t="shared" si="529"/>
        <v>789.68065082750672</v>
      </c>
      <c r="N722">
        <f t="shared" si="529"/>
        <v>820.48727734087311</v>
      </c>
      <c r="O722">
        <f t="shared" si="529"/>
        <v>888.57237017304408</v>
      </c>
      <c r="P722">
        <f t="shared" si="529"/>
        <v>592.01472557978479</v>
      </c>
      <c r="Q722">
        <f t="shared" si="529"/>
        <v>570.58236562233515</v>
      </c>
      <c r="R722">
        <f t="shared" si="529"/>
        <v>688.46602137716093</v>
      </c>
      <c r="S722">
        <f t="shared" si="529"/>
        <v>690.49476705244251</v>
      </c>
      <c r="T722">
        <f t="shared" si="529"/>
        <v>567.38972696222982</v>
      </c>
      <c r="U722">
        <f t="shared" si="529"/>
        <v>555.45066361769489</v>
      </c>
      <c r="V722">
        <f t="shared" si="529"/>
        <v>559.16730644970244</v>
      </c>
      <c r="W722">
        <f t="shared" si="529"/>
        <v>657.19341902799113</v>
      </c>
      <c r="Y722" s="15">
        <f t="shared" ref="Y722" si="530">SUM(D722:W722)</f>
        <v>13762.242454011162</v>
      </c>
      <c r="Z722">
        <f>SUMPRODUCT($D$723:$S$723,D722:S722)</f>
        <v>-57.300051221152785</v>
      </c>
    </row>
    <row r="723" spans="1:26" x14ac:dyDescent="0.25">
      <c r="A723" s="2" t="s">
        <v>64</v>
      </c>
      <c r="D723" s="3">
        <f>CORREL($B$2:$B$21,D698:D717)</f>
        <v>-0.37453633727419294</v>
      </c>
      <c r="E723" s="3">
        <f t="shared" ref="E723:W723" si="531">CORREL($B$2:$B$21,E698:E717)</f>
        <v>0.3141901047741894</v>
      </c>
      <c r="F723" s="3">
        <f t="shared" si="531"/>
        <v>0.24139573778223955</v>
      </c>
      <c r="G723" s="3">
        <f t="shared" si="531"/>
        <v>4.1873473850582973E-2</v>
      </c>
      <c r="H723" s="3">
        <f t="shared" si="531"/>
        <v>0.25791459441493059</v>
      </c>
      <c r="I723" s="3">
        <f t="shared" si="531"/>
        <v>7.5722349281413873E-2</v>
      </c>
      <c r="J723" s="3">
        <f t="shared" si="531"/>
        <v>-0.15788178425176189</v>
      </c>
      <c r="K723" s="3">
        <f t="shared" si="531"/>
        <v>3.1632694548545594E-2</v>
      </c>
      <c r="L723" s="3">
        <f t="shared" si="531"/>
        <v>-0.14608049046705909</v>
      </c>
      <c r="M723" s="3">
        <f t="shared" si="531"/>
        <v>-0.24518245678507716</v>
      </c>
      <c r="N723" s="3">
        <f t="shared" si="531"/>
        <v>-0.14759890441196766</v>
      </c>
      <c r="O723" s="3">
        <f t="shared" si="531"/>
        <v>-0.10737648843110048</v>
      </c>
      <c r="P723" s="3">
        <f t="shared" si="531"/>
        <v>-0.11358560906004873</v>
      </c>
      <c r="Q723" s="3">
        <f t="shared" si="531"/>
        <v>-6.6416139161603813E-2</v>
      </c>
      <c r="R723" s="3">
        <f t="shared" si="531"/>
        <v>-0.10339238285902216</v>
      </c>
      <c r="S723" s="3">
        <f t="shared" si="531"/>
        <v>0.23880915967323529</v>
      </c>
      <c r="T723" s="3">
        <f t="shared" si="531"/>
        <v>-0.10019768249474229</v>
      </c>
      <c r="U723" s="3">
        <f t="shared" si="531"/>
        <v>4.6661687224590846E-2</v>
      </c>
      <c r="V723" s="3">
        <f t="shared" si="531"/>
        <v>-6.0457693231504295E-2</v>
      </c>
      <c r="W723" s="3">
        <f t="shared" si="531"/>
        <v>-0.16067671438891326</v>
      </c>
    </row>
    <row r="726" spans="1:26" x14ac:dyDescent="0.25">
      <c r="D726" t="s">
        <v>273</v>
      </c>
      <c r="E726" t="s">
        <v>274</v>
      </c>
      <c r="F726" t="s">
        <v>275</v>
      </c>
      <c r="G726" t="s">
        <v>276</v>
      </c>
      <c r="H726" t="s">
        <v>277</v>
      </c>
      <c r="I726" t="s">
        <v>278</v>
      </c>
      <c r="J726" t="s">
        <v>279</v>
      </c>
      <c r="K726" t="s">
        <v>280</v>
      </c>
      <c r="L726" t="s">
        <v>358</v>
      </c>
      <c r="M726" t="s">
        <v>436</v>
      </c>
      <c r="N726" t="s">
        <v>437</v>
      </c>
      <c r="O726" t="s">
        <v>438</v>
      </c>
      <c r="P726" t="s">
        <v>546</v>
      </c>
      <c r="Q726" t="s">
        <v>547</v>
      </c>
      <c r="R726" t="s">
        <v>548</v>
      </c>
      <c r="S726" t="s">
        <v>549</v>
      </c>
      <c r="T726" t="s">
        <v>658</v>
      </c>
      <c r="U726" t="s">
        <v>659</v>
      </c>
      <c r="V726" t="s">
        <v>660</v>
      </c>
      <c r="W726" t="s">
        <v>661</v>
      </c>
      <c r="Y726" t="s">
        <v>281</v>
      </c>
      <c r="Z726" t="s">
        <v>282</v>
      </c>
    </row>
    <row r="727" spans="1:26" x14ac:dyDescent="0.25">
      <c r="A727" t="s">
        <v>43</v>
      </c>
      <c r="D727">
        <f t="shared" ref="D727:W727" si="532">D118*D147</f>
        <v>839.72626078319774</v>
      </c>
      <c r="E727">
        <f t="shared" si="532"/>
        <v>211.73061224489794</v>
      </c>
      <c r="F727">
        <f t="shared" si="532"/>
        <v>350.89387755102041</v>
      </c>
      <c r="G727">
        <f t="shared" si="532"/>
        <v>493.53265306122455</v>
      </c>
      <c r="H727">
        <f t="shared" si="532"/>
        <v>532.44625701263533</v>
      </c>
      <c r="I727">
        <f t="shared" si="532"/>
        <v>687.38040584788041</v>
      </c>
      <c r="J727">
        <f t="shared" si="532"/>
        <v>443.20732240598215</v>
      </c>
      <c r="K727">
        <f t="shared" si="532"/>
        <v>511.88005742589877</v>
      </c>
      <c r="L727">
        <f t="shared" si="532"/>
        <v>466.23997616411293</v>
      </c>
      <c r="M727">
        <f t="shared" si="532"/>
        <v>535.52439312077342</v>
      </c>
      <c r="N727">
        <f t="shared" si="532"/>
        <v>546.98256785104047</v>
      </c>
      <c r="O727">
        <f t="shared" si="532"/>
        <v>453.53845073750171</v>
      </c>
      <c r="P727">
        <f t="shared" si="532"/>
        <v>377.85488946360442</v>
      </c>
      <c r="Q727">
        <f t="shared" si="532"/>
        <v>317.46411119094728</v>
      </c>
      <c r="R727">
        <f t="shared" si="532"/>
        <v>247.92766397792073</v>
      </c>
      <c r="S727">
        <f t="shared" si="532"/>
        <v>199.66302899928075</v>
      </c>
      <c r="T727">
        <f t="shared" si="532"/>
        <v>285.18962521950755</v>
      </c>
      <c r="U727">
        <f t="shared" si="532"/>
        <v>455.28810017372041</v>
      </c>
      <c r="V727">
        <f t="shared" si="532"/>
        <v>337.7370373540644</v>
      </c>
      <c r="W727">
        <f t="shared" si="532"/>
        <v>610.23381445592656</v>
      </c>
      <c r="Y727" s="15">
        <f t="shared" ref="Y727:Y750" si="533">SUM(D727:W727)</f>
        <v>8904.44110504114</v>
      </c>
      <c r="Z727">
        <f t="shared" ref="Z727:Z746" si="534">SUMPRODUCT($D$752:$S$752,D727:S727)</f>
        <v>-1017.1224587433964</v>
      </c>
    </row>
    <row r="728" spans="1:26" x14ac:dyDescent="0.25">
      <c r="A728" t="s">
        <v>44</v>
      </c>
      <c r="D728">
        <f t="shared" ref="D728:W728" si="535">D119*D148</f>
        <v>453.46938775510205</v>
      </c>
      <c r="E728">
        <f t="shared" si="535"/>
        <v>419.67346938775512</v>
      </c>
      <c r="F728">
        <f t="shared" si="535"/>
        <v>609.62448979591841</v>
      </c>
      <c r="G728">
        <f t="shared" si="535"/>
        <v>783.52448979591838</v>
      </c>
      <c r="H728">
        <f t="shared" si="535"/>
        <v>2104.505037465141</v>
      </c>
      <c r="I728">
        <f t="shared" si="535"/>
        <v>1884.8681031429503</v>
      </c>
      <c r="J728">
        <f t="shared" si="535"/>
        <v>1584.1141254208007</v>
      </c>
      <c r="K728">
        <f t="shared" si="535"/>
        <v>1426.7702468381199</v>
      </c>
      <c r="L728">
        <f t="shared" si="535"/>
        <v>1618.0695925579259</v>
      </c>
      <c r="M728">
        <f t="shared" si="535"/>
        <v>227.07458780404139</v>
      </c>
      <c r="N728">
        <f t="shared" si="535"/>
        <v>291.16860659226904</v>
      </c>
      <c r="O728">
        <f t="shared" si="535"/>
        <v>302.58124529646517</v>
      </c>
      <c r="P728">
        <f t="shared" si="535"/>
        <v>346.01123418963977</v>
      </c>
      <c r="Q728">
        <f t="shared" si="535"/>
        <v>419.75906634428185</v>
      </c>
      <c r="R728">
        <f t="shared" si="535"/>
        <v>280.96505713050556</v>
      </c>
      <c r="S728">
        <f t="shared" si="535"/>
        <v>164.80591269767453</v>
      </c>
      <c r="T728">
        <f t="shared" si="535"/>
        <v>218.73935615667207</v>
      </c>
      <c r="U728">
        <f t="shared" si="535"/>
        <v>176.5294482109588</v>
      </c>
      <c r="V728">
        <f t="shared" si="535"/>
        <v>276.97622057739119</v>
      </c>
      <c r="W728">
        <f t="shared" si="535"/>
        <v>206.41032420229115</v>
      </c>
      <c r="Y728" s="15">
        <f t="shared" si="533"/>
        <v>13795.640001361824</v>
      </c>
      <c r="Z728">
        <f t="shared" si="534"/>
        <v>-1534.6665258156995</v>
      </c>
    </row>
    <row r="729" spans="1:26" x14ac:dyDescent="0.25">
      <c r="A729" t="s">
        <v>45</v>
      </c>
      <c r="D729">
        <f t="shared" ref="D729:W729" si="536">D120*D149</f>
        <v>829.58237721305557</v>
      </c>
      <c r="E729">
        <f t="shared" si="536"/>
        <v>279.38775510204079</v>
      </c>
      <c r="F729">
        <f t="shared" si="536"/>
        <v>434.57142857142861</v>
      </c>
      <c r="G729">
        <f t="shared" si="536"/>
        <v>255.62653061224492</v>
      </c>
      <c r="H729">
        <f t="shared" si="536"/>
        <v>620.18125981641549</v>
      </c>
      <c r="I729">
        <f t="shared" si="536"/>
        <v>507.11483086874313</v>
      </c>
      <c r="J729">
        <f t="shared" si="536"/>
        <v>403.65948965046573</v>
      </c>
      <c r="K729">
        <f t="shared" si="536"/>
        <v>416.45150169959015</v>
      </c>
      <c r="L729">
        <f t="shared" si="536"/>
        <v>385.17542659205037</v>
      </c>
      <c r="M729">
        <f t="shared" si="536"/>
        <v>165.35118954263558</v>
      </c>
      <c r="N729">
        <f t="shared" si="536"/>
        <v>161.93612228157986</v>
      </c>
      <c r="O729">
        <f t="shared" si="536"/>
        <v>175.55285756620341</v>
      </c>
      <c r="P729">
        <f t="shared" si="536"/>
        <v>133.10000859334079</v>
      </c>
      <c r="Q729">
        <f t="shared" si="536"/>
        <v>133.28343716916581</v>
      </c>
      <c r="R729">
        <f t="shared" si="536"/>
        <v>135.72828888658881</v>
      </c>
      <c r="S729">
        <f t="shared" si="536"/>
        <v>123.70376117920448</v>
      </c>
      <c r="T729">
        <f t="shared" si="536"/>
        <v>67.529528559523811</v>
      </c>
      <c r="U729">
        <f t="shared" si="536"/>
        <v>507.38095582309876</v>
      </c>
      <c r="V729">
        <f t="shared" si="536"/>
        <v>387.18588703363946</v>
      </c>
      <c r="W729">
        <f t="shared" si="536"/>
        <v>520.76351100054069</v>
      </c>
      <c r="Y729" s="15">
        <f t="shared" si="533"/>
        <v>6643.2661477615566</v>
      </c>
      <c r="Z729">
        <f t="shared" si="534"/>
        <v>-535.57225887072514</v>
      </c>
    </row>
    <row r="730" spans="1:26" x14ac:dyDescent="0.25">
      <c r="A730" t="s">
        <v>46</v>
      </c>
      <c r="D730">
        <f t="shared" ref="D730:W730" si="537">D121*D150</f>
        <v>809.06269586298379</v>
      </c>
      <c r="E730">
        <f t="shared" si="537"/>
        <v>571.64199784227935</v>
      </c>
      <c r="F730">
        <f t="shared" si="537"/>
        <v>330.48004743929738</v>
      </c>
      <c r="G730">
        <f t="shared" si="537"/>
        <v>246.89361765849802</v>
      </c>
      <c r="H730">
        <f t="shared" si="537"/>
        <v>435.573360533455</v>
      </c>
      <c r="I730">
        <f t="shared" si="537"/>
        <v>276.99219586251729</v>
      </c>
      <c r="J730">
        <f t="shared" si="537"/>
        <v>587.89070516811546</v>
      </c>
      <c r="K730">
        <f t="shared" si="537"/>
        <v>448.85845623904839</v>
      </c>
      <c r="L730">
        <f t="shared" si="537"/>
        <v>687.09602691340899</v>
      </c>
      <c r="M730">
        <f t="shared" si="537"/>
        <v>920.58967654243975</v>
      </c>
      <c r="N730">
        <f t="shared" si="537"/>
        <v>548.11124360321548</v>
      </c>
      <c r="O730">
        <f t="shared" si="537"/>
        <v>655.89702937792492</v>
      </c>
      <c r="P730">
        <f t="shared" si="537"/>
        <v>410.71899454952558</v>
      </c>
      <c r="Q730">
        <f t="shared" si="537"/>
        <v>251.75112171472412</v>
      </c>
      <c r="R730">
        <f t="shared" si="537"/>
        <v>232.24131562737779</v>
      </c>
      <c r="S730">
        <f t="shared" si="537"/>
        <v>164.67709235518711</v>
      </c>
      <c r="T730">
        <f t="shared" si="537"/>
        <v>388.60345031691043</v>
      </c>
      <c r="U730">
        <f t="shared" si="537"/>
        <v>248.49875304826398</v>
      </c>
      <c r="V730">
        <f t="shared" si="537"/>
        <v>429.36316904040621</v>
      </c>
      <c r="W730">
        <f t="shared" si="537"/>
        <v>530.54792807341119</v>
      </c>
      <c r="Y730" s="15">
        <f t="shared" si="533"/>
        <v>9175.4888777689866</v>
      </c>
      <c r="Z730">
        <f t="shared" si="534"/>
        <v>-1175.1581895715631</v>
      </c>
    </row>
    <row r="731" spans="1:26" x14ac:dyDescent="0.25">
      <c r="A731" t="s">
        <v>47</v>
      </c>
      <c r="D731">
        <f t="shared" ref="D731:W731" si="538">D122*D151</f>
        <v>645.704167508007</v>
      </c>
      <c r="E731">
        <f t="shared" si="538"/>
        <v>493.26424628425212</v>
      </c>
      <c r="F731">
        <f t="shared" si="538"/>
        <v>425.28240181830057</v>
      </c>
      <c r="G731">
        <f t="shared" si="538"/>
        <v>318.76596287891334</v>
      </c>
      <c r="H731">
        <f t="shared" si="538"/>
        <v>287.60416609778235</v>
      </c>
      <c r="I731">
        <f t="shared" si="538"/>
        <v>294.18286929629772</v>
      </c>
      <c r="J731">
        <f t="shared" si="538"/>
        <v>200.54993570989654</v>
      </c>
      <c r="K731">
        <f t="shared" si="538"/>
        <v>230.68703869704615</v>
      </c>
      <c r="L731">
        <f t="shared" si="538"/>
        <v>347.69035377869301</v>
      </c>
      <c r="M731">
        <f t="shared" si="538"/>
        <v>324.65150930910778</v>
      </c>
      <c r="N731">
        <f t="shared" si="538"/>
        <v>368.45195769478107</v>
      </c>
      <c r="O731">
        <f t="shared" si="538"/>
        <v>317.56548436747744</v>
      </c>
      <c r="P731">
        <f t="shared" si="538"/>
        <v>293.04547043547547</v>
      </c>
      <c r="Q731">
        <f t="shared" si="538"/>
        <v>310.60277373546234</v>
      </c>
      <c r="R731">
        <f t="shared" si="538"/>
        <v>168.79676087372545</v>
      </c>
      <c r="S731">
        <f t="shared" si="538"/>
        <v>327.51372196634736</v>
      </c>
      <c r="T731">
        <f t="shared" si="538"/>
        <v>301.34486696487318</v>
      </c>
      <c r="U731">
        <f t="shared" si="538"/>
        <v>276.09759188552994</v>
      </c>
      <c r="V731">
        <f t="shared" si="538"/>
        <v>300.64445922129266</v>
      </c>
      <c r="W731">
        <f t="shared" si="538"/>
        <v>414.58700926171167</v>
      </c>
      <c r="Y731" s="15">
        <f t="shared" si="533"/>
        <v>6647.0327477849742</v>
      </c>
      <c r="Z731">
        <f t="shared" si="534"/>
        <v>-404.49859651123313</v>
      </c>
    </row>
    <row r="732" spans="1:26" x14ac:dyDescent="0.25">
      <c r="A732" t="s">
        <v>48</v>
      </c>
      <c r="D732">
        <f t="shared" ref="D732:W732" si="539">D123*D152</f>
        <v>684.63748301087332</v>
      </c>
      <c r="E732">
        <f t="shared" si="539"/>
        <v>509.80013856221956</v>
      </c>
      <c r="F732">
        <f t="shared" si="539"/>
        <v>416.68512824349659</v>
      </c>
      <c r="G732">
        <f t="shared" si="539"/>
        <v>502.58356981861971</v>
      </c>
      <c r="H732">
        <f t="shared" si="539"/>
        <v>673.98473128800208</v>
      </c>
      <c r="I732">
        <f t="shared" si="539"/>
        <v>530.22427831248513</v>
      </c>
      <c r="J732">
        <f t="shared" si="539"/>
        <v>262.63855852264527</v>
      </c>
      <c r="K732">
        <f t="shared" si="539"/>
        <v>463.55453640891113</v>
      </c>
      <c r="L732">
        <f t="shared" si="539"/>
        <v>345.2518479839527</v>
      </c>
      <c r="M732">
        <f t="shared" si="539"/>
        <v>267.58280961630726</v>
      </c>
      <c r="N732">
        <f t="shared" si="539"/>
        <v>300.78000643115746</v>
      </c>
      <c r="O732">
        <f t="shared" si="539"/>
        <v>157.76939059685256</v>
      </c>
      <c r="P732">
        <f t="shared" si="539"/>
        <v>280.92055893140497</v>
      </c>
      <c r="Q732">
        <f t="shared" si="539"/>
        <v>238.72808446812604</v>
      </c>
      <c r="R732">
        <f t="shared" si="539"/>
        <v>133.51522919110494</v>
      </c>
      <c r="S732">
        <f t="shared" si="539"/>
        <v>239.82483127591343</v>
      </c>
      <c r="T732">
        <f t="shared" si="539"/>
        <v>172.85221971308496</v>
      </c>
      <c r="U732">
        <f t="shared" si="539"/>
        <v>240.53099481809662</v>
      </c>
      <c r="V732">
        <f t="shared" si="539"/>
        <v>197.65094772049949</v>
      </c>
      <c r="W732">
        <f t="shared" si="539"/>
        <v>333.39170842246966</v>
      </c>
      <c r="Y732" s="15">
        <f t="shared" si="533"/>
        <v>6952.9070533362237</v>
      </c>
      <c r="Z732">
        <f t="shared" si="534"/>
        <v>-383.18389468556973</v>
      </c>
    </row>
    <row r="733" spans="1:26" x14ac:dyDescent="0.25">
      <c r="A733" t="s">
        <v>49</v>
      </c>
      <c r="D733">
        <f t="shared" ref="D733:W733" si="540">D124*D153</f>
        <v>942.51977478885544</v>
      </c>
      <c r="E733">
        <f t="shared" si="540"/>
        <v>490.25758740078675</v>
      </c>
      <c r="F733">
        <f t="shared" si="540"/>
        <v>565.92774032506361</v>
      </c>
      <c r="G733">
        <f t="shared" si="540"/>
        <v>495.66801963681093</v>
      </c>
      <c r="H733">
        <f t="shared" si="540"/>
        <v>372.09160283780659</v>
      </c>
      <c r="I733">
        <f t="shared" si="540"/>
        <v>383.87615649119465</v>
      </c>
      <c r="J733">
        <f t="shared" si="540"/>
        <v>364.41135668348488</v>
      </c>
      <c r="K733">
        <f t="shared" si="540"/>
        <v>489.54927496350786</v>
      </c>
      <c r="L733">
        <f t="shared" si="540"/>
        <v>263.05381918579371</v>
      </c>
      <c r="M733">
        <f t="shared" si="540"/>
        <v>377.89766549427941</v>
      </c>
      <c r="N733">
        <f t="shared" si="540"/>
        <v>270.78921481911323</v>
      </c>
      <c r="O733">
        <f t="shared" si="540"/>
        <v>376.93202385323394</v>
      </c>
      <c r="P733">
        <f t="shared" si="540"/>
        <v>441.25727532986338</v>
      </c>
      <c r="Q733">
        <f t="shared" si="540"/>
        <v>371.30073537855475</v>
      </c>
      <c r="R733">
        <f t="shared" si="540"/>
        <v>415.85571611103222</v>
      </c>
      <c r="S733">
        <f t="shared" si="540"/>
        <v>511.22353678710095</v>
      </c>
      <c r="T733">
        <f t="shared" si="540"/>
        <v>508.23815848450386</v>
      </c>
      <c r="U733">
        <f t="shared" si="540"/>
        <v>468.62705217749385</v>
      </c>
      <c r="V733">
        <f t="shared" si="540"/>
        <v>524.27643405078823</v>
      </c>
      <c r="W733">
        <f t="shared" si="540"/>
        <v>433.03652426580095</v>
      </c>
      <c r="Y733" s="15">
        <f t="shared" si="533"/>
        <v>9066.7896690650687</v>
      </c>
      <c r="Z733">
        <f t="shared" si="534"/>
        <v>-515.42294001341418</v>
      </c>
    </row>
    <row r="734" spans="1:26" x14ac:dyDescent="0.25">
      <c r="A734" t="s">
        <v>50</v>
      </c>
      <c r="D734">
        <f t="shared" ref="D734:W734" si="541">D125*D154</f>
        <v>545.51904626503097</v>
      </c>
      <c r="E734">
        <f t="shared" si="541"/>
        <v>349.22448979591837</v>
      </c>
      <c r="F734">
        <f t="shared" si="541"/>
        <v>272.77551020408163</v>
      </c>
      <c r="G734">
        <f t="shared" si="541"/>
        <v>330.27959183673465</v>
      </c>
      <c r="H734">
        <f t="shared" si="541"/>
        <v>456.22886864865808</v>
      </c>
      <c r="I734">
        <f t="shared" si="541"/>
        <v>139.17199109820032</v>
      </c>
      <c r="J734">
        <f t="shared" si="541"/>
        <v>345.53086270291607</v>
      </c>
      <c r="K734">
        <f t="shared" si="541"/>
        <v>277.25534230020503</v>
      </c>
      <c r="L734">
        <f t="shared" si="541"/>
        <v>161.46529920068556</v>
      </c>
      <c r="M734">
        <f t="shared" si="541"/>
        <v>124.69784050497627</v>
      </c>
      <c r="N734">
        <f t="shared" si="541"/>
        <v>176.24774150602195</v>
      </c>
      <c r="O734">
        <f t="shared" si="541"/>
        <v>153.80662207926355</v>
      </c>
      <c r="P734">
        <f t="shared" si="541"/>
        <v>158.18034008198475</v>
      </c>
      <c r="Q734">
        <f t="shared" si="541"/>
        <v>205.25407971703899</v>
      </c>
      <c r="R734">
        <f t="shared" si="541"/>
        <v>189.0167585887223</v>
      </c>
      <c r="S734">
        <f t="shared" si="541"/>
        <v>187.38395738246373</v>
      </c>
      <c r="T734">
        <f t="shared" si="541"/>
        <v>277.40763456296452</v>
      </c>
      <c r="U734">
        <f t="shared" si="541"/>
        <v>208.71371506000642</v>
      </c>
      <c r="V734">
        <f t="shared" si="541"/>
        <v>174.23374486079149</v>
      </c>
      <c r="W734">
        <f t="shared" si="541"/>
        <v>461.65732690438813</v>
      </c>
      <c r="Y734" s="15">
        <f t="shared" si="533"/>
        <v>5194.0507633010538</v>
      </c>
      <c r="Z734">
        <f t="shared" si="534"/>
        <v>-262.57260093911054</v>
      </c>
    </row>
    <row r="735" spans="1:26" x14ac:dyDescent="0.25">
      <c r="A735" t="s">
        <v>51</v>
      </c>
      <c r="D735">
        <f t="shared" ref="D735:W735" si="542">D126*D155</f>
        <v>248.68523550599861</v>
      </c>
      <c r="E735">
        <f t="shared" si="542"/>
        <v>337.45250580808084</v>
      </c>
      <c r="F735">
        <f t="shared" si="542"/>
        <v>498.22329671024647</v>
      </c>
      <c r="G735">
        <f t="shared" si="542"/>
        <v>229.74912044519641</v>
      </c>
      <c r="H735">
        <f t="shared" si="542"/>
        <v>433.81187700609064</v>
      </c>
      <c r="I735">
        <f t="shared" si="542"/>
        <v>309.26210078038736</v>
      </c>
      <c r="J735">
        <f t="shared" si="542"/>
        <v>422.1462272342265</v>
      </c>
      <c r="K735">
        <f t="shared" si="542"/>
        <v>366.6452431276129</v>
      </c>
      <c r="L735">
        <f t="shared" si="542"/>
        <v>405.92922591662165</v>
      </c>
      <c r="M735">
        <f t="shared" si="542"/>
        <v>340.7187999339418</v>
      </c>
      <c r="N735">
        <f t="shared" si="542"/>
        <v>322.10128220741899</v>
      </c>
      <c r="O735">
        <f t="shared" si="542"/>
        <v>405.66775644668081</v>
      </c>
      <c r="P735">
        <f t="shared" si="542"/>
        <v>235.11148246282747</v>
      </c>
      <c r="Q735">
        <f t="shared" si="542"/>
        <v>223.40294521787169</v>
      </c>
      <c r="R735">
        <f t="shared" si="542"/>
        <v>248.49766169409511</v>
      </c>
      <c r="S735">
        <f t="shared" si="542"/>
        <v>277.07886620724622</v>
      </c>
      <c r="T735">
        <f t="shared" si="542"/>
        <v>341.12634561432503</v>
      </c>
      <c r="U735">
        <f t="shared" si="542"/>
        <v>214.37164883415483</v>
      </c>
      <c r="V735">
        <f t="shared" si="542"/>
        <v>294.96189046445488</v>
      </c>
      <c r="W735">
        <f t="shared" si="542"/>
        <v>275.75756610070169</v>
      </c>
      <c r="Y735" s="15">
        <f t="shared" si="533"/>
        <v>6430.7010777181804</v>
      </c>
      <c r="Z735">
        <f t="shared" si="534"/>
        <v>-505.07970452241392</v>
      </c>
    </row>
    <row r="736" spans="1:26" x14ac:dyDescent="0.25">
      <c r="A736" t="s">
        <v>52</v>
      </c>
      <c r="D736">
        <f t="shared" ref="D736:W736" si="543">D127*D156</f>
        <v>443.11314908963857</v>
      </c>
      <c r="E736">
        <f t="shared" si="543"/>
        <v>225.39749934777427</v>
      </c>
      <c r="F736">
        <f t="shared" si="543"/>
        <v>291.5131315538452</v>
      </c>
      <c r="G736">
        <f t="shared" si="543"/>
        <v>166.46590141432321</v>
      </c>
      <c r="H736">
        <f t="shared" si="543"/>
        <v>397.79445872190598</v>
      </c>
      <c r="I736">
        <f t="shared" si="543"/>
        <v>419.79177099753167</v>
      </c>
      <c r="J736">
        <f t="shared" si="543"/>
        <v>368.94903921552122</v>
      </c>
      <c r="K736">
        <f t="shared" si="543"/>
        <v>342.95389906052606</v>
      </c>
      <c r="L736">
        <f t="shared" si="543"/>
        <v>367.55123487775847</v>
      </c>
      <c r="M736">
        <f t="shared" si="543"/>
        <v>386.57119480896415</v>
      </c>
      <c r="N736">
        <f t="shared" si="543"/>
        <v>411.29862169737737</v>
      </c>
      <c r="O736">
        <f t="shared" si="543"/>
        <v>402.74581833019397</v>
      </c>
      <c r="P736">
        <f t="shared" si="543"/>
        <v>323.00979581278085</v>
      </c>
      <c r="Q736">
        <f t="shared" si="543"/>
        <v>261.51984716246801</v>
      </c>
      <c r="R736">
        <f t="shared" si="543"/>
        <v>254.46369942353135</v>
      </c>
      <c r="S736">
        <f t="shared" si="543"/>
        <v>325.19010216348272</v>
      </c>
      <c r="T736">
        <f t="shared" si="543"/>
        <v>295.75536662987935</v>
      </c>
      <c r="U736">
        <f t="shared" si="543"/>
        <v>343.03737371323405</v>
      </c>
      <c r="V736">
        <f t="shared" si="543"/>
        <v>318.82266168673635</v>
      </c>
      <c r="W736">
        <f t="shared" si="543"/>
        <v>188.34072816963871</v>
      </c>
      <c r="Y736" s="15">
        <f t="shared" si="533"/>
        <v>6534.2852938771121</v>
      </c>
      <c r="Z736">
        <f t="shared" si="534"/>
        <v>-711.52433373050621</v>
      </c>
    </row>
    <row r="737" spans="1:26" x14ac:dyDescent="0.25">
      <c r="A737" t="s">
        <v>53</v>
      </c>
      <c r="D737">
        <f t="shared" ref="D737:W737" si="544">D128*D157</f>
        <v>418.62317472938031</v>
      </c>
      <c r="E737">
        <f t="shared" si="544"/>
        <v>448.24268461377073</v>
      </c>
      <c r="F737">
        <f t="shared" si="544"/>
        <v>302.08275081563454</v>
      </c>
      <c r="G737">
        <f t="shared" si="544"/>
        <v>149.26888380220348</v>
      </c>
      <c r="H737">
        <f t="shared" si="544"/>
        <v>388.83359035668377</v>
      </c>
      <c r="I737">
        <f t="shared" si="544"/>
        <v>309.72004241941181</v>
      </c>
      <c r="J737">
        <f t="shared" si="544"/>
        <v>323.37452382916194</v>
      </c>
      <c r="K737">
        <f t="shared" si="544"/>
        <v>333.48548534118254</v>
      </c>
      <c r="L737">
        <f t="shared" si="544"/>
        <v>355.93445878554951</v>
      </c>
      <c r="M737">
        <f t="shared" si="544"/>
        <v>454.13525265269442</v>
      </c>
      <c r="N737">
        <f t="shared" si="544"/>
        <v>529.22737474560165</v>
      </c>
      <c r="O737">
        <f t="shared" si="544"/>
        <v>375.18667777372423</v>
      </c>
      <c r="P737">
        <f t="shared" si="544"/>
        <v>362.15131707106855</v>
      </c>
      <c r="Q737">
        <f t="shared" si="544"/>
        <v>337.14889823710024</v>
      </c>
      <c r="R737">
        <f t="shared" si="544"/>
        <v>323.98902850004293</v>
      </c>
      <c r="S737">
        <f t="shared" si="544"/>
        <v>289.28879197671887</v>
      </c>
      <c r="T737">
        <f t="shared" si="544"/>
        <v>297.43385549766634</v>
      </c>
      <c r="U737">
        <f t="shared" si="544"/>
        <v>278.00607412923068</v>
      </c>
      <c r="V737">
        <f t="shared" si="544"/>
        <v>331.38846602068458</v>
      </c>
      <c r="W737">
        <f t="shared" si="544"/>
        <v>85.619880873083815</v>
      </c>
      <c r="Y737" s="15">
        <f t="shared" si="533"/>
        <v>6693.1412121705962</v>
      </c>
      <c r="Z737">
        <f t="shared" si="534"/>
        <v>-647.84109418783555</v>
      </c>
    </row>
    <row r="738" spans="1:26" x14ac:dyDescent="0.25">
      <c r="A738" t="s">
        <v>54</v>
      </c>
      <c r="D738">
        <f t="shared" ref="D738:W738" si="545">D129*D158</f>
        <v>368.93434575686695</v>
      </c>
      <c r="E738">
        <f t="shared" si="545"/>
        <v>573.62920674096563</v>
      </c>
      <c r="F738">
        <f t="shared" si="545"/>
        <v>380.73335644762375</v>
      </c>
      <c r="G738">
        <f t="shared" si="545"/>
        <v>354.70971449691882</v>
      </c>
      <c r="H738">
        <f t="shared" si="545"/>
        <v>287.33300700612642</v>
      </c>
      <c r="I738">
        <f t="shared" si="545"/>
        <v>356.6468269374887</v>
      </c>
      <c r="J738">
        <f t="shared" si="545"/>
        <v>156.22304364942127</v>
      </c>
      <c r="K738">
        <f t="shared" si="545"/>
        <v>100.70014083553544</v>
      </c>
      <c r="L738">
        <f t="shared" si="545"/>
        <v>196.6527565515043</v>
      </c>
      <c r="M738">
        <f t="shared" si="545"/>
        <v>130.10677735435863</v>
      </c>
      <c r="N738">
        <f t="shared" si="545"/>
        <v>426.38319531488213</v>
      </c>
      <c r="O738">
        <f t="shared" si="545"/>
        <v>393.00915109554944</v>
      </c>
      <c r="P738">
        <f t="shared" si="545"/>
        <v>292.32078628667722</v>
      </c>
      <c r="Q738">
        <f t="shared" si="545"/>
        <v>306.00193711455819</v>
      </c>
      <c r="R738">
        <f t="shared" si="545"/>
        <v>221.47237935047957</v>
      </c>
      <c r="S738">
        <f t="shared" si="545"/>
        <v>211.56306398810673</v>
      </c>
      <c r="T738">
        <f t="shared" si="545"/>
        <v>97.45789863360217</v>
      </c>
      <c r="U738">
        <f t="shared" si="545"/>
        <v>120.97280851313997</v>
      </c>
      <c r="V738">
        <f t="shared" si="545"/>
        <v>241.05049322004012</v>
      </c>
      <c r="W738">
        <f t="shared" si="545"/>
        <v>78.892763963414538</v>
      </c>
      <c r="Y738" s="15">
        <f t="shared" si="533"/>
        <v>5294.7936532572603</v>
      </c>
      <c r="Z738">
        <f t="shared" si="534"/>
        <v>-236.93473457419597</v>
      </c>
    </row>
    <row r="739" spans="1:26" x14ac:dyDescent="0.25">
      <c r="A739" t="s">
        <v>55</v>
      </c>
      <c r="D739">
        <f t="shared" ref="D739:W739" si="546">D130*D159</f>
        <v>290.97958732429771</v>
      </c>
      <c r="E739">
        <f t="shared" si="546"/>
        <v>319.68581014392271</v>
      </c>
      <c r="F739">
        <f t="shared" si="546"/>
        <v>429.52971092201562</v>
      </c>
      <c r="G739">
        <f t="shared" si="546"/>
        <v>246.49140092553418</v>
      </c>
      <c r="H739">
        <f t="shared" si="546"/>
        <v>171.91014027524221</v>
      </c>
      <c r="I739">
        <f t="shared" si="546"/>
        <v>225.10655222883142</v>
      </c>
      <c r="J739">
        <f t="shared" si="546"/>
        <v>135.6242787283629</v>
      </c>
      <c r="K739">
        <f t="shared" si="546"/>
        <v>67.751420682012096</v>
      </c>
      <c r="L739">
        <f t="shared" si="546"/>
        <v>189.14161247377422</v>
      </c>
      <c r="M739">
        <f t="shared" si="546"/>
        <v>284.79533787097984</v>
      </c>
      <c r="N739">
        <f t="shared" si="546"/>
        <v>389.55071024957658</v>
      </c>
      <c r="O739">
        <f t="shared" si="546"/>
        <v>291.93629764657487</v>
      </c>
      <c r="P739">
        <f t="shared" si="546"/>
        <v>299.55746471954518</v>
      </c>
      <c r="Q739">
        <f t="shared" si="546"/>
        <v>303.11989926110084</v>
      </c>
      <c r="R739">
        <f t="shared" si="546"/>
        <v>259.79394260832754</v>
      </c>
      <c r="S739">
        <f t="shared" si="546"/>
        <v>275.46723287558467</v>
      </c>
      <c r="T739">
        <f t="shared" si="546"/>
        <v>25.831147785669785</v>
      </c>
      <c r="U739">
        <f t="shared" si="546"/>
        <v>226.35494156847966</v>
      </c>
      <c r="V739">
        <f t="shared" si="546"/>
        <v>394.52381196847017</v>
      </c>
      <c r="W739">
        <f t="shared" si="546"/>
        <v>382.24913340487683</v>
      </c>
      <c r="Y739" s="15">
        <f t="shared" si="533"/>
        <v>5209.4004336631788</v>
      </c>
      <c r="Z739">
        <f t="shared" si="534"/>
        <v>-290.24838120365337</v>
      </c>
    </row>
    <row r="740" spans="1:26" x14ac:dyDescent="0.25">
      <c r="A740" t="s">
        <v>56</v>
      </c>
      <c r="D740">
        <f t="shared" ref="D740:W740" si="547">D131*D160</f>
        <v>518.05233909772778</v>
      </c>
      <c r="E740">
        <f t="shared" si="547"/>
        <v>569.80000000000007</v>
      </c>
      <c r="F740">
        <f t="shared" si="547"/>
        <v>604.85714285714289</v>
      </c>
      <c r="G740">
        <f t="shared" si="547"/>
        <v>427.8</v>
      </c>
      <c r="H740">
        <f t="shared" si="547"/>
        <v>635.85121823252553</v>
      </c>
      <c r="I740">
        <f t="shared" si="547"/>
        <v>398.78414613433756</v>
      </c>
      <c r="J740">
        <f t="shared" si="547"/>
        <v>394.94131016380396</v>
      </c>
      <c r="K740">
        <f t="shared" si="547"/>
        <v>368.87764228720789</v>
      </c>
      <c r="L740">
        <f t="shared" si="547"/>
        <v>513.64885357707715</v>
      </c>
      <c r="M740">
        <f t="shared" si="547"/>
        <v>192.03920094656823</v>
      </c>
      <c r="N740">
        <f t="shared" si="547"/>
        <v>229.55683814034035</v>
      </c>
      <c r="O740">
        <f t="shared" si="547"/>
        <v>411.33119702289196</v>
      </c>
      <c r="P740">
        <f t="shared" si="547"/>
        <v>261.28691718556502</v>
      </c>
      <c r="Q740">
        <f t="shared" si="547"/>
        <v>248.7300348667365</v>
      </c>
      <c r="R740">
        <f t="shared" si="547"/>
        <v>291.18431777861838</v>
      </c>
      <c r="S740">
        <f t="shared" si="547"/>
        <v>347.74875821437234</v>
      </c>
      <c r="T740">
        <f t="shared" si="547"/>
        <v>408.30507365450586</v>
      </c>
      <c r="U740">
        <f t="shared" si="547"/>
        <v>356.9118700856543</v>
      </c>
      <c r="V740">
        <f t="shared" si="547"/>
        <v>512.26096236660976</v>
      </c>
      <c r="W740">
        <f t="shared" si="547"/>
        <v>717.01753625903325</v>
      </c>
      <c r="Y740" s="15">
        <f t="shared" si="533"/>
        <v>8408.9853588707192</v>
      </c>
      <c r="Z740">
        <f t="shared" si="534"/>
        <v>-363.30315737139779</v>
      </c>
    </row>
    <row r="741" spans="1:26" x14ac:dyDescent="0.25">
      <c r="A741" t="s">
        <v>57</v>
      </c>
      <c r="D741">
        <f t="shared" ref="D741:W741" si="548">D132*D161</f>
        <v>490.5</v>
      </c>
      <c r="E741">
        <f t="shared" si="548"/>
        <v>561.05714285714282</v>
      </c>
      <c r="F741">
        <f t="shared" si="548"/>
        <v>862.05714285714282</v>
      </c>
      <c r="G741">
        <f t="shared" si="548"/>
        <v>450.74285714285719</v>
      </c>
      <c r="H741">
        <f t="shared" si="548"/>
        <v>430.7579384374767</v>
      </c>
      <c r="I741">
        <f t="shared" si="548"/>
        <v>415.21441223094382</v>
      </c>
      <c r="J741">
        <f t="shared" si="548"/>
        <v>331.85143980268543</v>
      </c>
      <c r="K741">
        <f t="shared" si="548"/>
        <v>302.69741538684877</v>
      </c>
      <c r="L741">
        <f t="shared" si="548"/>
        <v>316.19692761961034</v>
      </c>
      <c r="M741">
        <f t="shared" si="548"/>
        <v>333.46685471571823</v>
      </c>
      <c r="N741">
        <f t="shared" si="548"/>
        <v>318.87947210631836</v>
      </c>
      <c r="O741">
        <f t="shared" si="548"/>
        <v>302.5687352700084</v>
      </c>
      <c r="P741">
        <f t="shared" si="548"/>
        <v>293.9310313043166</v>
      </c>
      <c r="Q741">
        <f t="shared" si="548"/>
        <v>282.77920043488211</v>
      </c>
      <c r="R741">
        <f t="shared" si="548"/>
        <v>221.93792398655287</v>
      </c>
      <c r="S741">
        <f t="shared" si="548"/>
        <v>285.19013346694135</v>
      </c>
      <c r="T741">
        <f t="shared" si="548"/>
        <v>275.92961056482437</v>
      </c>
      <c r="U741">
        <f t="shared" si="548"/>
        <v>323.5312880197971</v>
      </c>
      <c r="V741">
        <f t="shared" si="548"/>
        <v>319.76503125063988</v>
      </c>
      <c r="W741">
        <f t="shared" si="548"/>
        <v>368.23448091884785</v>
      </c>
      <c r="Y741" s="15">
        <f t="shared" si="533"/>
        <v>7487.2890383735567</v>
      </c>
      <c r="Z741">
        <f t="shared" si="534"/>
        <v>-253.41046593174912</v>
      </c>
    </row>
    <row r="742" spans="1:26" x14ac:dyDescent="0.25">
      <c r="A742" t="s">
        <v>58</v>
      </c>
      <c r="D742">
        <f t="shared" ref="D742:W742" si="549">D133*D162</f>
        <v>541.38367346938776</v>
      </c>
      <c r="E742">
        <f t="shared" si="549"/>
        <v>543.03061224489784</v>
      </c>
      <c r="F742">
        <f t="shared" si="549"/>
        <v>300.10204081632651</v>
      </c>
      <c r="G742">
        <f t="shared" si="549"/>
        <v>200.71836734693878</v>
      </c>
      <c r="H742">
        <f t="shared" si="549"/>
        <v>414.83987221096345</v>
      </c>
      <c r="I742">
        <f t="shared" si="549"/>
        <v>362.72777457706428</v>
      </c>
      <c r="J742">
        <f t="shared" si="549"/>
        <v>357.12097130762436</v>
      </c>
      <c r="K742">
        <f t="shared" si="549"/>
        <v>357.62801869033922</v>
      </c>
      <c r="L742">
        <f t="shared" si="549"/>
        <v>355.44201510397312</v>
      </c>
      <c r="M742">
        <f t="shared" si="549"/>
        <v>418.72010931868425</v>
      </c>
      <c r="N742">
        <f t="shared" si="549"/>
        <v>437.95996352955564</v>
      </c>
      <c r="O742">
        <f t="shared" si="549"/>
        <v>408.66449446071852</v>
      </c>
      <c r="P742">
        <f t="shared" si="549"/>
        <v>213.94482769215008</v>
      </c>
      <c r="Q742">
        <f t="shared" si="549"/>
        <v>291.70172240018775</v>
      </c>
      <c r="R742">
        <f t="shared" si="549"/>
        <v>238.42060072880591</v>
      </c>
      <c r="S742">
        <f t="shared" si="549"/>
        <v>284.12393848456549</v>
      </c>
      <c r="T742">
        <f t="shared" si="549"/>
        <v>384.23959984208864</v>
      </c>
      <c r="U742">
        <f t="shared" si="549"/>
        <v>448.38240712408168</v>
      </c>
      <c r="V742">
        <f t="shared" si="549"/>
        <v>558.33884093204722</v>
      </c>
      <c r="W742">
        <f t="shared" si="549"/>
        <v>596.13323900206569</v>
      </c>
      <c r="Y742" s="15">
        <f t="shared" si="533"/>
        <v>7713.623089282466</v>
      </c>
      <c r="Z742">
        <f t="shared" si="534"/>
        <v>-581.30808017888955</v>
      </c>
    </row>
    <row r="743" spans="1:26" x14ac:dyDescent="0.25">
      <c r="A743" t="s">
        <v>59</v>
      </c>
      <c r="D743">
        <f t="shared" ref="D743:W743" si="550">D134*D163</f>
        <v>383.58732510646706</v>
      </c>
      <c r="E743">
        <f t="shared" si="550"/>
        <v>348.2199173806236</v>
      </c>
      <c r="F743">
        <f t="shared" si="550"/>
        <v>499.69561269522723</v>
      </c>
      <c r="G743">
        <f t="shared" si="550"/>
        <v>729.64525302475397</v>
      </c>
      <c r="H743">
        <f t="shared" si="550"/>
        <v>771.04774645755322</v>
      </c>
      <c r="I743">
        <f t="shared" si="550"/>
        <v>1182.7527957442542</v>
      </c>
      <c r="J743">
        <f t="shared" si="550"/>
        <v>887.80528012671334</v>
      </c>
      <c r="K743">
        <f t="shared" si="550"/>
        <v>485.95162274209758</v>
      </c>
      <c r="L743">
        <f t="shared" si="550"/>
        <v>342.49332845919434</v>
      </c>
      <c r="M743">
        <f t="shared" si="550"/>
        <v>355.77867812990758</v>
      </c>
      <c r="N743">
        <f t="shared" si="550"/>
        <v>657.67603309733011</v>
      </c>
      <c r="O743">
        <f t="shared" si="550"/>
        <v>488.00261754869132</v>
      </c>
      <c r="P743">
        <f t="shared" si="550"/>
        <v>380.17683178478887</v>
      </c>
      <c r="Q743">
        <f t="shared" si="550"/>
        <v>238.70473557948176</v>
      </c>
      <c r="R743">
        <f t="shared" si="550"/>
        <v>302.40219764727954</v>
      </c>
      <c r="S743">
        <f t="shared" si="550"/>
        <v>264.65768410579062</v>
      </c>
      <c r="T743">
        <f t="shared" si="550"/>
        <v>251.14426700873364</v>
      </c>
      <c r="U743">
        <f t="shared" si="550"/>
        <v>239.60378265281761</v>
      </c>
      <c r="V743">
        <f t="shared" si="550"/>
        <v>228.47411563093746</v>
      </c>
      <c r="W743">
        <f t="shared" si="550"/>
        <v>198.79988976587754</v>
      </c>
      <c r="Y743" s="15">
        <f t="shared" si="533"/>
        <v>9236.6197146885206</v>
      </c>
      <c r="Z743">
        <f t="shared" si="534"/>
        <v>-898.88456714714516</v>
      </c>
    </row>
    <row r="744" spans="1:26" x14ac:dyDescent="0.25">
      <c r="A744" t="s">
        <v>60</v>
      </c>
      <c r="D744">
        <f t="shared" ref="D744:W744" si="551">D135*D164</f>
        <v>214.16639326390941</v>
      </c>
      <c r="E744">
        <f t="shared" si="551"/>
        <v>592.84552681670334</v>
      </c>
      <c r="F744">
        <f t="shared" si="551"/>
        <v>1175.1554880387278</v>
      </c>
      <c r="G744">
        <f t="shared" si="551"/>
        <v>467.3833357735524</v>
      </c>
      <c r="H744">
        <f t="shared" si="551"/>
        <v>450.39323913260154</v>
      </c>
      <c r="I744">
        <f t="shared" si="551"/>
        <v>404.56798218786236</v>
      </c>
      <c r="J744">
        <f t="shared" si="551"/>
        <v>589.07586018152369</v>
      </c>
      <c r="K744">
        <f t="shared" si="551"/>
        <v>783.76979745081303</v>
      </c>
      <c r="L744">
        <f t="shared" si="551"/>
        <v>369.94740745300192</v>
      </c>
      <c r="M744">
        <f t="shared" si="551"/>
        <v>456.94155561935298</v>
      </c>
      <c r="N744">
        <f t="shared" si="551"/>
        <v>325.90205704899842</v>
      </c>
      <c r="O744">
        <f t="shared" si="551"/>
        <v>340.6081329315702</v>
      </c>
      <c r="P744">
        <f t="shared" si="551"/>
        <v>318.45967443296257</v>
      </c>
      <c r="Q744">
        <f t="shared" si="551"/>
        <v>387.59540883952258</v>
      </c>
      <c r="R744">
        <f t="shared" si="551"/>
        <v>528.22563560605863</v>
      </c>
      <c r="S744">
        <f t="shared" si="551"/>
        <v>291.20539141290419</v>
      </c>
      <c r="T744">
        <f t="shared" si="551"/>
        <v>270.84284043385748</v>
      </c>
      <c r="U744">
        <f t="shared" si="551"/>
        <v>264.02811238157591</v>
      </c>
      <c r="V744">
        <f t="shared" si="551"/>
        <v>332.65158185938509</v>
      </c>
      <c r="W744">
        <f t="shared" si="551"/>
        <v>253.12234182164278</v>
      </c>
      <c r="Y744" s="15">
        <f t="shared" si="533"/>
        <v>8816.8877626865287</v>
      </c>
      <c r="Z744">
        <f t="shared" si="534"/>
        <v>-340.77481408267721</v>
      </c>
    </row>
    <row r="745" spans="1:26" x14ac:dyDescent="0.25">
      <c r="A745" t="s">
        <v>61</v>
      </c>
      <c r="D745">
        <f t="shared" ref="D745:W745" si="552">D136*D165</f>
        <v>499.39170307651227</v>
      </c>
      <c r="E745">
        <f t="shared" si="552"/>
        <v>696.33544078192642</v>
      </c>
      <c r="F745">
        <f t="shared" si="552"/>
        <v>1021.2651122053863</v>
      </c>
      <c r="G745">
        <f t="shared" si="552"/>
        <v>1114.7929085896001</v>
      </c>
      <c r="H745">
        <f t="shared" si="552"/>
        <v>999.18314310599544</v>
      </c>
      <c r="I745">
        <f t="shared" si="552"/>
        <v>537.14208780781382</v>
      </c>
      <c r="J745">
        <f t="shared" si="552"/>
        <v>330.05026672397037</v>
      </c>
      <c r="K745">
        <f t="shared" si="552"/>
        <v>269.14454301648271</v>
      </c>
      <c r="L745">
        <f t="shared" si="552"/>
        <v>467.41863435271745</v>
      </c>
      <c r="M745">
        <f t="shared" si="552"/>
        <v>228.78455062379524</v>
      </c>
      <c r="N745">
        <f t="shared" si="552"/>
        <v>279.95805832146198</v>
      </c>
      <c r="O745">
        <f t="shared" si="552"/>
        <v>522.7581017152678</v>
      </c>
      <c r="P745">
        <f t="shared" si="552"/>
        <v>378.84310445375729</v>
      </c>
      <c r="Q745">
        <f t="shared" si="552"/>
        <v>304.82745281990657</v>
      </c>
      <c r="R745">
        <f t="shared" si="552"/>
        <v>427.31741039336646</v>
      </c>
      <c r="S745">
        <f t="shared" si="552"/>
        <v>474.94555742719314</v>
      </c>
      <c r="T745">
        <f t="shared" si="552"/>
        <v>238.17255697023461</v>
      </c>
      <c r="U745">
        <f t="shared" si="552"/>
        <v>305.61569601849004</v>
      </c>
      <c r="V745">
        <f t="shared" si="552"/>
        <v>312.87020816412024</v>
      </c>
      <c r="W745">
        <f t="shared" si="552"/>
        <v>262.685779128577</v>
      </c>
      <c r="Y745" s="15">
        <f t="shared" si="533"/>
        <v>9671.5023156965763</v>
      </c>
      <c r="Z745">
        <f t="shared" si="534"/>
        <v>-94.129348050837891</v>
      </c>
    </row>
    <row r="746" spans="1:26" x14ac:dyDescent="0.25">
      <c r="A746" t="s">
        <v>62</v>
      </c>
      <c r="D746">
        <f t="shared" ref="D746:W746" si="553">D137*D166</f>
        <v>402.67172235133609</v>
      </c>
      <c r="E746">
        <f t="shared" si="553"/>
        <v>487.79047342897343</v>
      </c>
      <c r="F746">
        <f t="shared" si="553"/>
        <v>432.14890485836924</v>
      </c>
      <c r="G746">
        <f t="shared" si="553"/>
        <v>385.10648764782349</v>
      </c>
      <c r="H746">
        <f t="shared" si="553"/>
        <v>611.60497375749367</v>
      </c>
      <c r="I746">
        <f t="shared" si="553"/>
        <v>632.64538667363911</v>
      </c>
      <c r="J746">
        <f t="shared" si="553"/>
        <v>349.66812756339783</v>
      </c>
      <c r="K746">
        <f t="shared" si="553"/>
        <v>467.44327566541421</v>
      </c>
      <c r="L746">
        <f t="shared" si="553"/>
        <v>407.37501470112318</v>
      </c>
      <c r="M746">
        <f t="shared" si="553"/>
        <v>482.44379567378894</v>
      </c>
      <c r="N746">
        <f t="shared" si="553"/>
        <v>247.79680418067889</v>
      </c>
      <c r="O746">
        <f t="shared" si="553"/>
        <v>285.97405843810907</v>
      </c>
      <c r="P746">
        <f t="shared" si="553"/>
        <v>293.76205291117066</v>
      </c>
      <c r="Q746">
        <f t="shared" si="553"/>
        <v>343.22623435401107</v>
      </c>
      <c r="R746">
        <f t="shared" si="553"/>
        <v>168.7066856560163</v>
      </c>
      <c r="S746">
        <f t="shared" si="553"/>
        <v>279.1061593071563</v>
      </c>
      <c r="T746">
        <f t="shared" si="553"/>
        <v>250.2778086347472</v>
      </c>
      <c r="U746">
        <f t="shared" si="553"/>
        <v>358.49266626449275</v>
      </c>
      <c r="V746">
        <f t="shared" si="553"/>
        <v>384.89533790590076</v>
      </c>
      <c r="W746">
        <f t="shared" si="553"/>
        <v>314.28571381010175</v>
      </c>
      <c r="Y746" s="15">
        <f t="shared" si="533"/>
        <v>7585.4216837837439</v>
      </c>
      <c r="Z746">
        <f t="shared" si="534"/>
        <v>-499.99463787536956</v>
      </c>
    </row>
    <row r="747" spans="1:26" x14ac:dyDescent="0.25">
      <c r="Y747" s="15"/>
    </row>
    <row r="748" spans="1:26" x14ac:dyDescent="0.25">
      <c r="A748" t="s">
        <v>63</v>
      </c>
      <c r="D748">
        <f t="shared" ref="D748:W748" si="554">D139*D168</f>
        <v>358.99453263642505</v>
      </c>
      <c r="E748">
        <f t="shared" si="554"/>
        <v>329.413443493714</v>
      </c>
      <c r="F748">
        <f t="shared" si="554"/>
        <v>336.57969265836755</v>
      </c>
      <c r="G748">
        <f t="shared" si="554"/>
        <v>283.00306126120915</v>
      </c>
      <c r="H748">
        <f t="shared" si="554"/>
        <v>517.68843060818358</v>
      </c>
      <c r="I748">
        <f t="shared" si="554"/>
        <v>516.25676771141082</v>
      </c>
      <c r="J748">
        <f t="shared" si="554"/>
        <v>305.81306831890379</v>
      </c>
      <c r="K748">
        <f t="shared" si="554"/>
        <v>396.01950279625038</v>
      </c>
      <c r="L748">
        <f t="shared" si="554"/>
        <v>350.08700608079926</v>
      </c>
      <c r="M748">
        <f t="shared" si="554"/>
        <v>304.69586029765122</v>
      </c>
      <c r="N748">
        <f t="shared" si="554"/>
        <v>372.3438430270968</v>
      </c>
      <c r="O748">
        <f t="shared" si="554"/>
        <v>371.6346041208613</v>
      </c>
      <c r="P748">
        <f t="shared" si="554"/>
        <v>293.54180991133012</v>
      </c>
      <c r="Q748">
        <f t="shared" si="554"/>
        <v>284.27507603460992</v>
      </c>
      <c r="R748">
        <f t="shared" si="554"/>
        <v>281.74353370383886</v>
      </c>
      <c r="S748">
        <f t="shared" si="554"/>
        <v>303.48193083408984</v>
      </c>
      <c r="T748">
        <f t="shared" si="554"/>
        <v>277.20833567619621</v>
      </c>
      <c r="U748">
        <f t="shared" si="554"/>
        <v>288.23360376690948</v>
      </c>
      <c r="V748">
        <f t="shared" si="554"/>
        <v>352.18095879983736</v>
      </c>
      <c r="W748">
        <f t="shared" si="554"/>
        <v>338.60014161633148</v>
      </c>
      <c r="Y748" s="15">
        <f t="shared" si="533"/>
        <v>6861.7952033540168</v>
      </c>
      <c r="Z748">
        <f>SUMPRODUCT($D$752:$S$752,D748:S748)</f>
        <v>-552.57707181504747</v>
      </c>
    </row>
    <row r="749" spans="1:26" x14ac:dyDescent="0.25">
      <c r="A749" t="s">
        <v>307</v>
      </c>
      <c r="D749">
        <f t="shared" ref="D749:W749" si="555">D140*D169</f>
        <v>784.73673469387745</v>
      </c>
      <c r="E749">
        <f t="shared" si="555"/>
        <v>878.56</v>
      </c>
      <c r="F749">
        <f t="shared" si="555"/>
        <v>416.1</v>
      </c>
      <c r="G749">
        <f t="shared" si="555"/>
        <v>429.57</v>
      </c>
      <c r="H749">
        <f t="shared" si="555"/>
        <v>534.57551020408152</v>
      </c>
      <c r="I749">
        <f t="shared" si="555"/>
        <v>499.16530612244901</v>
      </c>
      <c r="J749">
        <f t="shared" si="555"/>
        <v>407.31428571428569</v>
      </c>
      <c r="K749">
        <f t="shared" si="555"/>
        <v>412.67346938775506</v>
      </c>
      <c r="L749">
        <f t="shared" si="555"/>
        <v>515.74531250000007</v>
      </c>
      <c r="M749">
        <f t="shared" si="555"/>
        <v>647.86734693877554</v>
      </c>
      <c r="N749">
        <f t="shared" si="555"/>
        <v>497.04489795918369</v>
      </c>
      <c r="O749">
        <f t="shared" si="555"/>
        <v>454.79999999999995</v>
      </c>
      <c r="P749">
        <f t="shared" si="555"/>
        <v>951.4</v>
      </c>
      <c r="Q749">
        <f t="shared" si="555"/>
        <v>491.4</v>
      </c>
      <c r="R749">
        <f t="shared" si="555"/>
        <v>487.59999999999997</v>
      </c>
      <c r="S749">
        <f t="shared" si="555"/>
        <v>494.16</v>
      </c>
      <c r="T749">
        <f t="shared" si="555"/>
        <v>292.32</v>
      </c>
      <c r="U749">
        <f t="shared" si="555"/>
        <v>292.68</v>
      </c>
      <c r="V749">
        <f t="shared" si="555"/>
        <v>340.13000000000005</v>
      </c>
      <c r="W749">
        <f t="shared" si="555"/>
        <v>310</v>
      </c>
      <c r="Y749" s="15">
        <f t="shared" si="533"/>
        <v>10137.842863520407</v>
      </c>
      <c r="Z749">
        <f>SUMPRODUCT($D$752:$S$752,D749:S749)</f>
        <v>-791.14630119980484</v>
      </c>
    </row>
    <row r="750" spans="1:26" x14ac:dyDescent="0.25">
      <c r="A750" t="s">
        <v>308</v>
      </c>
      <c r="D750">
        <f t="shared" ref="D750:W750" si="556">D141*D170</f>
        <v>399.65134519337238</v>
      </c>
      <c r="E750">
        <f t="shared" si="556"/>
        <v>700.56</v>
      </c>
      <c r="F750">
        <f t="shared" si="556"/>
        <v>492.2</v>
      </c>
      <c r="G750">
        <f t="shared" si="556"/>
        <v>451.36</v>
      </c>
      <c r="H750">
        <f t="shared" si="556"/>
        <v>539.28</v>
      </c>
      <c r="I750">
        <f t="shared" si="556"/>
        <v>452.75999999999993</v>
      </c>
      <c r="J750">
        <f t="shared" si="556"/>
        <v>280.36</v>
      </c>
      <c r="K750">
        <f t="shared" si="556"/>
        <v>371.52000000000004</v>
      </c>
      <c r="L750">
        <f t="shared" si="556"/>
        <v>392.92</v>
      </c>
      <c r="M750">
        <f t="shared" si="556"/>
        <v>492.65999999999991</v>
      </c>
      <c r="N750">
        <f t="shared" si="556"/>
        <v>462.24</v>
      </c>
      <c r="O750">
        <f t="shared" si="556"/>
        <v>397.88000000000005</v>
      </c>
      <c r="P750">
        <f t="shared" si="556"/>
        <v>293.77355182915159</v>
      </c>
      <c r="Q750">
        <f t="shared" si="556"/>
        <v>288.25135654493658</v>
      </c>
      <c r="R750">
        <f t="shared" si="556"/>
        <v>306.94733931346832</v>
      </c>
      <c r="S750">
        <f t="shared" si="556"/>
        <v>279.62515517349567</v>
      </c>
      <c r="T750">
        <f t="shared" si="556"/>
        <v>297.1153474205617</v>
      </c>
      <c r="U750">
        <f t="shared" si="556"/>
        <v>320.73354807272943</v>
      </c>
      <c r="V750">
        <f t="shared" si="556"/>
        <v>387.10271958889501</v>
      </c>
      <c r="W750">
        <f t="shared" si="556"/>
        <v>424.49681779590492</v>
      </c>
      <c r="Y750" s="15">
        <f t="shared" si="533"/>
        <v>8031.4371809325166</v>
      </c>
      <c r="Z750">
        <f>SUMPRODUCT($D$752:$S$752,D750:S750)</f>
        <v>-424.55427850664296</v>
      </c>
    </row>
    <row r="751" spans="1:26" x14ac:dyDescent="0.25">
      <c r="A751" t="s">
        <v>670</v>
      </c>
      <c r="D751">
        <f t="shared" ref="D751:W751" si="557">D142*D171</f>
        <v>517.05450486417135</v>
      </c>
      <c r="E751">
        <f t="shared" si="557"/>
        <v>634.72448043240581</v>
      </c>
      <c r="F751">
        <f t="shared" si="557"/>
        <v>515.44230065080819</v>
      </c>
      <c r="G751">
        <f t="shared" si="557"/>
        <v>549.52975791012921</v>
      </c>
      <c r="H751">
        <f t="shared" si="557"/>
        <v>438.24466630896984</v>
      </c>
      <c r="I751">
        <f t="shared" si="557"/>
        <v>367.4951208671884</v>
      </c>
      <c r="J751">
        <f t="shared" si="557"/>
        <v>284.34448909473372</v>
      </c>
      <c r="K751">
        <f t="shared" si="557"/>
        <v>242.68463827325621</v>
      </c>
      <c r="L751">
        <f t="shared" si="557"/>
        <v>227.402831966078</v>
      </c>
      <c r="M751">
        <f t="shared" si="557"/>
        <v>312.67778812186219</v>
      </c>
      <c r="N751">
        <f t="shared" si="557"/>
        <v>382.84473579379494</v>
      </c>
      <c r="O751">
        <f t="shared" si="557"/>
        <v>384.56532222548549</v>
      </c>
      <c r="P751">
        <f t="shared" si="557"/>
        <v>277.97041749934147</v>
      </c>
      <c r="Q751">
        <f t="shared" si="557"/>
        <v>274.24498658954332</v>
      </c>
      <c r="R751">
        <f t="shared" si="557"/>
        <v>303.32613396872256</v>
      </c>
      <c r="S751">
        <f t="shared" si="557"/>
        <v>302.54883561564947</v>
      </c>
      <c r="T751">
        <f t="shared" si="557"/>
        <v>277.02305302470529</v>
      </c>
      <c r="U751">
        <f t="shared" si="557"/>
        <v>305.73769186377086</v>
      </c>
      <c r="V751">
        <f t="shared" si="557"/>
        <v>352.03561252352966</v>
      </c>
      <c r="W751">
        <f t="shared" si="557"/>
        <v>330.43149667455054</v>
      </c>
      <c r="Y751" s="15">
        <f t="shared" ref="Y751" si="558">SUM(D751:W751)</f>
        <v>7280.3288642686957</v>
      </c>
      <c r="Z751">
        <f>SUMPRODUCT($D$752:$S$752,D751:S751)</f>
        <v>-272.52010127300127</v>
      </c>
    </row>
    <row r="752" spans="1:26" x14ac:dyDescent="0.25">
      <c r="A752" s="2" t="s">
        <v>64</v>
      </c>
      <c r="D752" s="3">
        <f>CORREL($B$2:$B$21,D727:D746)</f>
        <v>-0.27636835783867109</v>
      </c>
      <c r="E752" s="3">
        <f t="shared" ref="E752:W752" si="559">CORREL($B$2:$B$21,E727:E746)</f>
        <v>0.43039157410984935</v>
      </c>
      <c r="F752" s="3">
        <f t="shared" si="559"/>
        <v>0.24786969857715344</v>
      </c>
      <c r="G752" s="3">
        <f t="shared" si="559"/>
        <v>0.23637543710940626</v>
      </c>
      <c r="H752" s="3">
        <f t="shared" si="559"/>
        <v>-2.5690383052402069E-2</v>
      </c>
      <c r="I752" s="3">
        <f t="shared" si="559"/>
        <v>-0.14443757439926036</v>
      </c>
      <c r="J752" s="3">
        <f t="shared" si="559"/>
        <v>-0.33132851938501751</v>
      </c>
      <c r="K752" s="3">
        <f t="shared" si="559"/>
        <v>-0.16964583446104026</v>
      </c>
      <c r="L752" s="3">
        <f t="shared" si="559"/>
        <v>-0.29251165914226285</v>
      </c>
      <c r="M752" s="3">
        <f t="shared" si="559"/>
        <v>-0.3280451123345835</v>
      </c>
      <c r="N752" s="3">
        <f t="shared" si="559"/>
        <v>-0.32328909421127189</v>
      </c>
      <c r="O752" s="3">
        <f t="shared" si="559"/>
        <v>-0.37912411777920102</v>
      </c>
      <c r="P752" s="3">
        <f t="shared" si="559"/>
        <v>-0.2668826340074385</v>
      </c>
      <c r="Q752" s="3">
        <f t="shared" si="559"/>
        <v>-2.9218314745177207E-2</v>
      </c>
      <c r="R752" s="3">
        <f t="shared" si="559"/>
        <v>-3.9362183625213286E-2</v>
      </c>
      <c r="S752" s="3">
        <f t="shared" si="559"/>
        <v>0.23816344478105728</v>
      </c>
      <c r="T752" s="3">
        <f t="shared" si="559"/>
        <v>-0.22447320391369441</v>
      </c>
      <c r="U752" s="3">
        <f t="shared" si="559"/>
        <v>-0.13307408338181562</v>
      </c>
      <c r="V752" s="3">
        <f t="shared" si="559"/>
        <v>-0.24856271159386831</v>
      </c>
      <c r="W752" s="3">
        <f t="shared" si="559"/>
        <v>-0.21331168007927648</v>
      </c>
    </row>
    <row r="755" spans="1:26" x14ac:dyDescent="0.25">
      <c r="D755" t="s">
        <v>283</v>
      </c>
      <c r="E755" t="s">
        <v>284</v>
      </c>
      <c r="F755" t="s">
        <v>285</v>
      </c>
      <c r="G755" t="s">
        <v>286</v>
      </c>
      <c r="H755" t="s">
        <v>287</v>
      </c>
      <c r="I755" t="s">
        <v>288</v>
      </c>
      <c r="J755" t="s">
        <v>289</v>
      </c>
      <c r="K755" t="s">
        <v>290</v>
      </c>
      <c r="L755" t="s">
        <v>359</v>
      </c>
      <c r="M755" t="s">
        <v>439</v>
      </c>
      <c r="N755" t="s">
        <v>440</v>
      </c>
      <c r="O755" t="s">
        <v>441</v>
      </c>
      <c r="P755" t="s">
        <v>550</v>
      </c>
      <c r="Q755" t="s">
        <v>551</v>
      </c>
      <c r="R755" t="s">
        <v>552</v>
      </c>
      <c r="S755" t="s">
        <v>553</v>
      </c>
      <c r="T755" t="s">
        <v>662</v>
      </c>
      <c r="U755" t="s">
        <v>663</v>
      </c>
      <c r="V755" t="s">
        <v>664</v>
      </c>
      <c r="W755" t="s">
        <v>665</v>
      </c>
      <c r="Y755" t="s">
        <v>291</v>
      </c>
      <c r="Z755" t="s">
        <v>292</v>
      </c>
    </row>
    <row r="756" spans="1:26" x14ac:dyDescent="0.25">
      <c r="A756" t="s">
        <v>43</v>
      </c>
      <c r="D756">
        <f t="shared" ref="D756:W756" si="560">D118*D176</f>
        <v>1127.6161897964059</v>
      </c>
      <c r="E756">
        <f t="shared" si="560"/>
        <v>163.10204081632654</v>
      </c>
      <c r="F756">
        <f t="shared" si="560"/>
        <v>351.34489795918375</v>
      </c>
      <c r="G756">
        <f t="shared" si="560"/>
        <v>467.73061224489805</v>
      </c>
      <c r="H756">
        <f t="shared" si="560"/>
        <v>826.75581979867036</v>
      </c>
      <c r="I756">
        <f t="shared" si="560"/>
        <v>942.03761057311578</v>
      </c>
      <c r="J756">
        <f t="shared" si="560"/>
        <v>656.78424721882016</v>
      </c>
      <c r="K756">
        <f t="shared" si="560"/>
        <v>756.79410506022327</v>
      </c>
      <c r="L756">
        <f t="shared" si="560"/>
        <v>573.68973658620473</v>
      </c>
      <c r="M756">
        <f t="shared" si="560"/>
        <v>658.07007299664281</v>
      </c>
      <c r="N756">
        <f t="shared" si="560"/>
        <v>709.51285513045548</v>
      </c>
      <c r="O756">
        <f t="shared" si="560"/>
        <v>586.51512385659646</v>
      </c>
      <c r="P756">
        <f t="shared" si="560"/>
        <v>474.0607438501392</v>
      </c>
      <c r="Q756">
        <f t="shared" si="560"/>
        <v>448.33673491838459</v>
      </c>
      <c r="R756">
        <f t="shared" si="560"/>
        <v>293.50814703455035</v>
      </c>
      <c r="S756">
        <f t="shared" si="560"/>
        <v>120.18295235053748</v>
      </c>
      <c r="T756">
        <f t="shared" si="560"/>
        <v>301.63531678907901</v>
      </c>
      <c r="U756">
        <f t="shared" si="560"/>
        <v>487.3687164994746</v>
      </c>
      <c r="V756">
        <f t="shared" si="560"/>
        <v>256.03149240590216</v>
      </c>
      <c r="W756">
        <f t="shared" si="560"/>
        <v>612.6337777408196</v>
      </c>
      <c r="Y756" s="15">
        <f t="shared" ref="Y756:Y779" si="561">SUM(D756:W756)</f>
        <v>10813.71119362643</v>
      </c>
      <c r="Z756">
        <f t="shared" ref="Z756:Z775" si="562">SUMPRODUCT($D$781:$O$781,D756:O756)</f>
        <v>-833.69954255678249</v>
      </c>
    </row>
    <row r="757" spans="1:26" x14ac:dyDescent="0.25">
      <c r="A757" t="s">
        <v>44</v>
      </c>
      <c r="D757">
        <f t="shared" ref="D757:W757" si="563">D119*D177</f>
        <v>371.75510204081627</v>
      </c>
      <c r="E757">
        <f t="shared" si="563"/>
        <v>350.44897959183669</v>
      </c>
      <c r="F757">
        <f t="shared" si="563"/>
        <v>603.66530612244901</v>
      </c>
      <c r="G757">
        <f t="shared" si="563"/>
        <v>990.0408163265306</v>
      </c>
      <c r="H757">
        <f t="shared" si="563"/>
        <v>419.41778479471714</v>
      </c>
      <c r="I757">
        <f t="shared" si="563"/>
        <v>357.84356155991077</v>
      </c>
      <c r="J757">
        <f t="shared" si="563"/>
        <v>332.23933064643711</v>
      </c>
      <c r="K757">
        <f t="shared" si="563"/>
        <v>310.27747285140117</v>
      </c>
      <c r="L757">
        <f t="shared" si="563"/>
        <v>286.29092517113321</v>
      </c>
      <c r="M757">
        <f t="shared" si="563"/>
        <v>197.04030121770157</v>
      </c>
      <c r="N757">
        <f t="shared" si="563"/>
        <v>275.80385493460676</v>
      </c>
      <c r="O757">
        <f t="shared" si="563"/>
        <v>307.5608131732979</v>
      </c>
      <c r="P757">
        <f t="shared" si="563"/>
        <v>316.66139280575828</v>
      </c>
      <c r="Q757">
        <f t="shared" si="563"/>
        <v>663.60387520067297</v>
      </c>
      <c r="R757">
        <f t="shared" si="563"/>
        <v>322.98342084045157</v>
      </c>
      <c r="S757">
        <f t="shared" si="563"/>
        <v>127.12381287561777</v>
      </c>
      <c r="T757">
        <f t="shared" si="563"/>
        <v>165.71757277517611</v>
      </c>
      <c r="U757">
        <f t="shared" si="563"/>
        <v>109.34263015275639</v>
      </c>
      <c r="V757">
        <f t="shared" si="563"/>
        <v>110.25188494106449</v>
      </c>
      <c r="W757">
        <f t="shared" si="563"/>
        <v>110.18079653043671</v>
      </c>
      <c r="Y757" s="15">
        <f t="shared" si="561"/>
        <v>6728.2496345527734</v>
      </c>
      <c r="Z757">
        <f t="shared" si="562"/>
        <v>-38.176049135763868</v>
      </c>
    </row>
    <row r="758" spans="1:26" x14ac:dyDescent="0.25">
      <c r="A758" t="s">
        <v>45</v>
      </c>
      <c r="D758">
        <f t="shared" ref="D758:W758" si="564">D120*D178</f>
        <v>707.36861302726641</v>
      </c>
      <c r="E758">
        <f t="shared" si="564"/>
        <v>268.81632653061229</v>
      </c>
      <c r="F758">
        <f t="shared" si="564"/>
        <v>389.68163265306123</v>
      </c>
      <c r="G758">
        <f t="shared" si="564"/>
        <v>237.11428571428573</v>
      </c>
      <c r="H758">
        <f t="shared" si="564"/>
        <v>856.72730547950243</v>
      </c>
      <c r="I758">
        <f t="shared" si="564"/>
        <v>659.04892009421224</v>
      </c>
      <c r="J758">
        <f t="shared" si="564"/>
        <v>600.44868758683344</v>
      </c>
      <c r="K758">
        <f t="shared" si="564"/>
        <v>567.64488120993758</v>
      </c>
      <c r="L758">
        <f t="shared" si="564"/>
        <v>493.36051883596804</v>
      </c>
      <c r="M758">
        <f t="shared" si="564"/>
        <v>127.16281774885196</v>
      </c>
      <c r="N758">
        <f t="shared" si="564"/>
        <v>129.76465304337356</v>
      </c>
      <c r="O758">
        <f t="shared" si="564"/>
        <v>105.36189143408305</v>
      </c>
      <c r="P758">
        <f t="shared" si="564"/>
        <v>102.81849573493015</v>
      </c>
      <c r="Q758">
        <f t="shared" si="564"/>
        <v>181.74039558632518</v>
      </c>
      <c r="R758">
        <f t="shared" si="564"/>
        <v>189.59913040478759</v>
      </c>
      <c r="S758">
        <f t="shared" si="564"/>
        <v>137.42906721254099</v>
      </c>
      <c r="T758">
        <f t="shared" si="564"/>
        <v>60.95910306572268</v>
      </c>
      <c r="U758">
        <f t="shared" si="564"/>
        <v>465.24476900635142</v>
      </c>
      <c r="V758">
        <f t="shared" si="564"/>
        <v>364.53375080254062</v>
      </c>
      <c r="W758">
        <f t="shared" si="564"/>
        <v>483.90383841776759</v>
      </c>
      <c r="Y758" s="15">
        <f t="shared" si="561"/>
        <v>7128.7290835889553</v>
      </c>
      <c r="Z758">
        <f t="shared" si="562"/>
        <v>-325.65717924199123</v>
      </c>
    </row>
    <row r="759" spans="1:26" x14ac:dyDescent="0.25">
      <c r="A759" t="s">
        <v>46</v>
      </c>
      <c r="D759">
        <f t="shared" ref="D759:W759" si="565">D121*D179</f>
        <v>1008.8500377687255</v>
      </c>
      <c r="E759">
        <f t="shared" si="565"/>
        <v>672.18815319428154</v>
      </c>
      <c r="F759">
        <f t="shared" si="565"/>
        <v>332.14172643516122</v>
      </c>
      <c r="G759">
        <f t="shared" si="565"/>
        <v>163.75684026962509</v>
      </c>
      <c r="H759">
        <f t="shared" si="565"/>
        <v>440.74611157702265</v>
      </c>
      <c r="I759">
        <f t="shared" si="565"/>
        <v>165.11965177066628</v>
      </c>
      <c r="J759">
        <f t="shared" si="565"/>
        <v>941.67310860336295</v>
      </c>
      <c r="K759">
        <f t="shared" si="565"/>
        <v>445.25530833571383</v>
      </c>
      <c r="L759">
        <f t="shared" si="565"/>
        <v>1139.9853281785956</v>
      </c>
      <c r="M759">
        <f t="shared" si="565"/>
        <v>1168.4091856193088</v>
      </c>
      <c r="N759">
        <f t="shared" si="565"/>
        <v>568.53476992505182</v>
      </c>
      <c r="O759">
        <f t="shared" si="565"/>
        <v>681.82643702711698</v>
      </c>
      <c r="P759">
        <f t="shared" si="565"/>
        <v>313.97031112749175</v>
      </c>
      <c r="Q759">
        <f t="shared" si="565"/>
        <v>89.803474281358746</v>
      </c>
      <c r="R759">
        <f t="shared" si="565"/>
        <v>179.61044332294068</v>
      </c>
      <c r="S759">
        <f t="shared" si="565"/>
        <v>69.048480328963009</v>
      </c>
      <c r="T759">
        <f t="shared" si="565"/>
        <v>230.30021390618421</v>
      </c>
      <c r="U759">
        <f t="shared" si="565"/>
        <v>210.49530237484726</v>
      </c>
      <c r="V759">
        <f t="shared" si="565"/>
        <v>366.15303003820935</v>
      </c>
      <c r="W759">
        <f t="shared" si="565"/>
        <v>461.58227748615741</v>
      </c>
      <c r="Y759" s="15">
        <f t="shared" si="561"/>
        <v>9649.450191570786</v>
      </c>
      <c r="Z759">
        <f t="shared" si="562"/>
        <v>-1135.8605769256146</v>
      </c>
    </row>
    <row r="760" spans="1:26" x14ac:dyDescent="0.25">
      <c r="A760" t="s">
        <v>47</v>
      </c>
      <c r="D760">
        <f t="shared" ref="D760:W760" si="566">D122*D180</f>
        <v>521.79207138600941</v>
      </c>
      <c r="E760">
        <f t="shared" si="566"/>
        <v>371.39987790563703</v>
      </c>
      <c r="F760">
        <f t="shared" si="566"/>
        <v>337.10383968750767</v>
      </c>
      <c r="G760">
        <f t="shared" si="566"/>
        <v>236.09091718973448</v>
      </c>
      <c r="H760">
        <f t="shared" si="566"/>
        <v>189.23639688948037</v>
      </c>
      <c r="I760">
        <f t="shared" si="566"/>
        <v>229.90782097181244</v>
      </c>
      <c r="J760">
        <f t="shared" si="566"/>
        <v>147.21190296821777</v>
      </c>
      <c r="K760">
        <f t="shared" si="566"/>
        <v>122.32985012937328</v>
      </c>
      <c r="L760">
        <f t="shared" si="566"/>
        <v>288.09012055638385</v>
      </c>
      <c r="M760">
        <f t="shared" si="566"/>
        <v>332.68043925059021</v>
      </c>
      <c r="N760">
        <f t="shared" si="566"/>
        <v>387.66384873847164</v>
      </c>
      <c r="O760">
        <f t="shared" si="566"/>
        <v>273.41309360066464</v>
      </c>
      <c r="P760">
        <f t="shared" si="566"/>
        <v>271.98432543809338</v>
      </c>
      <c r="Q760">
        <f t="shared" si="566"/>
        <v>316.959445284195</v>
      </c>
      <c r="R760">
        <f t="shared" si="566"/>
        <v>132.47535652038371</v>
      </c>
      <c r="S760">
        <f t="shared" si="566"/>
        <v>304.66746576943194</v>
      </c>
      <c r="T760">
        <f t="shared" si="566"/>
        <v>441.33130100195513</v>
      </c>
      <c r="U760">
        <f t="shared" si="566"/>
        <v>225.114472586451</v>
      </c>
      <c r="V760">
        <f t="shared" si="566"/>
        <v>277.2115994198416</v>
      </c>
      <c r="W760">
        <f t="shared" si="566"/>
        <v>353.93245964394208</v>
      </c>
      <c r="Y760" s="15">
        <f t="shared" si="561"/>
        <v>5760.596604938175</v>
      </c>
      <c r="Z760">
        <f t="shared" si="562"/>
        <v>-284.38853027063516</v>
      </c>
    </row>
    <row r="761" spans="1:26" x14ac:dyDescent="0.25">
      <c r="A761" t="s">
        <v>48</v>
      </c>
      <c r="D761">
        <f t="shared" ref="D761:W761" si="567">D123*D181</f>
        <v>581.8630095950399</v>
      </c>
      <c r="E761">
        <f t="shared" si="567"/>
        <v>393.02281475425747</v>
      </c>
      <c r="F761">
        <f t="shared" si="567"/>
        <v>299.25313344849525</v>
      </c>
      <c r="G761">
        <f t="shared" si="567"/>
        <v>392.51345645123968</v>
      </c>
      <c r="H761">
        <f t="shared" si="567"/>
        <v>672.81536567217574</v>
      </c>
      <c r="I761">
        <f t="shared" si="567"/>
        <v>437.8653717897987</v>
      </c>
      <c r="J761">
        <f t="shared" si="567"/>
        <v>175.65699296128949</v>
      </c>
      <c r="K761">
        <f t="shared" si="567"/>
        <v>404.20218773426905</v>
      </c>
      <c r="L761">
        <f t="shared" si="567"/>
        <v>215.03172624445114</v>
      </c>
      <c r="M761">
        <f t="shared" si="567"/>
        <v>172.2819301695915</v>
      </c>
      <c r="N761">
        <f t="shared" si="567"/>
        <v>208.08563725549192</v>
      </c>
      <c r="O761">
        <f t="shared" si="567"/>
        <v>161.47131957092054</v>
      </c>
      <c r="P761">
        <f t="shared" si="567"/>
        <v>235.03886990697924</v>
      </c>
      <c r="Q761">
        <f t="shared" si="567"/>
        <v>171.29284051190916</v>
      </c>
      <c r="R761">
        <f t="shared" si="567"/>
        <v>106.86378961892105</v>
      </c>
      <c r="S761">
        <f t="shared" si="567"/>
        <v>138.87746194841387</v>
      </c>
      <c r="T761">
        <f t="shared" si="567"/>
        <v>161.27244400736268</v>
      </c>
      <c r="U761">
        <f t="shared" si="567"/>
        <v>214.16207295075245</v>
      </c>
      <c r="V761">
        <f t="shared" si="567"/>
        <v>152.09088034546025</v>
      </c>
      <c r="W761">
        <f t="shared" si="567"/>
        <v>269.9356556950591</v>
      </c>
      <c r="Y761" s="15">
        <f t="shared" si="561"/>
        <v>5563.5969606318768</v>
      </c>
      <c r="Z761">
        <f t="shared" si="562"/>
        <v>-92.734651362342447</v>
      </c>
    </row>
    <row r="762" spans="1:26" x14ac:dyDescent="0.25">
      <c r="A762" t="s">
        <v>49</v>
      </c>
      <c r="D762">
        <f t="shared" ref="D762:W762" si="568">D124*D182</f>
        <v>904.00104861119667</v>
      </c>
      <c r="E762">
        <f t="shared" si="568"/>
        <v>369.9630934504184</v>
      </c>
      <c r="F762">
        <f t="shared" si="568"/>
        <v>520.61844442297684</v>
      </c>
      <c r="G762">
        <f t="shared" si="568"/>
        <v>647.30764427580948</v>
      </c>
      <c r="H762">
        <f t="shared" si="568"/>
        <v>379.96239870508117</v>
      </c>
      <c r="I762">
        <f t="shared" si="568"/>
        <v>517.23900106446649</v>
      </c>
      <c r="J762">
        <f t="shared" si="568"/>
        <v>451.06778370590644</v>
      </c>
      <c r="K762">
        <f t="shared" si="568"/>
        <v>741.71242664500994</v>
      </c>
      <c r="L762">
        <f t="shared" si="568"/>
        <v>314.36228200742289</v>
      </c>
      <c r="M762">
        <f t="shared" si="568"/>
        <v>467.53589380012511</v>
      </c>
      <c r="N762">
        <f t="shared" si="568"/>
        <v>284.94924030696023</v>
      </c>
      <c r="O762">
        <f t="shared" si="568"/>
        <v>415.4712941496507</v>
      </c>
      <c r="P762">
        <f t="shared" si="568"/>
        <v>557.65684782468838</v>
      </c>
      <c r="Q762">
        <f t="shared" si="568"/>
        <v>548.5227696079013</v>
      </c>
      <c r="R762">
        <f t="shared" si="568"/>
        <v>398.18948327316986</v>
      </c>
      <c r="S762">
        <f t="shared" si="568"/>
        <v>595.15201502708805</v>
      </c>
      <c r="T762">
        <f t="shared" si="568"/>
        <v>608.20119599762916</v>
      </c>
      <c r="U762">
        <f t="shared" si="568"/>
        <v>474.58771917948752</v>
      </c>
      <c r="V762">
        <f t="shared" si="568"/>
        <v>586.42796393067192</v>
      </c>
      <c r="W762">
        <f t="shared" si="568"/>
        <v>459.24619290858067</v>
      </c>
      <c r="Y762" s="15">
        <f t="shared" si="561"/>
        <v>10242.17473889424</v>
      </c>
      <c r="Z762">
        <f t="shared" si="562"/>
        <v>-440.02597991330754</v>
      </c>
    </row>
    <row r="763" spans="1:26" x14ac:dyDescent="0.25">
      <c r="A763" t="s">
        <v>50</v>
      </c>
      <c r="D763">
        <f t="shared" ref="D763:W763" si="569">D125*D183</f>
        <v>438.30445024896261</v>
      </c>
      <c r="E763">
        <f t="shared" si="569"/>
        <v>271.11836734693878</v>
      </c>
      <c r="F763">
        <f t="shared" si="569"/>
        <v>206.91020408163268</v>
      </c>
      <c r="G763">
        <f t="shared" si="569"/>
        <v>300.13673469387749</v>
      </c>
      <c r="H763">
        <f t="shared" si="569"/>
        <v>378.15537410729172</v>
      </c>
      <c r="I763">
        <f t="shared" si="569"/>
        <v>75.516087566528682</v>
      </c>
      <c r="J763">
        <f t="shared" si="569"/>
        <v>114.31848553029904</v>
      </c>
      <c r="K763">
        <f t="shared" si="569"/>
        <v>72.384454943488649</v>
      </c>
      <c r="L763">
        <f t="shared" si="569"/>
        <v>53.184727872174719</v>
      </c>
      <c r="M763">
        <f t="shared" si="569"/>
        <v>124.96161612240061</v>
      </c>
      <c r="N763">
        <f t="shared" si="569"/>
        <v>134.98607094775187</v>
      </c>
      <c r="O763">
        <f t="shared" si="569"/>
        <v>120.98383970837466</v>
      </c>
      <c r="P763">
        <f t="shared" si="569"/>
        <v>134.16243200577938</v>
      </c>
      <c r="Q763">
        <f t="shared" si="569"/>
        <v>155.96504942525297</v>
      </c>
      <c r="R763">
        <f t="shared" si="569"/>
        <v>116.1581506097462</v>
      </c>
      <c r="S763">
        <f t="shared" si="569"/>
        <v>180.71152600291575</v>
      </c>
      <c r="T763">
        <f t="shared" si="569"/>
        <v>358.44462639976791</v>
      </c>
      <c r="U763">
        <f t="shared" si="569"/>
        <v>270.65395603733418</v>
      </c>
      <c r="V763">
        <f t="shared" si="569"/>
        <v>77.878438767917373</v>
      </c>
      <c r="W763">
        <f t="shared" si="569"/>
        <v>347.09953102708073</v>
      </c>
      <c r="Y763" s="15">
        <f t="shared" si="561"/>
        <v>3932.0341234455163</v>
      </c>
      <c r="Z763">
        <f t="shared" si="562"/>
        <v>-50.797151293117452</v>
      </c>
    </row>
    <row r="764" spans="1:26" x14ac:dyDescent="0.25">
      <c r="A764" t="s">
        <v>51</v>
      </c>
      <c r="D764">
        <f t="shared" ref="D764:W764" si="570">D126*D184</f>
        <v>151.73263293285353</v>
      </c>
      <c r="E764">
        <f t="shared" si="570"/>
        <v>227.70498840278884</v>
      </c>
      <c r="F764">
        <f t="shared" si="570"/>
        <v>362.13690165072177</v>
      </c>
      <c r="G764">
        <f t="shared" si="570"/>
        <v>144.14899561067202</v>
      </c>
      <c r="H764">
        <f t="shared" si="570"/>
        <v>163.72152012784619</v>
      </c>
      <c r="I764">
        <f t="shared" si="570"/>
        <v>80.339392824691046</v>
      </c>
      <c r="J764">
        <f t="shared" si="570"/>
        <v>35.598469504824664</v>
      </c>
      <c r="K764">
        <f t="shared" si="570"/>
        <v>76.565306925988665</v>
      </c>
      <c r="L764">
        <f t="shared" si="570"/>
        <v>99.478904628467006</v>
      </c>
      <c r="M764">
        <f t="shared" si="570"/>
        <v>91.828256096123084</v>
      </c>
      <c r="N764">
        <f t="shared" si="570"/>
        <v>94.687033558830905</v>
      </c>
      <c r="O764">
        <f t="shared" si="570"/>
        <v>123.70143188238846</v>
      </c>
      <c r="P764">
        <f t="shared" si="570"/>
        <v>230.82300179036037</v>
      </c>
      <c r="Q764">
        <f t="shared" si="570"/>
        <v>269.77528594591291</v>
      </c>
      <c r="R764">
        <f t="shared" si="570"/>
        <v>209.95883965999292</v>
      </c>
      <c r="S764">
        <f t="shared" si="570"/>
        <v>66.746461709198883</v>
      </c>
      <c r="T764">
        <f t="shared" si="570"/>
        <v>134.10919067574579</v>
      </c>
      <c r="U764">
        <f t="shared" si="570"/>
        <v>45.372036467403284</v>
      </c>
      <c r="V764">
        <f t="shared" si="570"/>
        <v>129.45413989250551</v>
      </c>
      <c r="W764">
        <f t="shared" si="570"/>
        <v>187.39129876630665</v>
      </c>
      <c r="Y764" s="15">
        <f t="shared" si="561"/>
        <v>2925.274089053622</v>
      </c>
      <c r="Z764">
        <f t="shared" si="562"/>
        <v>35.113627954760005</v>
      </c>
    </row>
    <row r="765" spans="1:26" x14ac:dyDescent="0.25">
      <c r="A765" t="s">
        <v>52</v>
      </c>
      <c r="D765">
        <f t="shared" ref="D765:W765" si="571">D127*D185</f>
        <v>316.73945895204099</v>
      </c>
      <c r="E765">
        <f t="shared" si="571"/>
        <v>138.58924910435496</v>
      </c>
      <c r="F765">
        <f t="shared" si="571"/>
        <v>164.46715471303582</v>
      </c>
      <c r="G765">
        <f t="shared" si="571"/>
        <v>75.584217357718401</v>
      </c>
      <c r="H765">
        <f t="shared" si="571"/>
        <v>114.28659180018327</v>
      </c>
      <c r="I765">
        <f t="shared" si="571"/>
        <v>54.901583905106364</v>
      </c>
      <c r="J765">
        <f t="shared" si="571"/>
        <v>85.691263096133881</v>
      </c>
      <c r="K765">
        <f t="shared" si="571"/>
        <v>80.755515699067558</v>
      </c>
      <c r="L765">
        <f t="shared" si="571"/>
        <v>135.00990723266665</v>
      </c>
      <c r="M765">
        <f t="shared" si="571"/>
        <v>95.162924238248095</v>
      </c>
      <c r="N765">
        <f t="shared" si="571"/>
        <v>108.52471923624765</v>
      </c>
      <c r="O765">
        <f t="shared" si="571"/>
        <v>43.387453285256242</v>
      </c>
      <c r="P765">
        <f t="shared" si="571"/>
        <v>44.355624876890239</v>
      </c>
      <c r="Q765">
        <f t="shared" si="571"/>
        <v>292.05097572304123</v>
      </c>
      <c r="R765">
        <f t="shared" si="571"/>
        <v>200.18177629470605</v>
      </c>
      <c r="S765">
        <f t="shared" si="571"/>
        <v>105.05456293570154</v>
      </c>
      <c r="T765">
        <f t="shared" si="571"/>
        <v>35.301080765075284</v>
      </c>
      <c r="U765">
        <f t="shared" si="571"/>
        <v>88.634505913990239</v>
      </c>
      <c r="V765">
        <f t="shared" si="571"/>
        <v>108.32719854668777</v>
      </c>
      <c r="W765">
        <f t="shared" si="571"/>
        <v>101.52238752396232</v>
      </c>
      <c r="Y765" s="15">
        <f t="shared" si="561"/>
        <v>2388.5281512001138</v>
      </c>
      <c r="Z765">
        <f t="shared" si="562"/>
        <v>-140.12795412867837</v>
      </c>
    </row>
    <row r="766" spans="1:26" x14ac:dyDescent="0.25">
      <c r="A766" t="s">
        <v>53</v>
      </c>
      <c r="D766">
        <f t="shared" ref="D766:W766" si="572">D128*D186</f>
        <v>350.02011414894031</v>
      </c>
      <c r="E766">
        <f t="shared" si="572"/>
        <v>346.71411230122072</v>
      </c>
      <c r="F766">
        <f t="shared" si="572"/>
        <v>182.68940599041827</v>
      </c>
      <c r="G766">
        <f t="shared" si="572"/>
        <v>55.780018176112854</v>
      </c>
      <c r="H766">
        <f t="shared" si="572"/>
        <v>79.469677175760509</v>
      </c>
      <c r="I766">
        <f t="shared" si="572"/>
        <v>124.64281324681102</v>
      </c>
      <c r="J766">
        <f t="shared" si="572"/>
        <v>50.69325716777665</v>
      </c>
      <c r="K766">
        <f t="shared" si="572"/>
        <v>242.32941345590572</v>
      </c>
      <c r="L766">
        <f t="shared" si="572"/>
        <v>80.927598787336038</v>
      </c>
      <c r="M766">
        <f t="shared" si="572"/>
        <v>226.47574776472254</v>
      </c>
      <c r="N766">
        <f t="shared" si="572"/>
        <v>262.77986989158353</v>
      </c>
      <c r="O766">
        <f t="shared" si="572"/>
        <v>180.35142462105114</v>
      </c>
      <c r="P766">
        <f t="shared" si="572"/>
        <v>110.91309191030868</v>
      </c>
      <c r="Q766">
        <f t="shared" si="572"/>
        <v>164.0683335348443</v>
      </c>
      <c r="R766">
        <f t="shared" si="572"/>
        <v>109.23264985257404</v>
      </c>
      <c r="S766">
        <f t="shared" si="572"/>
        <v>111.18417998683432</v>
      </c>
      <c r="T766">
        <f t="shared" si="572"/>
        <v>210.72480336013948</v>
      </c>
      <c r="U766">
        <f t="shared" si="572"/>
        <v>311.57678732903696</v>
      </c>
      <c r="V766">
        <f t="shared" si="572"/>
        <v>95.788146094885192</v>
      </c>
      <c r="W766">
        <f t="shared" si="572"/>
        <v>23.399306350948233</v>
      </c>
      <c r="Y766" s="15">
        <f t="shared" si="561"/>
        <v>3319.7607511472106</v>
      </c>
      <c r="Z766">
        <f t="shared" si="562"/>
        <v>-151.72878065135902</v>
      </c>
    </row>
    <row r="767" spans="1:26" x14ac:dyDescent="0.25">
      <c r="A767" t="s">
        <v>54</v>
      </c>
      <c r="D767">
        <f t="shared" ref="D767:W767" si="573">D129*D187</f>
        <v>248.14584686020436</v>
      </c>
      <c r="E767">
        <f t="shared" si="573"/>
        <v>448.83925511191717</v>
      </c>
      <c r="F767">
        <f t="shared" si="573"/>
        <v>282.15933709687465</v>
      </c>
      <c r="G767">
        <f t="shared" si="573"/>
        <v>288.71559304373602</v>
      </c>
      <c r="H767">
        <f t="shared" si="573"/>
        <v>193.98178050070695</v>
      </c>
      <c r="I767">
        <f t="shared" si="573"/>
        <v>243.0968442559371</v>
      </c>
      <c r="J767">
        <f t="shared" si="573"/>
        <v>71.933766119073283</v>
      </c>
      <c r="K767">
        <f t="shared" si="573"/>
        <v>42.717309324467699</v>
      </c>
      <c r="L767">
        <f t="shared" si="573"/>
        <v>99.507241465106105</v>
      </c>
      <c r="M767">
        <f t="shared" si="573"/>
        <v>51.954064072999316</v>
      </c>
      <c r="N767">
        <f t="shared" si="573"/>
        <v>78.996428486243147</v>
      </c>
      <c r="O767">
        <f t="shared" si="573"/>
        <v>82.109665712124709</v>
      </c>
      <c r="P767">
        <f t="shared" si="573"/>
        <v>47.164009736296556</v>
      </c>
      <c r="Q767">
        <f t="shared" si="573"/>
        <v>85.992507496341275</v>
      </c>
      <c r="R767">
        <f t="shared" si="573"/>
        <v>170.32099451907192</v>
      </c>
      <c r="S767">
        <f t="shared" si="573"/>
        <v>107.2096919665417</v>
      </c>
      <c r="T767">
        <f t="shared" si="573"/>
        <v>29.29949722795622</v>
      </c>
      <c r="U767">
        <f t="shared" si="573"/>
        <v>55.567724508949361</v>
      </c>
      <c r="V767">
        <f t="shared" si="573"/>
        <v>120.997608688333</v>
      </c>
      <c r="W767">
        <f t="shared" si="573"/>
        <v>26.686101693296685</v>
      </c>
      <c r="Y767" s="15">
        <f t="shared" si="561"/>
        <v>2775.3952678861774</v>
      </c>
      <c r="Z767">
        <f t="shared" si="562"/>
        <v>74.642064514420753</v>
      </c>
    </row>
    <row r="768" spans="1:26" x14ac:dyDescent="0.25">
      <c r="A768" t="s">
        <v>55</v>
      </c>
      <c r="D768">
        <f t="shared" ref="D768:W768" si="574">D130*D188</f>
        <v>179.53470821661293</v>
      </c>
      <c r="E768">
        <f t="shared" si="574"/>
        <v>210.69284636555435</v>
      </c>
      <c r="F768">
        <f t="shared" si="574"/>
        <v>293.98543430280466</v>
      </c>
      <c r="G768">
        <f t="shared" si="574"/>
        <v>122.30462116304282</v>
      </c>
      <c r="H768">
        <f t="shared" si="574"/>
        <v>71.321304619606792</v>
      </c>
      <c r="I768">
        <f t="shared" si="574"/>
        <v>135.60021185251162</v>
      </c>
      <c r="J768">
        <f t="shared" si="574"/>
        <v>45.505276782160074</v>
      </c>
      <c r="K768">
        <f t="shared" si="574"/>
        <v>12.748166531134576</v>
      </c>
      <c r="L768">
        <f t="shared" si="574"/>
        <v>97.029440866512601</v>
      </c>
      <c r="M768">
        <f t="shared" si="574"/>
        <v>51.115160021029155</v>
      </c>
      <c r="N768">
        <f t="shared" si="574"/>
        <v>155.59062805820381</v>
      </c>
      <c r="O768">
        <f t="shared" si="574"/>
        <v>80.968643130962207</v>
      </c>
      <c r="P768">
        <f t="shared" si="574"/>
        <v>108.93587142692272</v>
      </c>
      <c r="Q768">
        <f t="shared" si="574"/>
        <v>85.393285158125295</v>
      </c>
      <c r="R768">
        <f t="shared" si="574"/>
        <v>146.08287552393483</v>
      </c>
      <c r="S768">
        <f t="shared" si="574"/>
        <v>192.99870869202022</v>
      </c>
      <c r="T768">
        <f t="shared" si="574"/>
        <v>3.6611950536901929</v>
      </c>
      <c r="U768">
        <f t="shared" si="574"/>
        <v>143.48800643117431</v>
      </c>
      <c r="V768">
        <f t="shared" si="574"/>
        <v>253.45323784207207</v>
      </c>
      <c r="W768">
        <f t="shared" si="574"/>
        <v>338.96479178474698</v>
      </c>
      <c r="Y768" s="15">
        <f t="shared" si="561"/>
        <v>2729.3744138228221</v>
      </c>
      <c r="Z768">
        <f t="shared" si="562"/>
        <v>-18.463185954374989</v>
      </c>
    </row>
    <row r="769" spans="1:26" x14ac:dyDescent="0.25">
      <c r="A769" t="s">
        <v>56</v>
      </c>
      <c r="D769">
        <f t="shared" ref="D769:W769" si="575">D131*D189</f>
        <v>551.23549535055338</v>
      </c>
      <c r="E769">
        <f t="shared" si="575"/>
        <v>392.2</v>
      </c>
      <c r="F769">
        <f t="shared" si="575"/>
        <v>352.14285714285717</v>
      </c>
      <c r="G769">
        <f t="shared" si="575"/>
        <v>285.2</v>
      </c>
      <c r="H769">
        <f t="shared" si="575"/>
        <v>209.82699466508348</v>
      </c>
      <c r="I769">
        <f t="shared" si="575"/>
        <v>143.75106807242491</v>
      </c>
      <c r="J769">
        <f t="shared" si="575"/>
        <v>93.644446751737505</v>
      </c>
      <c r="K769">
        <f t="shared" si="575"/>
        <v>105.54030604400523</v>
      </c>
      <c r="L769">
        <f t="shared" si="575"/>
        <v>471.42857230894037</v>
      </c>
      <c r="M769">
        <f t="shared" si="575"/>
        <v>146.65737136554094</v>
      </c>
      <c r="N769">
        <f t="shared" si="575"/>
        <v>170.43612552602247</v>
      </c>
      <c r="O769">
        <f t="shared" si="575"/>
        <v>406.56165442492301</v>
      </c>
      <c r="P769">
        <f t="shared" si="575"/>
        <v>236.92944223988894</v>
      </c>
      <c r="Q769">
        <f t="shared" si="575"/>
        <v>233.5084279004719</v>
      </c>
      <c r="R769">
        <f t="shared" si="575"/>
        <v>305.40305080098938</v>
      </c>
      <c r="S769">
        <f t="shared" si="575"/>
        <v>323.11038237925749</v>
      </c>
      <c r="T769">
        <f t="shared" si="575"/>
        <v>331.66749666420668</v>
      </c>
      <c r="U769">
        <f t="shared" si="575"/>
        <v>294.62830353542506</v>
      </c>
      <c r="V769">
        <f t="shared" si="575"/>
        <v>539.34711491408734</v>
      </c>
      <c r="W769">
        <f t="shared" si="575"/>
        <v>883.0877645800191</v>
      </c>
      <c r="Y769" s="15">
        <f t="shared" si="561"/>
        <v>6476.3068746664339</v>
      </c>
      <c r="Z769">
        <f t="shared" si="562"/>
        <v>-216.04112851394609</v>
      </c>
    </row>
    <row r="770" spans="1:26" x14ac:dyDescent="0.25">
      <c r="A770" t="s">
        <v>57</v>
      </c>
      <c r="D770">
        <f t="shared" ref="D770:W770" si="576">D132*D190</f>
        <v>486.99999999999994</v>
      </c>
      <c r="E770">
        <f t="shared" si="576"/>
        <v>580.2714285714286</v>
      </c>
      <c r="F770">
        <f t="shared" si="576"/>
        <v>781.03673469387763</v>
      </c>
      <c r="G770">
        <f t="shared" si="576"/>
        <v>468.73469387755102</v>
      </c>
      <c r="H770">
        <f t="shared" si="576"/>
        <v>267.26518008877969</v>
      </c>
      <c r="I770">
        <f t="shared" si="576"/>
        <v>250.73890899157774</v>
      </c>
      <c r="J770">
        <f t="shared" si="576"/>
        <v>169.64327658704454</v>
      </c>
      <c r="K770">
        <f t="shared" si="576"/>
        <v>188.83462590875442</v>
      </c>
      <c r="L770">
        <f t="shared" si="576"/>
        <v>205.81882802918648</v>
      </c>
      <c r="M770">
        <f t="shared" si="576"/>
        <v>277.72239120472443</v>
      </c>
      <c r="N770">
        <f t="shared" si="576"/>
        <v>246.44226618252415</v>
      </c>
      <c r="O770">
        <f t="shared" si="576"/>
        <v>234.04012601945624</v>
      </c>
      <c r="P770">
        <f t="shared" si="576"/>
        <v>243.24145453525333</v>
      </c>
      <c r="Q770">
        <f t="shared" si="576"/>
        <v>276.14420792370851</v>
      </c>
      <c r="R770">
        <f t="shared" si="576"/>
        <v>193.27325153039334</v>
      </c>
      <c r="S770">
        <f t="shared" si="576"/>
        <v>202.08571999550296</v>
      </c>
      <c r="T770">
        <f t="shared" si="576"/>
        <v>222.86532275273677</v>
      </c>
      <c r="U770">
        <f t="shared" si="576"/>
        <v>247.93417976136132</v>
      </c>
      <c r="V770">
        <f t="shared" si="576"/>
        <v>226.15161186732718</v>
      </c>
      <c r="W770">
        <f t="shared" si="576"/>
        <v>289.37154580065152</v>
      </c>
      <c r="Y770" s="15">
        <f t="shared" si="561"/>
        <v>6058.6157543218396</v>
      </c>
      <c r="Z770">
        <f t="shared" si="562"/>
        <v>-17.939138454614881</v>
      </c>
    </row>
    <row r="771" spans="1:26" x14ac:dyDescent="0.25">
      <c r="A771" t="s">
        <v>58</v>
      </c>
      <c r="D771">
        <f t="shared" ref="D771:W771" si="577">D133*D191</f>
        <v>518.19591836734685</v>
      </c>
      <c r="E771">
        <f t="shared" si="577"/>
        <v>427.27346938775509</v>
      </c>
      <c r="F771">
        <f t="shared" si="577"/>
        <v>235.13877551020408</v>
      </c>
      <c r="G771">
        <f t="shared" si="577"/>
        <v>148.70204081632653</v>
      </c>
      <c r="H771">
        <f t="shared" si="577"/>
        <v>322.48999570602319</v>
      </c>
      <c r="I771">
        <f t="shared" si="577"/>
        <v>254.54248839417795</v>
      </c>
      <c r="J771">
        <f t="shared" si="577"/>
        <v>262.64159849101816</v>
      </c>
      <c r="K771">
        <f t="shared" si="577"/>
        <v>271.19640677981459</v>
      </c>
      <c r="L771">
        <f t="shared" si="577"/>
        <v>268.66290890868817</v>
      </c>
      <c r="M771">
        <f t="shared" si="577"/>
        <v>539.57864851469742</v>
      </c>
      <c r="N771">
        <f t="shared" si="577"/>
        <v>555.37142918113148</v>
      </c>
      <c r="O771">
        <f t="shared" si="577"/>
        <v>497.18838967332312</v>
      </c>
      <c r="P771">
        <f t="shared" si="577"/>
        <v>193.75655429148557</v>
      </c>
      <c r="Q771">
        <f t="shared" si="577"/>
        <v>265.76851688782574</v>
      </c>
      <c r="R771">
        <f t="shared" si="577"/>
        <v>195.3457662592229</v>
      </c>
      <c r="S771">
        <f t="shared" si="577"/>
        <v>386.13497172233895</v>
      </c>
      <c r="T771">
        <f t="shared" si="577"/>
        <v>532.10242768181411</v>
      </c>
      <c r="U771">
        <f t="shared" si="577"/>
        <v>741.29022794762602</v>
      </c>
      <c r="V771">
        <f t="shared" si="577"/>
        <v>812.16043953570863</v>
      </c>
      <c r="W771">
        <f t="shared" si="577"/>
        <v>842.80788978711064</v>
      </c>
      <c r="Y771" s="15">
        <f t="shared" si="561"/>
        <v>8270.3488638436393</v>
      </c>
      <c r="Z771">
        <f t="shared" si="562"/>
        <v>-395.9201846359723</v>
      </c>
    </row>
    <row r="772" spans="1:26" x14ac:dyDescent="0.25">
      <c r="A772" t="s">
        <v>59</v>
      </c>
      <c r="D772">
        <f t="shared" ref="D772:W772" si="578">D134*D192</f>
        <v>259.83487214727018</v>
      </c>
      <c r="E772">
        <f t="shared" si="578"/>
        <v>269.93614079035694</v>
      </c>
      <c r="F772">
        <f t="shared" si="578"/>
        <v>443.15986585190615</v>
      </c>
      <c r="G772">
        <f t="shared" si="578"/>
        <v>934.32222392489211</v>
      </c>
      <c r="H772">
        <f t="shared" si="578"/>
        <v>1071.9157188074516</v>
      </c>
      <c r="I772">
        <f t="shared" si="578"/>
        <v>2104.1791871751307</v>
      </c>
      <c r="J772">
        <f t="shared" si="578"/>
        <v>1281.7497213766005</v>
      </c>
      <c r="K772">
        <f t="shared" si="578"/>
        <v>484.30479284908148</v>
      </c>
      <c r="L772">
        <f t="shared" si="578"/>
        <v>328.27250637414613</v>
      </c>
      <c r="M772">
        <f t="shared" si="578"/>
        <v>386.69877263419619</v>
      </c>
      <c r="N772">
        <f t="shared" si="578"/>
        <v>782.71598503564144</v>
      </c>
      <c r="O772">
        <f t="shared" si="578"/>
        <v>460.29430872694928</v>
      </c>
      <c r="P772">
        <f t="shared" si="578"/>
        <v>394.04492705103576</v>
      </c>
      <c r="Q772">
        <f t="shared" si="578"/>
        <v>219.28591817457561</v>
      </c>
      <c r="R772">
        <f t="shared" si="578"/>
        <v>285.86791193418327</v>
      </c>
      <c r="S772">
        <f t="shared" si="578"/>
        <v>246.08026554514441</v>
      </c>
      <c r="T772">
        <f t="shared" si="578"/>
        <v>220.58337623840319</v>
      </c>
      <c r="U772">
        <f t="shared" si="578"/>
        <v>156.49204701518238</v>
      </c>
      <c r="V772">
        <f t="shared" si="578"/>
        <v>171.63906266069867</v>
      </c>
      <c r="W772">
        <f t="shared" si="578"/>
        <v>150.95750337053286</v>
      </c>
      <c r="Y772" s="15">
        <f t="shared" si="561"/>
        <v>10652.335107683379</v>
      </c>
      <c r="Z772">
        <f t="shared" si="562"/>
        <v>-376.7242705527284</v>
      </c>
    </row>
    <row r="773" spans="1:26" x14ac:dyDescent="0.25">
      <c r="A773" t="s">
        <v>60</v>
      </c>
      <c r="D773">
        <f t="shared" ref="D773:W773" si="579">D135*D193</f>
        <v>153.91220556394777</v>
      </c>
      <c r="E773">
        <f t="shared" si="579"/>
        <v>544.06175304735461</v>
      </c>
      <c r="F773">
        <f t="shared" si="579"/>
        <v>1175.5881870588901</v>
      </c>
      <c r="G773">
        <f t="shared" si="579"/>
        <v>431.41605297992908</v>
      </c>
      <c r="H773">
        <f t="shared" si="579"/>
        <v>462.21708850456258</v>
      </c>
      <c r="I773">
        <f t="shared" si="579"/>
        <v>395.7136033074508</v>
      </c>
      <c r="J773">
        <f t="shared" si="579"/>
        <v>626.95115846883834</v>
      </c>
      <c r="K773">
        <f t="shared" si="579"/>
        <v>887.8652338654781</v>
      </c>
      <c r="L773">
        <f t="shared" si="579"/>
        <v>342.4651371317982</v>
      </c>
      <c r="M773">
        <f t="shared" si="579"/>
        <v>480.62238708775612</v>
      </c>
      <c r="N773">
        <f t="shared" si="579"/>
        <v>330.57271891504689</v>
      </c>
      <c r="O773">
        <f t="shared" si="579"/>
        <v>389.087097079621</v>
      </c>
      <c r="P773">
        <f t="shared" si="579"/>
        <v>319.46534281311705</v>
      </c>
      <c r="Q773">
        <f t="shared" si="579"/>
        <v>402.92372599662269</v>
      </c>
      <c r="R773">
        <f t="shared" si="579"/>
        <v>546.08600634714969</v>
      </c>
      <c r="S773">
        <f t="shared" si="579"/>
        <v>361.83210625147018</v>
      </c>
      <c r="T773">
        <f t="shared" si="579"/>
        <v>246.30019394641454</v>
      </c>
      <c r="U773">
        <f t="shared" si="579"/>
        <v>224.40980953011987</v>
      </c>
      <c r="V773">
        <f t="shared" si="579"/>
        <v>302.18349924451968</v>
      </c>
      <c r="W773">
        <f t="shared" si="579"/>
        <v>157.69563295010596</v>
      </c>
      <c r="Y773" s="15">
        <f t="shared" si="561"/>
        <v>8781.3689400901949</v>
      </c>
      <c r="Z773">
        <f t="shared" si="562"/>
        <v>-69.111441513207424</v>
      </c>
    </row>
    <row r="774" spans="1:26" x14ac:dyDescent="0.25">
      <c r="A774" t="s">
        <v>61</v>
      </c>
      <c r="D774">
        <f t="shared" ref="D774:W774" si="580">D136*D194</f>
        <v>457.98276476597897</v>
      </c>
      <c r="E774">
        <f t="shared" si="580"/>
        <v>719.78772451930502</v>
      </c>
      <c r="F774">
        <f t="shared" si="580"/>
        <v>976.82625961164354</v>
      </c>
      <c r="G774">
        <f t="shared" si="580"/>
        <v>1225.8673934419601</v>
      </c>
      <c r="H774">
        <f t="shared" si="580"/>
        <v>1153.272744461374</v>
      </c>
      <c r="I774">
        <f t="shared" si="580"/>
        <v>601.77482883661241</v>
      </c>
      <c r="J774">
        <f t="shared" si="580"/>
        <v>295.00591974397037</v>
      </c>
      <c r="K774">
        <f t="shared" si="580"/>
        <v>254.27573256585811</v>
      </c>
      <c r="L774">
        <f t="shared" si="580"/>
        <v>434.47934110095531</v>
      </c>
      <c r="M774">
        <f t="shared" si="580"/>
        <v>287.15962759736539</v>
      </c>
      <c r="N774">
        <f t="shared" si="580"/>
        <v>322.54042131305522</v>
      </c>
      <c r="O774">
        <f t="shared" si="580"/>
        <v>1025.3942067283419</v>
      </c>
      <c r="P774">
        <f t="shared" si="580"/>
        <v>501.52084828201242</v>
      </c>
      <c r="Q774">
        <f t="shared" si="580"/>
        <v>304.87265126808654</v>
      </c>
      <c r="R774">
        <f t="shared" si="580"/>
        <v>385.60838075726065</v>
      </c>
      <c r="S774">
        <f t="shared" si="580"/>
        <v>394.35254413281154</v>
      </c>
      <c r="T774">
        <f t="shared" si="580"/>
        <v>193.09469005429759</v>
      </c>
      <c r="U774">
        <f t="shared" si="580"/>
        <v>269.30375967067681</v>
      </c>
      <c r="V774">
        <f t="shared" si="580"/>
        <v>210.84241659245296</v>
      </c>
      <c r="W774">
        <f t="shared" si="580"/>
        <v>226.08302516920926</v>
      </c>
      <c r="Y774" s="15">
        <f t="shared" si="561"/>
        <v>10240.045280613227</v>
      </c>
      <c r="Z774">
        <f t="shared" si="562"/>
        <v>228.10148116594658</v>
      </c>
    </row>
    <row r="775" spans="1:26" x14ac:dyDescent="0.25">
      <c r="A775" t="s">
        <v>62</v>
      </c>
      <c r="D775">
        <f t="shared" ref="D775:W775" si="581">D137*D195</f>
        <v>319.24758398173691</v>
      </c>
      <c r="E775">
        <f t="shared" si="581"/>
        <v>440.68586384356564</v>
      </c>
      <c r="F775">
        <f t="shared" si="581"/>
        <v>372.96316987144468</v>
      </c>
      <c r="G775">
        <f t="shared" si="581"/>
        <v>318.15312430251839</v>
      </c>
      <c r="H775">
        <f t="shared" si="581"/>
        <v>522.69196567282938</v>
      </c>
      <c r="I775">
        <f t="shared" si="581"/>
        <v>592.83137989647287</v>
      </c>
      <c r="J775">
        <f t="shared" si="581"/>
        <v>372.77388552570886</v>
      </c>
      <c r="K775">
        <f t="shared" si="581"/>
        <v>508.14280040581161</v>
      </c>
      <c r="L775">
        <f t="shared" si="581"/>
        <v>440.58509618805766</v>
      </c>
      <c r="M775">
        <f t="shared" si="581"/>
        <v>477.26843888779865</v>
      </c>
      <c r="N775">
        <f t="shared" si="581"/>
        <v>236.00189464060094</v>
      </c>
      <c r="O775">
        <f t="shared" si="581"/>
        <v>275.52699035445625</v>
      </c>
      <c r="P775">
        <f t="shared" si="581"/>
        <v>298.30666271774476</v>
      </c>
      <c r="Q775">
        <f t="shared" si="581"/>
        <v>420.19232300005018</v>
      </c>
      <c r="R775">
        <f t="shared" si="581"/>
        <v>178.71750987546636</v>
      </c>
      <c r="S775">
        <f t="shared" si="581"/>
        <v>273.34386526220902</v>
      </c>
      <c r="T775">
        <f t="shared" si="581"/>
        <v>179.3142916209064</v>
      </c>
      <c r="U775">
        <f t="shared" si="581"/>
        <v>314.48487452646594</v>
      </c>
      <c r="V775">
        <f t="shared" si="581"/>
        <v>369.63141754923828</v>
      </c>
      <c r="W775">
        <f t="shared" si="581"/>
        <v>305.06017509863648</v>
      </c>
      <c r="Y775" s="15">
        <f t="shared" si="561"/>
        <v>7215.9233132217178</v>
      </c>
      <c r="Z775">
        <f t="shared" si="562"/>
        <v>-235.53086832465434</v>
      </c>
    </row>
    <row r="776" spans="1:26" x14ac:dyDescent="0.25">
      <c r="Y776" s="15"/>
    </row>
    <row r="777" spans="1:26" x14ac:dyDescent="0.25">
      <c r="A777" t="s">
        <v>63</v>
      </c>
      <c r="D777">
        <f t="shared" ref="D777:W777" si="582">D139*D197</f>
        <v>283.69244160698747</v>
      </c>
      <c r="E777">
        <f t="shared" si="582"/>
        <v>235.176934792607</v>
      </c>
      <c r="F777">
        <f t="shared" si="582"/>
        <v>344.61907459478039</v>
      </c>
      <c r="G777">
        <f t="shared" si="582"/>
        <v>216.3551304477987</v>
      </c>
      <c r="H777">
        <f t="shared" si="582"/>
        <v>435.19984441243355</v>
      </c>
      <c r="I777">
        <f t="shared" si="582"/>
        <v>446.39489799664437</v>
      </c>
      <c r="J777">
        <f t="shared" si="582"/>
        <v>229.25338391057954</v>
      </c>
      <c r="K777">
        <f t="shared" si="582"/>
        <v>324.46036058317515</v>
      </c>
      <c r="L777">
        <f t="shared" si="582"/>
        <v>257.54966236912003</v>
      </c>
      <c r="M777">
        <f t="shared" si="582"/>
        <v>214.16936658639602</v>
      </c>
      <c r="N777">
        <f t="shared" si="582"/>
        <v>253.87113006160737</v>
      </c>
      <c r="O777">
        <f t="shared" si="582"/>
        <v>251.23590545482188</v>
      </c>
      <c r="P777">
        <f t="shared" si="582"/>
        <v>202.53633912588083</v>
      </c>
      <c r="Q777">
        <f t="shared" si="582"/>
        <v>230.38329061754538</v>
      </c>
      <c r="R777">
        <f t="shared" si="582"/>
        <v>208.77346611119842</v>
      </c>
      <c r="S777">
        <f t="shared" si="582"/>
        <v>221.43194756047575</v>
      </c>
      <c r="T777">
        <f t="shared" si="582"/>
        <v>206.0738399199015</v>
      </c>
      <c r="U777">
        <f t="shared" si="582"/>
        <v>238.34539594192609</v>
      </c>
      <c r="V777">
        <f t="shared" si="582"/>
        <v>254.96399203021565</v>
      </c>
      <c r="W777">
        <f t="shared" si="582"/>
        <v>270.41551891138408</v>
      </c>
      <c r="Y777" s="15">
        <f t="shared" si="561"/>
        <v>5324.9019230354788</v>
      </c>
      <c r="Z777">
        <f>SUMPRODUCT($D$781:$O$781,D777:O777)</f>
        <v>-136.46815341749439</v>
      </c>
    </row>
    <row r="778" spans="1:26" x14ac:dyDescent="0.25">
      <c r="A778" t="s">
        <v>307</v>
      </c>
      <c r="D778">
        <f t="shared" ref="D778:W778" si="583">D140*D198</f>
        <v>764.03469387755092</v>
      </c>
      <c r="E778">
        <f t="shared" si="583"/>
        <v>671.83999999999992</v>
      </c>
      <c r="F778">
        <f t="shared" si="583"/>
        <v>423.4</v>
      </c>
      <c r="G778">
        <f t="shared" si="583"/>
        <v>379.26000000000005</v>
      </c>
      <c r="H778">
        <f t="shared" si="583"/>
        <v>589.58775510204077</v>
      </c>
      <c r="I778">
        <f t="shared" si="583"/>
        <v>496.90408163265295</v>
      </c>
      <c r="J778">
        <f t="shared" si="583"/>
        <v>418.62857142857143</v>
      </c>
      <c r="K778">
        <f t="shared" si="583"/>
        <v>422.28367346938779</v>
      </c>
      <c r="L778">
        <f t="shared" si="583"/>
        <v>637.84531249999998</v>
      </c>
      <c r="M778">
        <f t="shared" si="583"/>
        <v>697.30000000000007</v>
      </c>
      <c r="N778">
        <f t="shared" si="583"/>
        <v>605.86122448979586</v>
      </c>
      <c r="O778">
        <f t="shared" si="583"/>
        <v>394.20000000000005</v>
      </c>
      <c r="P778">
        <f t="shared" si="583"/>
        <v>1072</v>
      </c>
      <c r="Q778">
        <f t="shared" si="583"/>
        <v>562.80000000000007</v>
      </c>
      <c r="R778">
        <f t="shared" si="583"/>
        <v>504.56</v>
      </c>
      <c r="S778">
        <f t="shared" si="583"/>
        <v>494.16</v>
      </c>
      <c r="T778">
        <f t="shared" si="583"/>
        <v>242.73000000000002</v>
      </c>
      <c r="U778">
        <f t="shared" si="583"/>
        <v>246.61</v>
      </c>
      <c r="V778">
        <f t="shared" si="583"/>
        <v>276.92</v>
      </c>
      <c r="W778">
        <f t="shared" si="583"/>
        <v>280.24</v>
      </c>
      <c r="Y778" s="15">
        <f t="shared" si="561"/>
        <v>10181.165312499999</v>
      </c>
      <c r="Z778">
        <f>SUMPRODUCT($D$781:$O$781,D778:O778)</f>
        <v>-528.9698215447479</v>
      </c>
    </row>
    <row r="779" spans="1:26" x14ac:dyDescent="0.25">
      <c r="A779" t="s">
        <v>308</v>
      </c>
      <c r="D779">
        <f t="shared" ref="D779:W779" si="584">D141*D199</f>
        <v>318.56030064484224</v>
      </c>
      <c r="E779">
        <f t="shared" si="584"/>
        <v>567.12</v>
      </c>
      <c r="F779">
        <f t="shared" si="584"/>
        <v>462.24</v>
      </c>
      <c r="G779">
        <f t="shared" si="584"/>
        <v>302.12</v>
      </c>
      <c r="H779">
        <f t="shared" si="584"/>
        <v>483.64</v>
      </c>
      <c r="I779">
        <f t="shared" si="584"/>
        <v>373.87</v>
      </c>
      <c r="J779">
        <f t="shared" si="584"/>
        <v>273.84000000000003</v>
      </c>
      <c r="K779">
        <f t="shared" si="584"/>
        <v>437.31000000000006</v>
      </c>
      <c r="L779">
        <f t="shared" si="584"/>
        <v>530.8599999999999</v>
      </c>
      <c r="M779">
        <f t="shared" si="584"/>
        <v>540.95999999999992</v>
      </c>
      <c r="N779">
        <f t="shared" si="584"/>
        <v>487.91999999999996</v>
      </c>
      <c r="O779">
        <f t="shared" si="584"/>
        <v>418.18000000000006</v>
      </c>
      <c r="P779">
        <f t="shared" si="584"/>
        <v>279.00030718731176</v>
      </c>
      <c r="Q779">
        <f t="shared" si="584"/>
        <v>278.50916117861522</v>
      </c>
      <c r="R779">
        <f t="shared" si="584"/>
        <v>286.34886480194501</v>
      </c>
      <c r="S779">
        <f t="shared" si="584"/>
        <v>292.64545672706669</v>
      </c>
      <c r="T779">
        <f t="shared" si="584"/>
        <v>294.42815057374634</v>
      </c>
      <c r="U779">
        <f t="shared" si="584"/>
        <v>308.89734908642129</v>
      </c>
      <c r="V779">
        <f t="shared" si="584"/>
        <v>374.7376282100708</v>
      </c>
      <c r="W779">
        <f t="shared" si="584"/>
        <v>382.11961223122904</v>
      </c>
      <c r="Y779" s="15">
        <f t="shared" si="561"/>
        <v>7693.3068306412479</v>
      </c>
      <c r="Z779">
        <f>SUMPRODUCT($D$781:$O$781,D779:O779)</f>
        <v>-266.08315737754521</v>
      </c>
    </row>
    <row r="780" spans="1:26" x14ac:dyDescent="0.25">
      <c r="A780" t="s">
        <v>670</v>
      </c>
      <c r="D780">
        <f t="shared" ref="D780:W780" si="585">D142*D200</f>
        <v>446.03048427243914</v>
      </c>
      <c r="E780">
        <f t="shared" si="585"/>
        <v>598.67839139815555</v>
      </c>
      <c r="F780">
        <f t="shared" si="585"/>
        <v>461.58203471136022</v>
      </c>
      <c r="G780">
        <f t="shared" si="585"/>
        <v>436.43614592445141</v>
      </c>
      <c r="H780">
        <f t="shared" si="585"/>
        <v>388.06448633698437</v>
      </c>
      <c r="I780">
        <f t="shared" si="585"/>
        <v>364.41634420273186</v>
      </c>
      <c r="J780">
        <f t="shared" si="585"/>
        <v>285.79722569340885</v>
      </c>
      <c r="K780">
        <f t="shared" si="585"/>
        <v>245.32498803691962</v>
      </c>
      <c r="L780">
        <f t="shared" si="585"/>
        <v>229.96531481340847</v>
      </c>
      <c r="M780">
        <f t="shared" si="585"/>
        <v>358.43302905269985</v>
      </c>
      <c r="N780">
        <f t="shared" si="585"/>
        <v>417.9476849751922</v>
      </c>
      <c r="O780">
        <f t="shared" si="585"/>
        <v>478.74616125944135</v>
      </c>
      <c r="P780">
        <f t="shared" si="585"/>
        <v>225.45222684386292</v>
      </c>
      <c r="Q780">
        <f t="shared" si="585"/>
        <v>223.00168435902944</v>
      </c>
      <c r="R780">
        <f t="shared" si="585"/>
        <v>276.40785651279907</v>
      </c>
      <c r="S780">
        <f t="shared" si="585"/>
        <v>287.25478399620681</v>
      </c>
      <c r="T780">
        <f t="shared" si="585"/>
        <v>209.18282684457566</v>
      </c>
      <c r="U780">
        <f t="shared" si="585"/>
        <v>239.65589704838362</v>
      </c>
      <c r="V780">
        <f t="shared" si="585"/>
        <v>261.13900268719323</v>
      </c>
      <c r="W780">
        <f t="shared" si="585"/>
        <v>267.01144983171122</v>
      </c>
      <c r="Y780" s="15">
        <f t="shared" ref="Y780" si="586">SUM(D780:W780)</f>
        <v>6700.5280188009574</v>
      </c>
      <c r="Z780">
        <f>SUMPRODUCT($D$781:$O$781,D780:O780)</f>
        <v>-138.6370374091866</v>
      </c>
    </row>
    <row r="781" spans="1:26" x14ac:dyDescent="0.25">
      <c r="A781" s="2" t="s">
        <v>64</v>
      </c>
      <c r="D781" s="3">
        <f>CORREL($B$2:$B$21,D756:D775)</f>
        <v>-0.38002486626711712</v>
      </c>
      <c r="E781" s="3">
        <f t="shared" ref="E781:W781" si="587">CORREL($B$2:$B$21,E756:E775)</f>
        <v>0.28150163980116238</v>
      </c>
      <c r="F781" s="3">
        <f t="shared" si="587"/>
        <v>0.18912917493458284</v>
      </c>
      <c r="G781" s="3">
        <f t="shared" si="587"/>
        <v>0.11822374788395869</v>
      </c>
      <c r="H781" s="3">
        <f t="shared" si="587"/>
        <v>0.22178333346389384</v>
      </c>
      <c r="I781" s="3">
        <f t="shared" si="587"/>
        <v>-2.5538847266562575E-3</v>
      </c>
      <c r="J781" s="3">
        <f t="shared" si="587"/>
        <v>-0.28564776010764786</v>
      </c>
      <c r="K781" s="3">
        <f t="shared" si="587"/>
        <v>-4.1618060630458704E-2</v>
      </c>
      <c r="L781" s="3">
        <f t="shared" si="587"/>
        <v>-0.32867608758248557</v>
      </c>
      <c r="M781" s="3">
        <f t="shared" si="587"/>
        <v>-0.28645828492994668</v>
      </c>
      <c r="N781" s="3">
        <f t="shared" si="587"/>
        <v>-0.22997053147615276</v>
      </c>
      <c r="O781" s="3">
        <f t="shared" si="587"/>
        <v>9.459154843783707E-3</v>
      </c>
      <c r="P781" s="3">
        <f t="shared" si="587"/>
        <v>-3.0389236643171013E-2</v>
      </c>
      <c r="Q781" s="3">
        <f t="shared" si="587"/>
        <v>-0.12835918013382075</v>
      </c>
      <c r="R781" s="3">
        <f t="shared" si="587"/>
        <v>-6.3879777690781778E-2</v>
      </c>
      <c r="S781" s="3">
        <f t="shared" si="587"/>
        <v>0.23038665443669698</v>
      </c>
      <c r="T781" s="3">
        <f t="shared" si="587"/>
        <v>-4.5169534108253903E-2</v>
      </c>
      <c r="U781" s="3">
        <f t="shared" si="587"/>
        <v>2.9898536853073164E-2</v>
      </c>
      <c r="V781" s="3">
        <f t="shared" si="587"/>
        <v>-1.2664246226228099E-2</v>
      </c>
      <c r="W781" s="3">
        <f t="shared" si="587"/>
        <v>-0.12650731297785281</v>
      </c>
    </row>
    <row r="784" spans="1:26" x14ac:dyDescent="0.25">
      <c r="D784" t="s">
        <v>293</v>
      </c>
      <c r="E784" t="s">
        <v>294</v>
      </c>
      <c r="F784" t="s">
        <v>295</v>
      </c>
      <c r="G784" t="s">
        <v>296</v>
      </c>
      <c r="H784" t="s">
        <v>297</v>
      </c>
      <c r="I784" t="s">
        <v>298</v>
      </c>
      <c r="J784" t="s">
        <v>299</v>
      </c>
      <c r="K784" t="s">
        <v>300</v>
      </c>
      <c r="L784" t="s">
        <v>360</v>
      </c>
      <c r="M784" t="s">
        <v>442</v>
      </c>
      <c r="N784" t="s">
        <v>443</v>
      </c>
      <c r="O784" t="s">
        <v>444</v>
      </c>
      <c r="P784" t="s">
        <v>554</v>
      </c>
      <c r="Q784" t="s">
        <v>555</v>
      </c>
      <c r="R784" t="s">
        <v>556</v>
      </c>
      <c r="S784" t="s">
        <v>557</v>
      </c>
      <c r="T784" t="s">
        <v>666</v>
      </c>
      <c r="U784" t="s">
        <v>667</v>
      </c>
      <c r="V784" t="s">
        <v>668</v>
      </c>
      <c r="W784" t="s">
        <v>669</v>
      </c>
      <c r="Y784" t="s">
        <v>301</v>
      </c>
      <c r="Z784" t="s">
        <v>302</v>
      </c>
    </row>
    <row r="785" spans="1:26" x14ac:dyDescent="0.25">
      <c r="A785" t="s">
        <v>43</v>
      </c>
      <c r="D785">
        <f t="shared" ref="D785:W785" si="588">D147*D176</f>
        <v>313.02113277895285</v>
      </c>
      <c r="E785">
        <f t="shared" si="588"/>
        <v>77.253061224489812</v>
      </c>
      <c r="F785">
        <f t="shared" si="588"/>
        <v>123.6861224489796</v>
      </c>
      <c r="G785">
        <f t="shared" si="588"/>
        <v>156.31591836734697</v>
      </c>
      <c r="H785">
        <f t="shared" si="588"/>
        <v>184.030571212648</v>
      </c>
      <c r="I785">
        <f t="shared" si="588"/>
        <v>231.37166180828675</v>
      </c>
      <c r="J785">
        <f t="shared" si="588"/>
        <v>139.59429814750135</v>
      </c>
      <c r="K785">
        <f t="shared" si="588"/>
        <v>161.45759128514237</v>
      </c>
      <c r="L785">
        <f t="shared" si="588"/>
        <v>128.81503226442476</v>
      </c>
      <c r="M785">
        <f t="shared" si="588"/>
        <v>174.68333113957854</v>
      </c>
      <c r="N785">
        <f t="shared" si="588"/>
        <v>169.62668388784971</v>
      </c>
      <c r="O785">
        <f t="shared" si="588"/>
        <v>123.53308879415739</v>
      </c>
      <c r="P785">
        <f t="shared" si="588"/>
        <v>113.35841073394047</v>
      </c>
      <c r="Q785">
        <f t="shared" si="588"/>
        <v>106.84089078932824</v>
      </c>
      <c r="R785">
        <f t="shared" si="588"/>
        <v>90.446946178378099</v>
      </c>
      <c r="S785">
        <f t="shared" si="588"/>
        <v>73.148647012635735</v>
      </c>
      <c r="T785">
        <f t="shared" si="588"/>
        <v>84.122084423788493</v>
      </c>
      <c r="U785">
        <f t="shared" si="588"/>
        <v>173.09687076578967</v>
      </c>
      <c r="V785">
        <f t="shared" si="588"/>
        <v>159.52348015941476</v>
      </c>
      <c r="W785">
        <f t="shared" si="588"/>
        <v>263.11318336626607</v>
      </c>
      <c r="Y785" s="15">
        <f t="shared" ref="Y785:Y808" si="589">SUM(D785:W785)</f>
        <v>3047.0390067888998</v>
      </c>
      <c r="Z785">
        <f t="shared" ref="Z785:Z803" si="590">SUMPRODUCT($D$810:$O$810,D785:O785)</f>
        <v>-80.258890580894672</v>
      </c>
    </row>
    <row r="786" spans="1:26" x14ac:dyDescent="0.25">
      <c r="A786" t="s">
        <v>44</v>
      </c>
      <c r="D786">
        <f t="shared" ref="D786:W786" si="591">D148*D177</f>
        <v>170.66938775510204</v>
      </c>
      <c r="E786">
        <f t="shared" si="591"/>
        <v>160.34693877551021</v>
      </c>
      <c r="F786">
        <f t="shared" si="591"/>
        <v>211.48959183673469</v>
      </c>
      <c r="G786">
        <f t="shared" si="591"/>
        <v>264.62040816326527</v>
      </c>
      <c r="H786">
        <f t="shared" si="591"/>
        <v>402.6830206203943</v>
      </c>
      <c r="I786">
        <f t="shared" si="591"/>
        <v>322.95231327392992</v>
      </c>
      <c r="J786">
        <f t="shared" si="591"/>
        <v>299.05512643603038</v>
      </c>
      <c r="K786">
        <f t="shared" si="591"/>
        <v>283.46966808063968</v>
      </c>
      <c r="L786">
        <f t="shared" si="591"/>
        <v>332.72956842017095</v>
      </c>
      <c r="M786">
        <f t="shared" si="591"/>
        <v>82.847819832590176</v>
      </c>
      <c r="N786">
        <f t="shared" si="591"/>
        <v>94.662293592402847</v>
      </c>
      <c r="O786">
        <f t="shared" si="591"/>
        <v>86.466387592565425</v>
      </c>
      <c r="P786">
        <f t="shared" si="591"/>
        <v>128.32051855667268</v>
      </c>
      <c r="Q786">
        <f t="shared" si="591"/>
        <v>126.65832659309557</v>
      </c>
      <c r="R786">
        <f t="shared" si="591"/>
        <v>84.257207184870737</v>
      </c>
      <c r="S786">
        <f t="shared" si="591"/>
        <v>58.277399169501557</v>
      </c>
      <c r="T786">
        <f t="shared" si="591"/>
        <v>73.102908263657596</v>
      </c>
      <c r="U786">
        <f t="shared" si="591"/>
        <v>32.559950922317888</v>
      </c>
      <c r="V786">
        <f t="shared" si="591"/>
        <v>46.021442357565213</v>
      </c>
      <c r="W786">
        <f t="shared" si="591"/>
        <v>92.769738593463828</v>
      </c>
      <c r="Y786" s="15">
        <f t="shared" si="589"/>
        <v>3353.9600160204814</v>
      </c>
      <c r="Z786">
        <f t="shared" si="590"/>
        <v>18.403945028131712</v>
      </c>
    </row>
    <row r="787" spans="1:26" x14ac:dyDescent="0.25">
      <c r="A787" t="s">
        <v>45</v>
      </c>
      <c r="D787">
        <f t="shared" ref="D787:W787" si="592">D149*D178</f>
        <v>292.84873057705033</v>
      </c>
      <c r="E787">
        <f t="shared" si="592"/>
        <v>107.52653061224491</v>
      </c>
      <c r="F787">
        <f t="shared" si="592"/>
        <v>151.54285714285714</v>
      </c>
      <c r="G787">
        <f t="shared" si="592"/>
        <v>79.734285714285718</v>
      </c>
      <c r="H787">
        <f t="shared" si="592"/>
        <v>189.32116226404401</v>
      </c>
      <c r="I787">
        <f t="shared" si="592"/>
        <v>148.10716935894649</v>
      </c>
      <c r="J787">
        <f t="shared" si="592"/>
        <v>94.075755111542193</v>
      </c>
      <c r="K787">
        <f t="shared" si="592"/>
        <v>127.06954980189376</v>
      </c>
      <c r="L787">
        <f t="shared" si="592"/>
        <v>84.462486944961668</v>
      </c>
      <c r="M787">
        <f t="shared" si="592"/>
        <v>13.94163933445031</v>
      </c>
      <c r="N787">
        <f t="shared" si="592"/>
        <v>14.526925149123716</v>
      </c>
      <c r="O787">
        <f t="shared" si="592"/>
        <v>10.880195015152253</v>
      </c>
      <c r="P787">
        <f t="shared" si="592"/>
        <v>14.00406721553219</v>
      </c>
      <c r="Q787">
        <f t="shared" si="592"/>
        <v>24.719308035353141</v>
      </c>
      <c r="R787">
        <f t="shared" si="592"/>
        <v>25.323690175796166</v>
      </c>
      <c r="S787">
        <f t="shared" si="592"/>
        <v>20.139872587626272</v>
      </c>
      <c r="T787">
        <f t="shared" si="592"/>
        <v>16.364618107731928</v>
      </c>
      <c r="U787">
        <f t="shared" si="592"/>
        <v>28.718029667433118</v>
      </c>
      <c r="V787">
        <f t="shared" si="592"/>
        <v>125.62942729133839</v>
      </c>
      <c r="W787">
        <f t="shared" si="592"/>
        <v>213.85674421688216</v>
      </c>
      <c r="Y787" s="15">
        <f t="shared" si="589"/>
        <v>1782.793044324246</v>
      </c>
      <c r="Z787">
        <f t="shared" si="590"/>
        <v>26.404139648791297</v>
      </c>
    </row>
    <row r="788" spans="1:26" x14ac:dyDescent="0.25">
      <c r="A788" t="s">
        <v>46</v>
      </c>
      <c r="D788">
        <f t="shared" ref="D788:W788" si="593">D150*D179</f>
        <v>305.69484948550115</v>
      </c>
      <c r="E788">
        <f t="shared" si="593"/>
        <v>220.86458783001254</v>
      </c>
      <c r="F788">
        <f t="shared" si="593"/>
        <v>124.3387413391019</v>
      </c>
      <c r="G788">
        <f t="shared" si="593"/>
        <v>94.243150548838727</v>
      </c>
      <c r="H788">
        <f t="shared" si="593"/>
        <v>134.00521418932257</v>
      </c>
      <c r="I788">
        <f t="shared" si="593"/>
        <v>80.72375955868236</v>
      </c>
      <c r="J788">
        <f t="shared" si="593"/>
        <v>201.76166941624706</v>
      </c>
      <c r="K788">
        <f t="shared" si="593"/>
        <v>115.31260996391129</v>
      </c>
      <c r="L788">
        <f t="shared" si="593"/>
        <v>164.76991925275075</v>
      </c>
      <c r="M788">
        <f t="shared" si="593"/>
        <v>225.01325771184571</v>
      </c>
      <c r="N788">
        <f t="shared" si="593"/>
        <v>134.02077882268068</v>
      </c>
      <c r="O788">
        <f t="shared" si="593"/>
        <v>162.10866376424246</v>
      </c>
      <c r="P788">
        <f t="shared" si="593"/>
        <v>135.12990620167102</v>
      </c>
      <c r="Q788">
        <f t="shared" si="593"/>
        <v>83.820068629285871</v>
      </c>
      <c r="R788">
        <f t="shared" si="593"/>
        <v>77.87923054288045</v>
      </c>
      <c r="S788">
        <f t="shared" si="593"/>
        <v>57.605867518200007</v>
      </c>
      <c r="T788">
        <f t="shared" si="593"/>
        <v>141.27190332916339</v>
      </c>
      <c r="U788">
        <f t="shared" si="593"/>
        <v>94.727660993200658</v>
      </c>
      <c r="V788">
        <f t="shared" si="593"/>
        <v>188.44034937348181</v>
      </c>
      <c r="W788">
        <f t="shared" si="593"/>
        <v>206.84702410100667</v>
      </c>
      <c r="Y788" s="15">
        <f t="shared" si="589"/>
        <v>2948.5792125720263</v>
      </c>
      <c r="Z788">
        <f t="shared" si="590"/>
        <v>-53.517163097403696</v>
      </c>
    </row>
    <row r="789" spans="1:26" x14ac:dyDescent="0.25">
      <c r="A789" t="s">
        <v>47</v>
      </c>
      <c r="D789">
        <f t="shared" ref="D789:W789" si="594">D151*D180</f>
        <v>233.97025535980262</v>
      </c>
      <c r="E789">
        <f t="shared" si="594"/>
        <v>190.63963675109107</v>
      </c>
      <c r="F789">
        <f t="shared" si="594"/>
        <v>157.87346277592277</v>
      </c>
      <c r="G789">
        <f t="shared" si="594"/>
        <v>108.19759142208711</v>
      </c>
      <c r="H789">
        <f t="shared" si="594"/>
        <v>95.57626797554164</v>
      </c>
      <c r="I789">
        <f t="shared" si="594"/>
        <v>86.314131488213746</v>
      </c>
      <c r="J789">
        <f t="shared" si="594"/>
        <v>60.070133476404166</v>
      </c>
      <c r="K789">
        <f t="shared" si="594"/>
        <v>88.399338879741222</v>
      </c>
      <c r="L789">
        <f t="shared" si="594"/>
        <v>118.03624889156588</v>
      </c>
      <c r="M789">
        <f t="shared" si="594"/>
        <v>92.113849271102055</v>
      </c>
      <c r="N789">
        <f t="shared" si="594"/>
        <v>99.395086410071386</v>
      </c>
      <c r="O789">
        <f t="shared" si="594"/>
        <v>81.150187308899206</v>
      </c>
      <c r="P789">
        <f t="shared" si="594"/>
        <v>86.534494681440933</v>
      </c>
      <c r="Q789">
        <f t="shared" si="594"/>
        <v>87.995563095938081</v>
      </c>
      <c r="R789">
        <f t="shared" si="594"/>
        <v>49.93161619956873</v>
      </c>
      <c r="S789">
        <f t="shared" si="594"/>
        <v>111.42706635168078</v>
      </c>
      <c r="T789">
        <f t="shared" si="594"/>
        <v>115.15163407236004</v>
      </c>
      <c r="U789">
        <f t="shared" si="594"/>
        <v>105.50148938308895</v>
      </c>
      <c r="V789">
        <f t="shared" si="594"/>
        <v>126.80862656701932</v>
      </c>
      <c r="W789">
        <f t="shared" si="594"/>
        <v>165.30638416933374</v>
      </c>
      <c r="Y789" s="15">
        <f t="shared" si="589"/>
        <v>2260.3930645308737</v>
      </c>
      <c r="Z789">
        <f t="shared" si="590"/>
        <v>46.170305619253554</v>
      </c>
    </row>
    <row r="790" spans="1:26" x14ac:dyDescent="0.25">
      <c r="A790" t="s">
        <v>48</v>
      </c>
      <c r="D790">
        <f t="shared" ref="D790:W790" si="595">D152*D181</f>
        <v>281.83803121857579</v>
      </c>
      <c r="E790">
        <f t="shared" si="595"/>
        <v>209.3877313770227</v>
      </c>
      <c r="F790">
        <f t="shared" si="595"/>
        <v>160.79813881787908</v>
      </c>
      <c r="G790">
        <f t="shared" si="595"/>
        <v>175.354870829297</v>
      </c>
      <c r="H790">
        <f t="shared" si="595"/>
        <v>209.84183008994725</v>
      </c>
      <c r="I790">
        <f t="shared" si="595"/>
        <v>146.16039485059108</v>
      </c>
      <c r="J790">
        <f t="shared" si="595"/>
        <v>74.145935167575942</v>
      </c>
      <c r="K790">
        <f t="shared" si="595"/>
        <v>122.18007417283432</v>
      </c>
      <c r="L790">
        <f t="shared" si="595"/>
        <v>63.003079955621736</v>
      </c>
      <c r="M790">
        <f t="shared" si="595"/>
        <v>82.141072493684703</v>
      </c>
      <c r="N790">
        <f t="shared" si="595"/>
        <v>98.870865957170423</v>
      </c>
      <c r="O790">
        <f t="shared" si="595"/>
        <v>41.087136269921899</v>
      </c>
      <c r="P790">
        <f t="shared" si="595"/>
        <v>76.953939409619423</v>
      </c>
      <c r="Q790">
        <f t="shared" si="595"/>
        <v>86.286737030641049</v>
      </c>
      <c r="R790">
        <f t="shared" si="595"/>
        <v>49.710200412192634</v>
      </c>
      <c r="S790">
        <f t="shared" si="595"/>
        <v>74.770976358905557</v>
      </c>
      <c r="T790">
        <f t="shared" si="595"/>
        <v>55.851676877602038</v>
      </c>
      <c r="U790">
        <f t="shared" si="595"/>
        <v>88.736142027414289</v>
      </c>
      <c r="V790">
        <f t="shared" si="595"/>
        <v>83.371742021084941</v>
      </c>
      <c r="W790">
        <f t="shared" si="595"/>
        <v>140.06503721513482</v>
      </c>
      <c r="Y790" s="15">
        <f t="shared" si="589"/>
        <v>2320.5556125527173</v>
      </c>
      <c r="Z790">
        <f t="shared" si="590"/>
        <v>88.880995774548154</v>
      </c>
    </row>
    <row r="791" spans="1:26" x14ac:dyDescent="0.25">
      <c r="A791" t="s">
        <v>49</v>
      </c>
      <c r="D791">
        <f t="shared" ref="D791:W791" si="596">D153*D182</f>
        <v>368.58911620290007</v>
      </c>
      <c r="E791">
        <f t="shared" si="596"/>
        <v>185.55314442861558</v>
      </c>
      <c r="F791">
        <f t="shared" si="596"/>
        <v>199.3962365106901</v>
      </c>
      <c r="G791">
        <f t="shared" si="596"/>
        <v>170.21338123799754</v>
      </c>
      <c r="H791">
        <f t="shared" si="596"/>
        <v>129.39051883117577</v>
      </c>
      <c r="I791">
        <f t="shared" si="596"/>
        <v>135.14778259326593</v>
      </c>
      <c r="J791">
        <f t="shared" si="596"/>
        <v>117.61025924602471</v>
      </c>
      <c r="K791">
        <f t="shared" si="596"/>
        <v>152.75276969354269</v>
      </c>
      <c r="L791">
        <f t="shared" si="596"/>
        <v>57.815352274116016</v>
      </c>
      <c r="M791">
        <f t="shared" si="596"/>
        <v>116.00604900063774</v>
      </c>
      <c r="N791">
        <f t="shared" si="596"/>
        <v>83.212934826571384</v>
      </c>
      <c r="O791">
        <f t="shared" si="596"/>
        <v>125.50435376354028</v>
      </c>
      <c r="P791">
        <f t="shared" si="596"/>
        <v>127.93571993924938</v>
      </c>
      <c r="Q791">
        <f t="shared" si="596"/>
        <v>105.43442902308915</v>
      </c>
      <c r="R791">
        <f t="shared" si="596"/>
        <v>136.84236995801325</v>
      </c>
      <c r="S791">
        <f t="shared" si="596"/>
        <v>200.86799178862245</v>
      </c>
      <c r="T791">
        <f t="shared" si="596"/>
        <v>201.25302080302103</v>
      </c>
      <c r="U791">
        <f t="shared" si="596"/>
        <v>208.37103668046228</v>
      </c>
      <c r="V791">
        <f t="shared" si="596"/>
        <v>201.62805927240404</v>
      </c>
      <c r="W791">
        <f t="shared" si="596"/>
        <v>189.46756321136985</v>
      </c>
      <c r="Y791" s="15">
        <f t="shared" si="589"/>
        <v>3212.9920892853092</v>
      </c>
      <c r="Z791">
        <f t="shared" si="590"/>
        <v>30.52730781652016</v>
      </c>
    </row>
    <row r="792" spans="1:26" x14ac:dyDescent="0.25">
      <c r="A792" t="s">
        <v>50</v>
      </c>
      <c r="D792">
        <f t="shared" ref="D792:W792" si="597">D154*D183</f>
        <v>159.84690477491421</v>
      </c>
      <c r="E792">
        <f t="shared" si="597"/>
        <v>137.03265306122449</v>
      </c>
      <c r="F792">
        <f t="shared" si="597"/>
        <v>104.08979591836737</v>
      </c>
      <c r="G792">
        <f t="shared" si="597"/>
        <v>109.10183673469385</v>
      </c>
      <c r="H792">
        <f t="shared" si="597"/>
        <v>22.486130078142352</v>
      </c>
      <c r="I792">
        <f t="shared" si="597"/>
        <v>52.175617769662857</v>
      </c>
      <c r="J792">
        <f t="shared" si="597"/>
        <v>26.43036324297838</v>
      </c>
      <c r="K792">
        <f t="shared" si="597"/>
        <v>15.775737608431603</v>
      </c>
      <c r="L792">
        <f t="shared" si="597"/>
        <v>24.810514046434971</v>
      </c>
      <c r="M792">
        <f t="shared" si="597"/>
        <v>45.344632312410809</v>
      </c>
      <c r="N792">
        <f t="shared" si="597"/>
        <v>65.1597470945525</v>
      </c>
      <c r="O792">
        <f t="shared" si="597"/>
        <v>54.07985575905866</v>
      </c>
      <c r="P792">
        <f t="shared" si="597"/>
        <v>55.116204130883169</v>
      </c>
      <c r="Q792">
        <f t="shared" si="597"/>
        <v>73.025249193473527</v>
      </c>
      <c r="R792">
        <f t="shared" si="597"/>
        <v>62.667734328678534</v>
      </c>
      <c r="S792">
        <f t="shared" si="597"/>
        <v>63.956483275888388</v>
      </c>
      <c r="T792">
        <f t="shared" si="597"/>
        <v>95.599074146955061</v>
      </c>
      <c r="U792">
        <f t="shared" si="597"/>
        <v>83.1474982110513</v>
      </c>
      <c r="V792">
        <f t="shared" si="597"/>
        <v>68.32915121147559</v>
      </c>
      <c r="W792">
        <f t="shared" si="597"/>
        <v>187.71968636299695</v>
      </c>
      <c r="Y792" s="15">
        <f t="shared" si="589"/>
        <v>1505.8948692622744</v>
      </c>
      <c r="Z792">
        <f t="shared" si="590"/>
        <v>57.802789551896637</v>
      </c>
    </row>
    <row r="793" spans="1:26" x14ac:dyDescent="0.25">
      <c r="A793" t="s">
        <v>51</v>
      </c>
      <c r="D793">
        <f t="shared" ref="D793:W793" si="598">D155*D184</f>
        <v>119.72239636869898</v>
      </c>
      <c r="E793">
        <f t="shared" si="598"/>
        <v>156.8850670078985</v>
      </c>
      <c r="F793">
        <f t="shared" si="598"/>
        <v>232.33820701441786</v>
      </c>
      <c r="G793">
        <f t="shared" si="598"/>
        <v>103.21064526332755</v>
      </c>
      <c r="H793">
        <f t="shared" si="598"/>
        <v>40.104313053411119</v>
      </c>
      <c r="I793">
        <f t="shared" si="598"/>
        <v>15.859713505128434</v>
      </c>
      <c r="J793">
        <f t="shared" si="598"/>
        <v>8.2866806779285511</v>
      </c>
      <c r="K793">
        <f t="shared" si="598"/>
        <v>19.211129086838429</v>
      </c>
      <c r="L793">
        <f t="shared" si="598"/>
        <v>19.353491934616795</v>
      </c>
      <c r="M793">
        <f t="shared" si="598"/>
        <v>20.536696854268865</v>
      </c>
      <c r="N793">
        <f t="shared" si="598"/>
        <v>17.679870821990836</v>
      </c>
      <c r="O793">
        <f t="shared" si="598"/>
        <v>26.640675187301998</v>
      </c>
      <c r="P793">
        <f t="shared" si="598"/>
        <v>47.615952090131955</v>
      </c>
      <c r="Q793">
        <f t="shared" si="598"/>
        <v>61.503483184275218</v>
      </c>
      <c r="R793">
        <f t="shared" si="598"/>
        <v>45.580754914161005</v>
      </c>
      <c r="S793">
        <f t="shared" si="598"/>
        <v>17.425047712425233</v>
      </c>
      <c r="T793">
        <f t="shared" si="598"/>
        <v>58.216254940909558</v>
      </c>
      <c r="U793">
        <f t="shared" si="598"/>
        <v>12.314567867382527</v>
      </c>
      <c r="V793">
        <f t="shared" si="598"/>
        <v>46.10175908955717</v>
      </c>
      <c r="W793">
        <f t="shared" si="598"/>
        <v>124.0372516136119</v>
      </c>
      <c r="Y793" s="15">
        <f t="shared" si="589"/>
        <v>1192.6239581882826</v>
      </c>
      <c r="Z793">
        <f t="shared" si="590"/>
        <v>146.27755391316671</v>
      </c>
    </row>
    <row r="794" spans="1:26" x14ac:dyDescent="0.25">
      <c r="A794" t="s">
        <v>52</v>
      </c>
      <c r="D794">
        <f t="shared" ref="D794:W794" si="599">D156*D185</f>
        <v>202.35301740177786</v>
      </c>
      <c r="E794">
        <f t="shared" si="599"/>
        <v>92.186638876311122</v>
      </c>
      <c r="F794">
        <f t="shared" si="599"/>
        <v>113.12754372548562</v>
      </c>
      <c r="G794">
        <f t="shared" si="599"/>
        <v>64.250265031025634</v>
      </c>
      <c r="H794">
        <f t="shared" si="599"/>
        <v>26.271958122333245</v>
      </c>
      <c r="I794">
        <f t="shared" si="599"/>
        <v>16.861608016763078</v>
      </c>
      <c r="J794">
        <f t="shared" si="599"/>
        <v>21.395181784294273</v>
      </c>
      <c r="K794">
        <f t="shared" si="599"/>
        <v>21.062361531601873</v>
      </c>
      <c r="L794">
        <f t="shared" si="599"/>
        <v>26.308668157064321</v>
      </c>
      <c r="M794">
        <f t="shared" si="599"/>
        <v>23.249317085663151</v>
      </c>
      <c r="N794">
        <f t="shared" si="599"/>
        <v>28.867224116902548</v>
      </c>
      <c r="O794">
        <f t="shared" si="599"/>
        <v>10.249352942529667</v>
      </c>
      <c r="P794">
        <f t="shared" si="599"/>
        <v>12.755708015467691</v>
      </c>
      <c r="Q794">
        <f t="shared" si="599"/>
        <v>71.376193380485546</v>
      </c>
      <c r="R794">
        <f t="shared" si="599"/>
        <v>48.954731093411304</v>
      </c>
      <c r="S794">
        <f t="shared" si="599"/>
        <v>33.243237541810025</v>
      </c>
      <c r="T794">
        <f t="shared" si="599"/>
        <v>14.371594734223084</v>
      </c>
      <c r="U794">
        <f t="shared" si="599"/>
        <v>35.780626378021275</v>
      </c>
      <c r="V794">
        <f t="shared" si="599"/>
        <v>45.787713784342507</v>
      </c>
      <c r="W794">
        <f t="shared" si="599"/>
        <v>85.429376234686458</v>
      </c>
      <c r="Y794" s="15">
        <f t="shared" si="589"/>
        <v>993.88231795420006</v>
      </c>
      <c r="Z794">
        <f t="shared" si="590"/>
        <v>36.080330205920987</v>
      </c>
    </row>
    <row r="795" spans="1:26" x14ac:dyDescent="0.25">
      <c r="A795" t="s">
        <v>53</v>
      </c>
      <c r="D795">
        <f t="shared" ref="D795:W795" si="600">D157*D186</f>
        <v>175.25109939480342</v>
      </c>
      <c r="E795">
        <f t="shared" si="600"/>
        <v>171.54211439224159</v>
      </c>
      <c r="F795">
        <f t="shared" si="600"/>
        <v>122.51913264371541</v>
      </c>
      <c r="G795">
        <f t="shared" si="600"/>
        <v>63.018486413645924</v>
      </c>
      <c r="H795">
        <f t="shared" si="600"/>
        <v>20.477065657344255</v>
      </c>
      <c r="I795">
        <f t="shared" si="600"/>
        <v>30.637809780377573</v>
      </c>
      <c r="J795">
        <f t="shared" si="600"/>
        <v>11.640023678928756</v>
      </c>
      <c r="K795">
        <f t="shared" si="600"/>
        <v>55.644442700757814</v>
      </c>
      <c r="L795">
        <f t="shared" si="600"/>
        <v>15.200475697242025</v>
      </c>
      <c r="M795">
        <f t="shared" si="600"/>
        <v>74.684047295516606</v>
      </c>
      <c r="N795">
        <f t="shared" si="600"/>
        <v>72.526521443396163</v>
      </c>
      <c r="O795">
        <f t="shared" si="600"/>
        <v>45.650010679134965</v>
      </c>
      <c r="P795">
        <f t="shared" si="600"/>
        <v>40.102765658277661</v>
      </c>
      <c r="Q795">
        <f t="shared" si="600"/>
        <v>71.944835023261845</v>
      </c>
      <c r="R795">
        <f t="shared" si="600"/>
        <v>43.9404125508701</v>
      </c>
      <c r="S795">
        <f t="shared" si="600"/>
        <v>45.263365343505555</v>
      </c>
      <c r="T795">
        <f t="shared" si="600"/>
        <v>102.38486118227836</v>
      </c>
      <c r="U795">
        <f t="shared" si="600"/>
        <v>119.42480883199877</v>
      </c>
      <c r="V795">
        <f t="shared" si="600"/>
        <v>36.031400741863685</v>
      </c>
      <c r="W795">
        <f t="shared" si="600"/>
        <v>39.904297486070028</v>
      </c>
      <c r="Y795" s="15">
        <f t="shared" si="589"/>
        <v>1357.7879765952305</v>
      </c>
      <c r="Z795">
        <f t="shared" si="590"/>
        <v>66.471214121190556</v>
      </c>
    </row>
    <row r="796" spans="1:26" x14ac:dyDescent="0.25">
      <c r="A796" t="s">
        <v>54</v>
      </c>
      <c r="D796">
        <f t="shared" ref="D796:W796" si="601">D158*D187</f>
        <v>160.16596308609019</v>
      </c>
      <c r="E796">
        <f t="shared" si="601"/>
        <v>244.35593333818025</v>
      </c>
      <c r="F796">
        <f t="shared" si="601"/>
        <v>152.4532181157731</v>
      </c>
      <c r="G796">
        <f t="shared" si="601"/>
        <v>136.86529221423319</v>
      </c>
      <c r="H796">
        <f t="shared" si="601"/>
        <v>107.94725364064028</v>
      </c>
      <c r="I796">
        <f t="shared" si="601"/>
        <v>134.4577326096244</v>
      </c>
      <c r="J796">
        <f t="shared" si="601"/>
        <v>58.651691043283293</v>
      </c>
      <c r="K796">
        <f t="shared" si="601"/>
        <v>36.564316263947674</v>
      </c>
      <c r="L796">
        <f t="shared" si="601"/>
        <v>33.749355360379965</v>
      </c>
      <c r="M796">
        <f t="shared" si="601"/>
        <v>40.577756834500939</v>
      </c>
      <c r="N796">
        <f t="shared" si="601"/>
        <v>17.630690639561124</v>
      </c>
      <c r="O796">
        <f t="shared" si="601"/>
        <v>20.101277899897759</v>
      </c>
      <c r="P796">
        <f t="shared" si="601"/>
        <v>14.084419314915564</v>
      </c>
      <c r="Q796">
        <f t="shared" si="601"/>
        <v>24.988063907235215</v>
      </c>
      <c r="R796">
        <f t="shared" si="601"/>
        <v>50.077744307047141</v>
      </c>
      <c r="S796">
        <f t="shared" si="601"/>
        <v>75.201027943604913</v>
      </c>
      <c r="T796">
        <f t="shared" si="601"/>
        <v>42.560696896937507</v>
      </c>
      <c r="U796">
        <f t="shared" si="601"/>
        <v>58.623790092625853</v>
      </c>
      <c r="V796">
        <f t="shared" si="601"/>
        <v>35.214413296018023</v>
      </c>
      <c r="W796">
        <f t="shared" si="601"/>
        <v>48.151801750876572</v>
      </c>
      <c r="Y796" s="15">
        <f t="shared" si="589"/>
        <v>1492.4224385553728</v>
      </c>
      <c r="Z796">
        <f t="shared" si="590"/>
        <v>145.61054594245465</v>
      </c>
    </row>
    <row r="797" spans="1:26" x14ac:dyDescent="0.25">
      <c r="A797" t="s">
        <v>55</v>
      </c>
      <c r="D797">
        <f t="shared" ref="D797:W797" si="602">D159*D188</f>
        <v>123.92347591940396</v>
      </c>
      <c r="E797">
        <f t="shared" si="602"/>
        <v>123.69492387866886</v>
      </c>
      <c r="F797">
        <f t="shared" si="602"/>
        <v>177.58021678557373</v>
      </c>
      <c r="G797">
        <f t="shared" si="602"/>
        <v>103.09244069964804</v>
      </c>
      <c r="H797">
        <f t="shared" si="602"/>
        <v>67.921529869282608</v>
      </c>
      <c r="I797">
        <f t="shared" si="602"/>
        <v>83.705062746617941</v>
      </c>
      <c r="J797">
        <f t="shared" si="602"/>
        <v>49.458436383508847</v>
      </c>
      <c r="K797">
        <f t="shared" si="602"/>
        <v>22.458632213261929</v>
      </c>
      <c r="L797">
        <f t="shared" si="602"/>
        <v>58.65299681235669</v>
      </c>
      <c r="M797">
        <f t="shared" si="602"/>
        <v>12.517463854135146</v>
      </c>
      <c r="N797">
        <f t="shared" si="602"/>
        <v>44.405676785410925</v>
      </c>
      <c r="O797">
        <f t="shared" si="602"/>
        <v>16.545920053351509</v>
      </c>
      <c r="P797">
        <f t="shared" si="602"/>
        <v>29.451749715484194</v>
      </c>
      <c r="Q797">
        <f t="shared" si="602"/>
        <v>30.176263532171092</v>
      </c>
      <c r="R797">
        <f t="shared" si="602"/>
        <v>94.045702038284318</v>
      </c>
      <c r="S797">
        <f t="shared" si="602"/>
        <v>90.91025364681272</v>
      </c>
      <c r="T797">
        <f t="shared" si="602"/>
        <v>7.4813078307258465</v>
      </c>
      <c r="U797">
        <f t="shared" si="602"/>
        <v>89.195862640203458</v>
      </c>
      <c r="V797">
        <f t="shared" si="602"/>
        <v>153.76514653335042</v>
      </c>
      <c r="W797">
        <f t="shared" si="602"/>
        <v>156.0771529083749</v>
      </c>
      <c r="Y797" s="15">
        <f t="shared" si="589"/>
        <v>1535.0602148466271</v>
      </c>
      <c r="Z797">
        <f t="shared" si="590"/>
        <v>91.219218709957971</v>
      </c>
    </row>
    <row r="798" spans="1:26" x14ac:dyDescent="0.25">
      <c r="A798" t="s">
        <v>56</v>
      </c>
      <c r="D798">
        <f t="shared" ref="D798:W798" si="603">D160*D189</f>
        <v>195.65829812632745</v>
      </c>
      <c r="E798">
        <f t="shared" si="603"/>
        <v>163.24</v>
      </c>
      <c r="F798">
        <f t="shared" si="603"/>
        <v>124.1</v>
      </c>
      <c r="G798">
        <f t="shared" si="603"/>
        <v>126.96</v>
      </c>
      <c r="H798">
        <f t="shared" si="603"/>
        <v>61.521377746050902</v>
      </c>
      <c r="I798">
        <f t="shared" si="603"/>
        <v>62.329975107806128</v>
      </c>
      <c r="J798">
        <f t="shared" si="603"/>
        <v>31.599898427111402</v>
      </c>
      <c r="K798">
        <f t="shared" si="603"/>
        <v>38.445010632635295</v>
      </c>
      <c r="L798">
        <f t="shared" si="603"/>
        <v>28.435106650490983</v>
      </c>
      <c r="M798">
        <f t="shared" si="603"/>
        <v>53.589336214397747</v>
      </c>
      <c r="N798">
        <f t="shared" si="603"/>
        <v>60.988327075138784</v>
      </c>
      <c r="O798">
        <f t="shared" si="603"/>
        <v>123.65859681354455</v>
      </c>
      <c r="P798">
        <f t="shared" si="603"/>
        <v>73.846590663685717</v>
      </c>
      <c r="Q798">
        <f t="shared" si="603"/>
        <v>87.145408878026743</v>
      </c>
      <c r="R798">
        <f t="shared" si="603"/>
        <v>106.8756089359737</v>
      </c>
      <c r="S798">
        <f t="shared" si="603"/>
        <v>130.61065053116539</v>
      </c>
      <c r="T798">
        <f t="shared" si="603"/>
        <v>162.60285746476669</v>
      </c>
      <c r="U798">
        <f t="shared" si="603"/>
        <v>148.44381722279266</v>
      </c>
      <c r="V798">
        <f t="shared" si="603"/>
        <v>147.95251962494979</v>
      </c>
      <c r="W798">
        <f t="shared" si="603"/>
        <v>212.14418673715502</v>
      </c>
      <c r="Y798" s="15">
        <f t="shared" si="589"/>
        <v>2140.1475668520193</v>
      </c>
      <c r="Z798">
        <f t="shared" si="590"/>
        <v>65.57913428198674</v>
      </c>
    </row>
    <row r="799" spans="1:26" x14ac:dyDescent="0.25">
      <c r="A799" t="s">
        <v>57</v>
      </c>
      <c r="D799">
        <f t="shared" ref="D799:W799" si="604">D161*D190</f>
        <v>194.99877551020407</v>
      </c>
      <c r="E799">
        <f t="shared" si="604"/>
        <v>220.45999999999998</v>
      </c>
      <c r="F799">
        <f t="shared" si="604"/>
        <v>209.3257142857143</v>
      </c>
      <c r="G799">
        <f t="shared" si="604"/>
        <v>192.34285714285713</v>
      </c>
      <c r="H799">
        <f t="shared" si="604"/>
        <v>114.29675887564588</v>
      </c>
      <c r="I799">
        <f t="shared" si="604"/>
        <v>106.2178671097742</v>
      </c>
      <c r="J799">
        <f t="shared" si="604"/>
        <v>68.283525709596276</v>
      </c>
      <c r="K799">
        <f t="shared" si="604"/>
        <v>85.019053512655518</v>
      </c>
      <c r="L799">
        <f t="shared" si="604"/>
        <v>53.486909703207971</v>
      </c>
      <c r="M799">
        <f t="shared" si="604"/>
        <v>70.7934490868453</v>
      </c>
      <c r="N799">
        <f t="shared" si="604"/>
        <v>66.725836994806443</v>
      </c>
      <c r="O799">
        <f t="shared" si="604"/>
        <v>61.233672419727291</v>
      </c>
      <c r="P799">
        <f t="shared" si="604"/>
        <v>71.00352605677665</v>
      </c>
      <c r="Q799">
        <f t="shared" si="604"/>
        <v>81.405626733045906</v>
      </c>
      <c r="R799">
        <f t="shared" si="604"/>
        <v>62.094637078307755</v>
      </c>
      <c r="S799">
        <f t="shared" si="604"/>
        <v>66.073050774469294</v>
      </c>
      <c r="T799">
        <f t="shared" si="604"/>
        <v>82.276691500889299</v>
      </c>
      <c r="U799">
        <f t="shared" si="604"/>
        <v>70.833405696858065</v>
      </c>
      <c r="V799">
        <f t="shared" si="604"/>
        <v>99.877912533251404</v>
      </c>
      <c r="W799">
        <f t="shared" si="604"/>
        <v>154.28647983264898</v>
      </c>
      <c r="Y799" s="15">
        <f t="shared" si="589"/>
        <v>2131.0357505572824</v>
      </c>
      <c r="Z799">
        <f t="shared" si="590"/>
        <v>132.19202363712378</v>
      </c>
    </row>
    <row r="800" spans="1:26" x14ac:dyDescent="0.25">
      <c r="A800" t="s">
        <v>58</v>
      </c>
      <c r="D800">
        <f t="shared" ref="D800:W800" si="605">D162*D191</f>
        <v>225.3208163265306</v>
      </c>
      <c r="E800">
        <f t="shared" si="605"/>
        <v>237.04897959183668</v>
      </c>
      <c r="F800">
        <f t="shared" si="605"/>
        <v>115.53061224489795</v>
      </c>
      <c r="G800">
        <f t="shared" si="605"/>
        <v>70.530204081632633</v>
      </c>
      <c r="H800">
        <f t="shared" si="605"/>
        <v>88.654184003541687</v>
      </c>
      <c r="I800">
        <f t="shared" si="605"/>
        <v>76.29006685230992</v>
      </c>
      <c r="J800">
        <f t="shared" si="605"/>
        <v>66.473767860342846</v>
      </c>
      <c r="K800">
        <f t="shared" si="605"/>
        <v>77.18582064819212</v>
      </c>
      <c r="L800">
        <f t="shared" si="605"/>
        <v>61.587077766126981</v>
      </c>
      <c r="M800">
        <f t="shared" si="605"/>
        <v>119.13019285499151</v>
      </c>
      <c r="N800">
        <f t="shared" si="605"/>
        <v>122.94266125416287</v>
      </c>
      <c r="O800">
        <f t="shared" si="605"/>
        <v>113.93360041461305</v>
      </c>
      <c r="P800">
        <f t="shared" si="605"/>
        <v>51.953558320364493</v>
      </c>
      <c r="Q800">
        <f t="shared" si="605"/>
        <v>67.087793285900233</v>
      </c>
      <c r="R800">
        <f t="shared" si="605"/>
        <v>52.597975739645683</v>
      </c>
      <c r="S800">
        <f t="shared" si="605"/>
        <v>99.727244650733027</v>
      </c>
      <c r="T800">
        <f t="shared" si="605"/>
        <v>136.54585907926995</v>
      </c>
      <c r="U800">
        <f t="shared" si="605"/>
        <v>176.6149020322211</v>
      </c>
      <c r="V800">
        <f t="shared" si="605"/>
        <v>236.50618407110653</v>
      </c>
      <c r="W800">
        <f t="shared" si="605"/>
        <v>271.66582514547144</v>
      </c>
      <c r="Y800" s="15">
        <f t="shared" si="589"/>
        <v>2467.3273262238913</v>
      </c>
      <c r="Z800">
        <f t="shared" si="590"/>
        <v>46.455708334385356</v>
      </c>
    </row>
    <row r="801" spans="1:26" x14ac:dyDescent="0.25">
      <c r="A801" t="s">
        <v>59</v>
      </c>
      <c r="D801">
        <f t="shared" ref="D801:W801" si="606">D163*D192</f>
        <v>146.67950885746419</v>
      </c>
      <c r="E801">
        <f t="shared" si="606"/>
        <v>145.43588631936177</v>
      </c>
      <c r="F801">
        <f t="shared" si="606"/>
        <v>171.54739475022549</v>
      </c>
      <c r="G801">
        <f t="shared" si="606"/>
        <v>247.70320304422719</v>
      </c>
      <c r="H801">
        <f t="shared" si="606"/>
        <v>237.95108016589285</v>
      </c>
      <c r="I801">
        <f t="shared" si="606"/>
        <v>463.1313743760748</v>
      </c>
      <c r="J801">
        <f t="shared" si="606"/>
        <v>300.5180862685566</v>
      </c>
      <c r="K801">
        <f t="shared" si="606"/>
        <v>155.64351331429808</v>
      </c>
      <c r="L801">
        <f t="shared" si="606"/>
        <v>101.63541259962398</v>
      </c>
      <c r="M801">
        <f t="shared" si="606"/>
        <v>96.920161318686837</v>
      </c>
      <c r="N801">
        <f t="shared" si="606"/>
        <v>177.214244769136</v>
      </c>
      <c r="O801">
        <f t="shared" si="606"/>
        <v>163.60038051608626</v>
      </c>
      <c r="P801">
        <f t="shared" si="606"/>
        <v>114.8910348297636</v>
      </c>
      <c r="Q801">
        <f t="shared" si="606"/>
        <v>77.736284853615729</v>
      </c>
      <c r="R801">
        <f t="shared" si="606"/>
        <v>90.903996746806371</v>
      </c>
      <c r="S801">
        <f t="shared" si="606"/>
        <v>86.239258486133991</v>
      </c>
      <c r="T801">
        <f t="shared" si="606"/>
        <v>100.91904663979632</v>
      </c>
      <c r="U801">
        <f t="shared" si="606"/>
        <v>107.70806578869588</v>
      </c>
      <c r="V801">
        <f t="shared" si="606"/>
        <v>90.526770976136035</v>
      </c>
      <c r="W801">
        <f t="shared" si="606"/>
        <v>89.605646450728131</v>
      </c>
      <c r="Y801" s="15">
        <f t="shared" si="589"/>
        <v>3166.5103510713107</v>
      </c>
      <c r="Z801">
        <f t="shared" si="590"/>
        <v>6.0995162237143923</v>
      </c>
    </row>
    <row r="802" spans="1:26" x14ac:dyDescent="0.25">
      <c r="A802" t="s">
        <v>60</v>
      </c>
      <c r="D802">
        <f t="shared" ref="D802:W802" si="607">D164*D193</f>
        <v>94.487968993970668</v>
      </c>
      <c r="E802">
        <f t="shared" si="607"/>
        <v>199.64470343074211</v>
      </c>
      <c r="F802">
        <f t="shared" si="607"/>
        <v>328.7236431363936</v>
      </c>
      <c r="G802">
        <f t="shared" si="607"/>
        <v>158.17228140568596</v>
      </c>
      <c r="H802">
        <f t="shared" si="607"/>
        <v>152.45097688993724</v>
      </c>
      <c r="I802">
        <f t="shared" si="607"/>
        <v>134.07316412094568</v>
      </c>
      <c r="J802">
        <f t="shared" si="607"/>
        <v>197.82675014888954</v>
      </c>
      <c r="K802">
        <f t="shared" si="607"/>
        <v>245.44816089993378</v>
      </c>
      <c r="L802">
        <f t="shared" si="607"/>
        <v>105.72229380104649</v>
      </c>
      <c r="M802">
        <f t="shared" si="607"/>
        <v>125.08918759202069</v>
      </c>
      <c r="N802">
        <f t="shared" si="607"/>
        <v>92.97585396309151</v>
      </c>
      <c r="O802">
        <f t="shared" si="607"/>
        <v>103.30121999549682</v>
      </c>
      <c r="P802">
        <f t="shared" si="607"/>
        <v>106.97768878967786</v>
      </c>
      <c r="Q802">
        <f t="shared" si="607"/>
        <v>128.65640036299121</v>
      </c>
      <c r="R802">
        <f t="shared" si="607"/>
        <v>174.70486507783903</v>
      </c>
      <c r="S802">
        <f t="shared" si="607"/>
        <v>94.740919341426263</v>
      </c>
      <c r="T802">
        <f t="shared" si="607"/>
        <v>99.646765109479901</v>
      </c>
      <c r="U802">
        <f t="shared" si="607"/>
        <v>105.58564252960925</v>
      </c>
      <c r="V802">
        <f t="shared" si="607"/>
        <v>134.00965341495709</v>
      </c>
      <c r="W802">
        <f t="shared" si="607"/>
        <v>128.9716334259837</v>
      </c>
      <c r="Y802" s="15">
        <f t="shared" si="589"/>
        <v>2911.2097724301184</v>
      </c>
      <c r="Z802">
        <f t="shared" si="590"/>
        <v>111.72636650963003</v>
      </c>
    </row>
    <row r="803" spans="1:26" x14ac:dyDescent="0.25">
      <c r="A803" t="s">
        <v>61</v>
      </c>
      <c r="D803">
        <f t="shared" ref="D803:W803" si="608">D165*D194</f>
        <v>195.82447465729595</v>
      </c>
      <c r="E803">
        <f t="shared" si="608"/>
        <v>255.11319533130938</v>
      </c>
      <c r="F803">
        <f t="shared" si="608"/>
        <v>388.88529180831767</v>
      </c>
      <c r="G803">
        <f t="shared" si="608"/>
        <v>310.53271122100887</v>
      </c>
      <c r="H803">
        <f t="shared" si="608"/>
        <v>310.04163714238075</v>
      </c>
      <c r="I803">
        <f t="shared" si="608"/>
        <v>156.39267937307261</v>
      </c>
      <c r="J803">
        <f t="shared" si="608"/>
        <v>86.211608787661604</v>
      </c>
      <c r="K803">
        <f t="shared" si="608"/>
        <v>75.687713599122517</v>
      </c>
      <c r="L803">
        <f t="shared" si="608"/>
        <v>131.49128989170026</v>
      </c>
      <c r="M803">
        <f t="shared" si="608"/>
        <v>60.321796298472364</v>
      </c>
      <c r="N803">
        <f t="shared" si="608"/>
        <v>79.416962259151319</v>
      </c>
      <c r="O803">
        <f t="shared" si="608"/>
        <v>156.61829353474573</v>
      </c>
      <c r="P803">
        <f t="shared" si="608"/>
        <v>119.67829023110041</v>
      </c>
      <c r="Q803">
        <f t="shared" si="608"/>
        <v>100.35352415178205</v>
      </c>
      <c r="R803">
        <f t="shared" si="608"/>
        <v>141.68616930375669</v>
      </c>
      <c r="S803">
        <f t="shared" si="608"/>
        <v>142.01689200914649</v>
      </c>
      <c r="T803">
        <f t="shared" si="608"/>
        <v>78.97122231551667</v>
      </c>
      <c r="U803">
        <f t="shared" si="608"/>
        <v>115.55848139167877</v>
      </c>
      <c r="V803">
        <f t="shared" si="608"/>
        <v>123.31183278191816</v>
      </c>
      <c r="W803">
        <f t="shared" si="608"/>
        <v>128.06281676552067</v>
      </c>
      <c r="Y803" s="15">
        <f t="shared" si="589"/>
        <v>3156.1768828546592</v>
      </c>
      <c r="Z803">
        <f t="shared" si="590"/>
        <v>234.90479542354308</v>
      </c>
    </row>
    <row r="804" spans="1:26" x14ac:dyDescent="0.25">
      <c r="A804" t="s">
        <v>62</v>
      </c>
      <c r="D804">
        <f t="shared" ref="D804:W804" si="609">D166*D195</f>
        <v>165.37242785490079</v>
      </c>
      <c r="E804">
        <f t="shared" si="609"/>
        <v>205.05630729779398</v>
      </c>
      <c r="F804">
        <f t="shared" si="609"/>
        <v>173.56944697184005</v>
      </c>
      <c r="G804">
        <f t="shared" si="609"/>
        <v>140.54650134862197</v>
      </c>
      <c r="H804">
        <f t="shared" si="609"/>
        <v>216.8846178977816</v>
      </c>
      <c r="I804">
        <f t="shared" si="609"/>
        <v>229.91381369050328</v>
      </c>
      <c r="J804">
        <f t="shared" si="609"/>
        <v>113.80833416696608</v>
      </c>
      <c r="K804">
        <f t="shared" si="609"/>
        <v>148.88490288827489</v>
      </c>
      <c r="L804">
        <f t="shared" si="609"/>
        <v>112.12426837500836</v>
      </c>
      <c r="M804">
        <f t="shared" si="609"/>
        <v>125.91827788506616</v>
      </c>
      <c r="N804">
        <f t="shared" si="609"/>
        <v>62.960739226728244</v>
      </c>
      <c r="O804">
        <f t="shared" si="609"/>
        <v>73.025085214337508</v>
      </c>
      <c r="P804">
        <f t="shared" si="609"/>
        <v>82.80080891927382</v>
      </c>
      <c r="Q804">
        <f t="shared" si="609"/>
        <v>98.09000317600885</v>
      </c>
      <c r="R804">
        <f t="shared" si="609"/>
        <v>44.755298183330467</v>
      </c>
      <c r="S804">
        <f t="shared" si="609"/>
        <v>84.925826528202251</v>
      </c>
      <c r="T804">
        <f t="shared" si="609"/>
        <v>87.59851232074611</v>
      </c>
      <c r="U804">
        <f t="shared" si="609"/>
        <v>101.44292485474543</v>
      </c>
      <c r="V804">
        <f t="shared" si="609"/>
        <v>95.848028523674486</v>
      </c>
      <c r="W804">
        <f t="shared" si="609"/>
        <v>82.70204580574385</v>
      </c>
      <c r="Y804" s="15">
        <f t="shared" si="589"/>
        <v>2446.2281711295477</v>
      </c>
      <c r="Z804">
        <f>SUMPRODUCT($D$810:$O$810,D804:O804)</f>
        <v>78.461528925456165</v>
      </c>
    </row>
    <row r="805" spans="1:26" x14ac:dyDescent="0.25">
      <c r="Y805" s="15"/>
    </row>
    <row r="806" spans="1:26" x14ac:dyDescent="0.25">
      <c r="A806" t="s">
        <v>63</v>
      </c>
      <c r="D806">
        <f t="shared" ref="D806:W806" si="610">D168*D197</f>
        <v>135.25011045208277</v>
      </c>
      <c r="E806">
        <f t="shared" si="610"/>
        <v>119.51497657298059</v>
      </c>
      <c r="F806">
        <f t="shared" si="610"/>
        <v>112.84934693386577</v>
      </c>
      <c r="G806">
        <f t="shared" si="610"/>
        <v>95.096454858965316</v>
      </c>
      <c r="H806">
        <f t="shared" si="610"/>
        <v>88.699583329550848</v>
      </c>
      <c r="I806">
        <f t="shared" si="610"/>
        <v>104.45551946884768</v>
      </c>
      <c r="J806">
        <f t="shared" si="610"/>
        <v>68.696675176457319</v>
      </c>
      <c r="K806">
        <f t="shared" si="610"/>
        <v>90.328094767833548</v>
      </c>
      <c r="L806">
        <f t="shared" si="610"/>
        <v>63.43115628333809</v>
      </c>
      <c r="M806">
        <f t="shared" si="610"/>
        <v>60.652371683176085</v>
      </c>
      <c r="N806">
        <f t="shared" si="610"/>
        <v>67.095646589795322</v>
      </c>
      <c r="O806">
        <f t="shared" si="610"/>
        <v>65.49405332121205</v>
      </c>
      <c r="P806">
        <f t="shared" si="610"/>
        <v>58.053706737576697</v>
      </c>
      <c r="Q806">
        <f t="shared" si="610"/>
        <v>70.570238702073041</v>
      </c>
      <c r="R806">
        <f t="shared" si="610"/>
        <v>73.476524673928836</v>
      </c>
      <c r="S806">
        <f t="shared" si="610"/>
        <v>82.321304933063089</v>
      </c>
      <c r="T806">
        <f t="shared" si="610"/>
        <v>87.390448396688427</v>
      </c>
      <c r="U806">
        <f t="shared" si="610"/>
        <v>95.507245416213649</v>
      </c>
      <c r="V806">
        <f t="shared" si="610"/>
        <v>100.94873873343698</v>
      </c>
      <c r="W806">
        <f t="shared" si="610"/>
        <v>139.59966932250694</v>
      </c>
      <c r="Y806" s="15">
        <f t="shared" si="589"/>
        <v>1779.4318663535935</v>
      </c>
      <c r="Z806">
        <f>SUMPRODUCT($D$810:$O$810,D806:O806)</f>
        <v>34.392728207891544</v>
      </c>
    </row>
    <row r="807" spans="1:26" x14ac:dyDescent="0.25">
      <c r="A807" t="s">
        <v>307</v>
      </c>
      <c r="D807">
        <f t="shared" ref="D807:W807" si="611">D169*D198</f>
        <v>292.35775510204076</v>
      </c>
      <c r="E807">
        <f t="shared" si="611"/>
        <v>141.44</v>
      </c>
      <c r="F807">
        <f t="shared" si="611"/>
        <v>132.24</v>
      </c>
      <c r="G807">
        <f t="shared" si="611"/>
        <v>108.78</v>
      </c>
      <c r="H807">
        <f t="shared" si="611"/>
        <v>179.89469387755099</v>
      </c>
      <c r="I807">
        <f t="shared" si="611"/>
        <v>158.39938775510203</v>
      </c>
      <c r="J807">
        <f t="shared" si="611"/>
        <v>119.87999999999998</v>
      </c>
      <c r="K807">
        <f t="shared" si="611"/>
        <v>111.28775510204083</v>
      </c>
      <c r="L807">
        <f t="shared" si="611"/>
        <v>127.09890625000001</v>
      </c>
      <c r="M807">
        <f t="shared" si="611"/>
        <v>164.35000000000002</v>
      </c>
      <c r="N807">
        <f t="shared" si="611"/>
        <v>124.694693877551</v>
      </c>
      <c r="O807">
        <f t="shared" si="611"/>
        <v>101.6338775510204</v>
      </c>
      <c r="P807">
        <f t="shared" si="611"/>
        <v>227.2</v>
      </c>
      <c r="Q807">
        <f t="shared" si="611"/>
        <v>156.78</v>
      </c>
      <c r="R807">
        <f t="shared" si="611"/>
        <v>136.85</v>
      </c>
      <c r="S807">
        <f t="shared" si="611"/>
        <v>134.56</v>
      </c>
      <c r="T807">
        <f t="shared" si="611"/>
        <v>104.16</v>
      </c>
      <c r="U807">
        <f t="shared" si="611"/>
        <v>98.28</v>
      </c>
      <c r="V807">
        <f t="shared" si="611"/>
        <v>103.96</v>
      </c>
      <c r="W807">
        <f t="shared" si="611"/>
        <v>141.25</v>
      </c>
      <c r="Y807" s="15">
        <f t="shared" si="589"/>
        <v>2865.0970695153055</v>
      </c>
      <c r="Z807">
        <f>SUMPRODUCT($D$810:$O$810,D807:O807)</f>
        <v>-29.425080440823582</v>
      </c>
    </row>
    <row r="808" spans="1:26" x14ac:dyDescent="0.25">
      <c r="A808" t="s">
        <v>308</v>
      </c>
      <c r="D808">
        <f t="shared" ref="D808:W808" si="612">D170*D199</f>
        <v>165.75760345761088</v>
      </c>
      <c r="E808">
        <f t="shared" si="612"/>
        <v>128.51999999999998</v>
      </c>
      <c r="F808">
        <f t="shared" si="612"/>
        <v>124.2</v>
      </c>
      <c r="G808">
        <f t="shared" si="612"/>
        <v>102.92000000000002</v>
      </c>
      <c r="H808">
        <f t="shared" si="612"/>
        <v>142.38</v>
      </c>
      <c r="I808">
        <f t="shared" si="612"/>
        <v>143.88</v>
      </c>
      <c r="J808">
        <f t="shared" si="612"/>
        <v>72.239999999999995</v>
      </c>
      <c r="K808">
        <f t="shared" si="612"/>
        <v>108.48</v>
      </c>
      <c r="L808">
        <f t="shared" si="612"/>
        <v>119.38</v>
      </c>
      <c r="M808">
        <f t="shared" si="612"/>
        <v>114.23999999999998</v>
      </c>
      <c r="N808">
        <f t="shared" si="612"/>
        <v>123.12000000000002</v>
      </c>
      <c r="O808">
        <f t="shared" si="612"/>
        <v>100.94000000000001</v>
      </c>
      <c r="P808">
        <f t="shared" si="612"/>
        <v>84.327932454097564</v>
      </c>
      <c r="Q808">
        <f t="shared" si="612"/>
        <v>87.360690615842884</v>
      </c>
      <c r="R808">
        <f t="shared" si="612"/>
        <v>89.879915879062196</v>
      </c>
      <c r="S808">
        <f t="shared" si="612"/>
        <v>87.550396487858507</v>
      </c>
      <c r="T808">
        <f t="shared" si="612"/>
        <v>105.18053448037425</v>
      </c>
      <c r="U808">
        <f t="shared" si="612"/>
        <v>116.20305099763156</v>
      </c>
      <c r="V808">
        <f t="shared" si="612"/>
        <v>137.99838336553415</v>
      </c>
      <c r="W808">
        <f t="shared" si="612"/>
        <v>158.78220701840192</v>
      </c>
      <c r="Y808" s="15">
        <f t="shared" si="589"/>
        <v>2313.3407147564144</v>
      </c>
      <c r="Z808">
        <f>SUMPRODUCT($D$810:$O$810,D808:O808)</f>
        <v>7.9338279948683645</v>
      </c>
    </row>
    <row r="809" spans="1:26" x14ac:dyDescent="0.25">
      <c r="A809" t="s">
        <v>670</v>
      </c>
      <c r="D809">
        <f t="shared" ref="D809:W809" si="613">D171*D200</f>
        <v>190.98923645829089</v>
      </c>
      <c r="E809">
        <f t="shared" si="613"/>
        <v>258.14469093615293</v>
      </c>
      <c r="F809">
        <f t="shared" si="613"/>
        <v>217.68737157188275</v>
      </c>
      <c r="G809">
        <f t="shared" si="613"/>
        <v>215.21560360837108</v>
      </c>
      <c r="H809">
        <f t="shared" si="613"/>
        <v>161.6479800528594</v>
      </c>
      <c r="I809">
        <f t="shared" si="613"/>
        <v>133.6367959767407</v>
      </c>
      <c r="J809">
        <f t="shared" si="613"/>
        <v>83.581814673722675</v>
      </c>
      <c r="K809">
        <f t="shared" si="613"/>
        <v>65.925518065417052</v>
      </c>
      <c r="L809">
        <f t="shared" si="613"/>
        <v>73.124601607267067</v>
      </c>
      <c r="M809">
        <f t="shared" si="613"/>
        <v>101.70008183498943</v>
      </c>
      <c r="N809">
        <f t="shared" si="613"/>
        <v>106.95820546673002</v>
      </c>
      <c r="O809">
        <f t="shared" si="613"/>
        <v>119.45728185402372</v>
      </c>
      <c r="P809">
        <f t="shared" si="613"/>
        <v>67.126180088572781</v>
      </c>
      <c r="Q809">
        <f t="shared" si="613"/>
        <v>67.873721466843648</v>
      </c>
      <c r="R809">
        <f t="shared" si="613"/>
        <v>96.948341005755665</v>
      </c>
      <c r="S809">
        <f t="shared" si="613"/>
        <v>99.815597387190934</v>
      </c>
      <c r="T809">
        <f t="shared" si="613"/>
        <v>88.649595338206041</v>
      </c>
      <c r="U809">
        <f t="shared" si="613"/>
        <v>101.86430888901651</v>
      </c>
      <c r="V809">
        <f t="shared" si="613"/>
        <v>103.35096027466714</v>
      </c>
      <c r="W809">
        <f t="shared" si="613"/>
        <v>134.51693547897375</v>
      </c>
      <c r="Y809" s="15">
        <f t="shared" ref="Y809" si="614">SUM(D809:W809)</f>
        <v>2488.2148220356739</v>
      </c>
      <c r="Z809">
        <f>SUMPRODUCT($D$810:$O$810,D809:O809)</f>
        <v>140.68485909854715</v>
      </c>
    </row>
    <row r="810" spans="1:26" x14ac:dyDescent="0.25">
      <c r="A810" s="2" t="s">
        <v>64</v>
      </c>
      <c r="D810" s="3">
        <f>CORREL($B$2:$B$21,D785:D804)</f>
        <v>-0.22979952666195672</v>
      </c>
      <c r="E810" s="3">
        <f t="shared" ref="E810:W810" si="615">CORREL($B$2:$B$21,E785:E804)</f>
        <v>0.5035969690496177</v>
      </c>
      <c r="F810" s="3">
        <f t="shared" si="615"/>
        <v>0.36591060551256765</v>
      </c>
      <c r="G810" s="3">
        <f t="shared" si="615"/>
        <v>0.20937383751439892</v>
      </c>
      <c r="H810" s="3">
        <f t="shared" si="615"/>
        <v>0.15017543169767966</v>
      </c>
      <c r="I810" s="3">
        <f t="shared" si="615"/>
        <v>-2.7494154030849517E-2</v>
      </c>
      <c r="J810" s="3">
        <f t="shared" si="615"/>
        <v>-0.25107130990472454</v>
      </c>
      <c r="K810" s="3">
        <f t="shared" si="615"/>
        <v>-6.8029323256493385E-2</v>
      </c>
      <c r="L810" s="3">
        <f t="shared" si="615"/>
        <v>-0.22131191039193837</v>
      </c>
      <c r="M810" s="3">
        <f t="shared" si="615"/>
        <v>-0.20018886295864133</v>
      </c>
      <c r="N810" s="3">
        <f t="shared" si="615"/>
        <v>-0.1232263559863561</v>
      </c>
      <c r="O810" s="3">
        <f t="shared" si="615"/>
        <v>-0.13017410705966309</v>
      </c>
      <c r="P810" s="3">
        <f t="shared" si="615"/>
        <v>-0.10969592523520025</v>
      </c>
      <c r="Q810" s="3">
        <f t="shared" si="615"/>
        <v>4.1720060146667147E-2</v>
      </c>
      <c r="R810" s="3">
        <f t="shared" si="615"/>
        <v>-1.4327368525896613E-2</v>
      </c>
      <c r="S810" s="3">
        <f t="shared" si="615"/>
        <v>0.15759263537300852</v>
      </c>
      <c r="T810" s="3">
        <f t="shared" si="615"/>
        <v>-0.14103584185095994</v>
      </c>
      <c r="U810" s="3">
        <f t="shared" si="615"/>
        <v>1.0518689995126604E-2</v>
      </c>
      <c r="V810" s="3">
        <f t="shared" si="615"/>
        <v>-0.12804457144531617</v>
      </c>
      <c r="W810" s="3">
        <f t="shared" si="615"/>
        <v>-0.21396577740489234</v>
      </c>
    </row>
  </sheetData>
  <dataValidations count="1">
    <dataValidation type="decimal" allowBlank="1" showInputMessage="1" showErrorMessage="1" sqref="E89:G91 E96:G96 E102:G103 E118:G120 E125:G125 E131:G132">
      <formula1>0</formula1>
      <formula2>50</formula2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activeCell="H27" sqref="H27"/>
    </sheetView>
  </sheetViews>
  <sheetFormatPr defaultRowHeight="15" x14ac:dyDescent="0.25"/>
  <sheetData>
    <row r="1" spans="1:12" x14ac:dyDescent="0.25">
      <c r="A1" t="s">
        <v>445</v>
      </c>
      <c r="B1" t="s">
        <v>303</v>
      </c>
      <c r="C1" t="s">
        <v>32</v>
      </c>
      <c r="D1" t="s">
        <v>305</v>
      </c>
      <c r="E1" t="s">
        <v>304</v>
      </c>
    </row>
    <row r="2" spans="1:12" x14ac:dyDescent="0.25">
      <c r="A2" t="s">
        <v>43</v>
      </c>
      <c r="B2" s="1">
        <v>1964</v>
      </c>
      <c r="C2">
        <v>1</v>
      </c>
      <c r="D2">
        <f>$H$19+($H$20*C2)</f>
        <v>2152.0350877192982</v>
      </c>
      <c r="E2" s="20">
        <f>B2-D2</f>
        <v>-188.03508771929819</v>
      </c>
    </row>
    <row r="3" spans="1:12" x14ac:dyDescent="0.25">
      <c r="A3" t="s">
        <v>44</v>
      </c>
      <c r="B3" s="1">
        <v>2053</v>
      </c>
      <c r="C3">
        <v>2</v>
      </c>
      <c r="D3">
        <f t="shared" ref="D3:D21" si="0">$H$19+($H$20*C3)</f>
        <v>2173.7000000000003</v>
      </c>
      <c r="E3" s="20">
        <f t="shared" ref="E3:E21" si="1">B3-D3</f>
        <v>-120.70000000000027</v>
      </c>
      <c r="G3" t="s">
        <v>309</v>
      </c>
    </row>
    <row r="4" spans="1:12" ht="15.75" thickBot="1" x14ac:dyDescent="0.3">
      <c r="A4" t="s">
        <v>45</v>
      </c>
      <c r="B4" s="1">
        <v>2211</v>
      </c>
      <c r="C4">
        <v>3</v>
      </c>
      <c r="D4">
        <f t="shared" si="0"/>
        <v>2195.3649122807019</v>
      </c>
      <c r="E4" s="20">
        <f t="shared" si="1"/>
        <v>15.635087719298099</v>
      </c>
    </row>
    <row r="5" spans="1:12" x14ac:dyDescent="0.25">
      <c r="A5" t="s">
        <v>46</v>
      </c>
      <c r="B5" s="1">
        <v>1862</v>
      </c>
      <c r="C5">
        <v>4</v>
      </c>
      <c r="D5">
        <f t="shared" si="0"/>
        <v>2217.0298245614035</v>
      </c>
      <c r="E5" s="20">
        <f t="shared" si="1"/>
        <v>-355.02982456140353</v>
      </c>
      <c r="G5" s="19" t="s">
        <v>310</v>
      </c>
      <c r="H5" s="19"/>
    </row>
    <row r="6" spans="1:12" x14ac:dyDescent="0.25">
      <c r="A6" t="s">
        <v>47</v>
      </c>
      <c r="B6" s="1">
        <v>2355</v>
      </c>
      <c r="C6">
        <v>5</v>
      </c>
      <c r="D6">
        <f t="shared" si="0"/>
        <v>2238.6947368421052</v>
      </c>
      <c r="E6" s="20">
        <f t="shared" si="1"/>
        <v>116.30526315789484</v>
      </c>
      <c r="G6" s="4" t="s">
        <v>311</v>
      </c>
      <c r="H6" s="4">
        <v>0.41807985068963377</v>
      </c>
    </row>
    <row r="7" spans="1:12" x14ac:dyDescent="0.25">
      <c r="A7" t="s">
        <v>48</v>
      </c>
      <c r="B7" s="1">
        <v>3140</v>
      </c>
      <c r="C7">
        <v>6</v>
      </c>
      <c r="D7">
        <f t="shared" si="0"/>
        <v>2260.3596491228072</v>
      </c>
      <c r="E7" s="20">
        <f t="shared" si="1"/>
        <v>879.64035087719276</v>
      </c>
      <c r="G7" s="4" t="s">
        <v>312</v>
      </c>
      <c r="H7" s="4">
        <v>0.17479076155266648</v>
      </c>
    </row>
    <row r="8" spans="1:12" x14ac:dyDescent="0.25">
      <c r="A8" t="s">
        <v>49</v>
      </c>
      <c r="B8" s="1">
        <v>2127</v>
      </c>
      <c r="C8">
        <v>7</v>
      </c>
      <c r="D8">
        <f t="shared" si="0"/>
        <v>2282.0245614035089</v>
      </c>
      <c r="E8" s="20">
        <f t="shared" si="1"/>
        <v>-155.02456140350887</v>
      </c>
      <c r="G8" s="4" t="s">
        <v>313</v>
      </c>
      <c r="H8" s="4">
        <v>0.1262490416439998</v>
      </c>
    </row>
    <row r="9" spans="1:12" x14ac:dyDescent="0.25">
      <c r="A9" t="s">
        <v>50</v>
      </c>
      <c r="B9" s="1">
        <v>2365</v>
      </c>
      <c r="C9">
        <v>8</v>
      </c>
      <c r="D9">
        <f t="shared" si="0"/>
        <v>2303.6894736842105</v>
      </c>
      <c r="E9" s="20">
        <f t="shared" si="1"/>
        <v>61.310526315789502</v>
      </c>
      <c r="G9" s="4" t="s">
        <v>314</v>
      </c>
      <c r="H9" s="4">
        <v>272.57919556242217</v>
      </c>
    </row>
    <row r="10" spans="1:12" ht="15.75" thickBot="1" x14ac:dyDescent="0.3">
      <c r="A10" t="s">
        <v>51</v>
      </c>
      <c r="B10" s="1">
        <v>2383</v>
      </c>
      <c r="C10">
        <v>9</v>
      </c>
      <c r="D10">
        <f t="shared" si="0"/>
        <v>2325.3543859649126</v>
      </c>
      <c r="E10" s="20">
        <f t="shared" si="1"/>
        <v>57.645614035087419</v>
      </c>
      <c r="G10" s="17" t="s">
        <v>315</v>
      </c>
      <c r="H10" s="17">
        <v>19</v>
      </c>
    </row>
    <row r="11" spans="1:12" x14ac:dyDescent="0.25">
      <c r="A11" t="s">
        <v>52</v>
      </c>
      <c r="B11" s="1">
        <v>2137</v>
      </c>
      <c r="C11">
        <v>10</v>
      </c>
      <c r="D11">
        <f t="shared" si="0"/>
        <v>2347.0192982456142</v>
      </c>
      <c r="E11" s="20">
        <f t="shared" si="1"/>
        <v>-210.01929824561421</v>
      </c>
    </row>
    <row r="12" spans="1:12" ht="15.75" thickBot="1" x14ac:dyDescent="0.3">
      <c r="A12" t="s">
        <v>53</v>
      </c>
      <c r="B12" s="1">
        <v>2298</v>
      </c>
      <c r="C12">
        <v>11</v>
      </c>
      <c r="D12">
        <f t="shared" si="0"/>
        <v>2368.6842105263158</v>
      </c>
      <c r="E12" s="20">
        <f t="shared" si="1"/>
        <v>-70.684210526315837</v>
      </c>
      <c r="G12" t="s">
        <v>316</v>
      </c>
    </row>
    <row r="13" spans="1:12" x14ac:dyDescent="0.25">
      <c r="A13" t="s">
        <v>54</v>
      </c>
      <c r="B13" s="1">
        <v>2405</v>
      </c>
      <c r="C13">
        <v>12</v>
      </c>
      <c r="D13">
        <f t="shared" si="0"/>
        <v>2390.3491228070175</v>
      </c>
      <c r="E13" s="20">
        <f t="shared" si="1"/>
        <v>14.650877192982534</v>
      </c>
      <c r="G13" s="18"/>
      <c r="H13" s="18" t="s">
        <v>321</v>
      </c>
      <c r="I13" s="18" t="s">
        <v>322</v>
      </c>
      <c r="J13" s="18" t="s">
        <v>323</v>
      </c>
      <c r="K13" s="18" t="s">
        <v>324</v>
      </c>
      <c r="L13" s="18" t="s">
        <v>325</v>
      </c>
    </row>
    <row r="14" spans="1:12" x14ac:dyDescent="0.25">
      <c r="A14" t="s">
        <v>55</v>
      </c>
      <c r="B14" s="8">
        <v>2250</v>
      </c>
      <c r="C14">
        <v>13</v>
      </c>
      <c r="D14">
        <f t="shared" si="0"/>
        <v>2412.0140350877195</v>
      </c>
      <c r="E14" s="20">
        <f t="shared" si="1"/>
        <v>-162.01403508771955</v>
      </c>
      <c r="G14" s="4" t="s">
        <v>317</v>
      </c>
      <c r="H14" s="4">
        <v>1</v>
      </c>
      <c r="I14" s="4">
        <v>267540.00175438542</v>
      </c>
      <c r="J14" s="4">
        <v>267540.00175438542</v>
      </c>
      <c r="K14" s="4">
        <v>3.6008357734654393</v>
      </c>
      <c r="L14" s="4">
        <v>7.4867638990767302E-2</v>
      </c>
    </row>
    <row r="15" spans="1:12" x14ac:dyDescent="0.25">
      <c r="A15" t="s">
        <v>56</v>
      </c>
      <c r="B15" s="1">
        <v>2254</v>
      </c>
      <c r="C15">
        <v>14</v>
      </c>
      <c r="D15">
        <f t="shared" si="0"/>
        <v>2433.6789473684212</v>
      </c>
      <c r="E15" s="20">
        <f t="shared" si="1"/>
        <v>-179.67894736842118</v>
      </c>
      <c r="G15" s="4" t="s">
        <v>318</v>
      </c>
      <c r="H15" s="4">
        <v>17</v>
      </c>
      <c r="I15" s="4">
        <v>1263090.1035087723</v>
      </c>
      <c r="J15" s="4">
        <v>74299.417853457198</v>
      </c>
      <c r="K15" s="4"/>
      <c r="L15" s="4"/>
    </row>
    <row r="16" spans="1:12" ht="15.75" thickBot="1" x14ac:dyDescent="0.3">
      <c r="A16" t="s">
        <v>57</v>
      </c>
      <c r="B16" s="1">
        <v>2251</v>
      </c>
      <c r="C16">
        <v>15</v>
      </c>
      <c r="D16">
        <f t="shared" si="0"/>
        <v>2455.3438596491228</v>
      </c>
      <c r="E16" s="20">
        <f t="shared" si="1"/>
        <v>-204.34385964912281</v>
      </c>
      <c r="G16" s="17" t="s">
        <v>319</v>
      </c>
      <c r="H16" s="17">
        <v>18</v>
      </c>
      <c r="I16" s="17">
        <v>1530630.1052631577</v>
      </c>
      <c r="J16" s="17"/>
      <c r="K16" s="17"/>
      <c r="L16" s="17"/>
    </row>
    <row r="17" spans="1:15" ht="15.75" thickBot="1" x14ac:dyDescent="0.3">
      <c r="A17" t="s">
        <v>58</v>
      </c>
      <c r="B17" s="1">
        <v>2577</v>
      </c>
      <c r="C17">
        <v>16</v>
      </c>
      <c r="D17">
        <f t="shared" si="0"/>
        <v>2477.0087719298244</v>
      </c>
      <c r="E17" s="20">
        <f t="shared" si="1"/>
        <v>99.991228070175566</v>
      </c>
    </row>
    <row r="18" spans="1:15" x14ac:dyDescent="0.25">
      <c r="A18" t="s">
        <v>59</v>
      </c>
      <c r="B18" s="1">
        <v>2263</v>
      </c>
      <c r="C18">
        <v>17</v>
      </c>
      <c r="D18">
        <f t="shared" si="0"/>
        <v>2498.6736842105265</v>
      </c>
      <c r="E18" s="20">
        <f t="shared" si="1"/>
        <v>-235.67368421052652</v>
      </c>
      <c r="G18" s="18"/>
      <c r="H18" s="18" t="s">
        <v>326</v>
      </c>
      <c r="I18" s="18" t="s">
        <v>314</v>
      </c>
      <c r="J18" s="18" t="s">
        <v>327</v>
      </c>
      <c r="K18" s="18" t="s">
        <v>328</v>
      </c>
      <c r="L18" s="18" t="s">
        <v>329</v>
      </c>
      <c r="M18" s="18" t="s">
        <v>330</v>
      </c>
      <c r="N18" s="18" t="s">
        <v>331</v>
      </c>
      <c r="O18" s="18" t="s">
        <v>332</v>
      </c>
    </row>
    <row r="19" spans="1:15" x14ac:dyDescent="0.25">
      <c r="A19" t="s">
        <v>60</v>
      </c>
      <c r="B19" s="1">
        <v>2562</v>
      </c>
      <c r="C19">
        <v>18</v>
      </c>
      <c r="D19">
        <f t="shared" si="0"/>
        <v>2520.3385964912281</v>
      </c>
      <c r="E19" s="20">
        <f t="shared" si="1"/>
        <v>41.661403508771855</v>
      </c>
      <c r="G19" s="4" t="s">
        <v>320</v>
      </c>
      <c r="H19" s="4">
        <v>2130.3701754385966</v>
      </c>
      <c r="I19" s="4">
        <v>140.2955032721006</v>
      </c>
      <c r="J19" s="4">
        <v>15.184878529618885</v>
      </c>
      <c r="K19" s="4">
        <v>2.5487905227853724E-11</v>
      </c>
      <c r="L19" s="4">
        <v>1834.3725371351536</v>
      </c>
      <c r="M19" s="4">
        <v>2426.3678137420393</v>
      </c>
      <c r="N19" s="4">
        <v>1834.3725371351536</v>
      </c>
      <c r="O19" s="4">
        <v>2426.3678137420393</v>
      </c>
    </row>
    <row r="20" spans="1:15" ht="15.75" thickBot="1" x14ac:dyDescent="0.3">
      <c r="A20" t="s">
        <v>61</v>
      </c>
      <c r="B20" s="1">
        <v>2792</v>
      </c>
      <c r="C20">
        <v>19</v>
      </c>
      <c r="D20">
        <f t="shared" si="0"/>
        <v>2542.0035087719298</v>
      </c>
      <c r="E20" s="20">
        <f t="shared" si="1"/>
        <v>249.99649122807023</v>
      </c>
      <c r="G20" s="17">
        <v>1</v>
      </c>
      <c r="H20" s="17">
        <v>21.664912280701756</v>
      </c>
      <c r="I20" s="17">
        <v>11.41708613803269</v>
      </c>
      <c r="J20" s="17">
        <v>1.8975868289660549</v>
      </c>
      <c r="K20" s="17">
        <v>7.4867638990766969E-2</v>
      </c>
      <c r="L20" s="17">
        <v>-2.4230339067844362</v>
      </c>
      <c r="M20" s="17">
        <v>45.752858468187952</v>
      </c>
      <c r="N20" s="17">
        <v>-2.4230339067844362</v>
      </c>
      <c r="O20" s="17">
        <v>45.752858468187952</v>
      </c>
    </row>
    <row r="21" spans="1:15" x14ac:dyDescent="0.25">
      <c r="A21" t="s">
        <v>62</v>
      </c>
      <c r="B21" s="1">
        <v>2720</v>
      </c>
      <c r="C21">
        <v>20</v>
      </c>
      <c r="D21">
        <f t="shared" si="0"/>
        <v>2563.6684210526319</v>
      </c>
      <c r="E21" s="20">
        <f t="shared" si="1"/>
        <v>156.33157894736814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9"/>
  <sheetViews>
    <sheetView zoomScale="85" zoomScaleNormal="85" workbookViewId="0">
      <selection activeCell="C26" sqref="C26"/>
    </sheetView>
  </sheetViews>
  <sheetFormatPr defaultRowHeight="15" x14ac:dyDescent="0.25"/>
  <cols>
    <col min="4" max="4" width="11.42578125" bestFit="1" customWidth="1"/>
    <col min="5" max="5" width="12.85546875" bestFit="1" customWidth="1"/>
    <col min="6" max="6" width="11.42578125" bestFit="1" customWidth="1"/>
  </cols>
  <sheetData>
    <row r="1" spans="1:61" x14ac:dyDescent="0.25">
      <c r="B1" t="s">
        <v>303</v>
      </c>
      <c r="C1" t="s">
        <v>305</v>
      </c>
      <c r="D1" t="s">
        <v>306</v>
      </c>
      <c r="E1" t="s">
        <v>32</v>
      </c>
      <c r="F1" t="s">
        <v>41</v>
      </c>
      <c r="G1" t="s">
        <v>42</v>
      </c>
      <c r="H1" t="s">
        <v>73</v>
      </c>
      <c r="I1" t="s">
        <v>74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90</v>
      </c>
      <c r="R1" t="s">
        <v>91</v>
      </c>
      <c r="S1" t="s">
        <v>92</v>
      </c>
      <c r="T1" t="s">
        <v>101</v>
      </c>
      <c r="U1" t="s">
        <v>102</v>
      </c>
      <c r="V1" t="s">
        <v>111</v>
      </c>
      <c r="W1" t="s">
        <v>112</v>
      </c>
      <c r="X1" t="s">
        <v>121</v>
      </c>
      <c r="Y1" t="s">
        <v>122</v>
      </c>
      <c r="Z1" t="s">
        <v>131</v>
      </c>
      <c r="AA1" t="s">
        <v>132</v>
      </c>
      <c r="AB1" t="s">
        <v>141</v>
      </c>
      <c r="AC1" t="s">
        <v>142</v>
      </c>
      <c r="AD1" t="s">
        <v>151</v>
      </c>
      <c r="AE1" t="s">
        <v>152</v>
      </c>
      <c r="AF1" t="s">
        <v>161</v>
      </c>
      <c r="AG1" t="s">
        <v>162</v>
      </c>
      <c r="AH1" t="s">
        <v>171</v>
      </c>
      <c r="AI1" t="s">
        <v>172</v>
      </c>
      <c r="AJ1" t="s">
        <v>181</v>
      </c>
      <c r="AK1" t="s">
        <v>182</v>
      </c>
      <c r="AL1" t="s">
        <v>191</v>
      </c>
      <c r="AM1" t="s">
        <v>192</v>
      </c>
      <c r="AN1" t="s">
        <v>201</v>
      </c>
      <c r="AO1" t="s">
        <v>202</v>
      </c>
      <c r="AP1" t="s">
        <v>211</v>
      </c>
      <c r="AQ1" t="s">
        <v>212</v>
      </c>
      <c r="AR1" t="s">
        <v>221</v>
      </c>
      <c r="AS1" t="s">
        <v>222</v>
      </c>
      <c r="AT1" t="s">
        <v>231</v>
      </c>
      <c r="AU1" t="s">
        <v>232</v>
      </c>
      <c r="AV1" t="s">
        <v>241</v>
      </c>
      <c r="AW1" t="s">
        <v>242</v>
      </c>
      <c r="AX1" t="s">
        <v>251</v>
      </c>
      <c r="AY1" t="s">
        <v>252</v>
      </c>
      <c r="AZ1" t="s">
        <v>261</v>
      </c>
      <c r="BA1" t="s">
        <v>262</v>
      </c>
      <c r="BB1" t="s">
        <v>271</v>
      </c>
      <c r="BC1" t="s">
        <v>272</v>
      </c>
      <c r="BD1" t="s">
        <v>281</v>
      </c>
      <c r="BE1" t="s">
        <v>282</v>
      </c>
      <c r="BF1" t="s">
        <v>291</v>
      </c>
      <c r="BG1" t="s">
        <v>292</v>
      </c>
      <c r="BH1" t="s">
        <v>301</v>
      </c>
      <c r="BI1" t="s">
        <v>302</v>
      </c>
    </row>
    <row r="2" spans="1:61" x14ac:dyDescent="0.25">
      <c r="A2" t="s">
        <v>43</v>
      </c>
      <c r="B2" s="1">
        <v>1964</v>
      </c>
      <c r="C2" s="86">
        <f t="shared" ref="C2:C21" si="0">$D$55+($D$56*AG2)+($D$57*U2)+($D$58*F2)</f>
        <v>2051.4582089715618</v>
      </c>
      <c r="D2" s="14">
        <f t="shared" ref="D2:D20" si="1">(B2-C2)/B2*100</f>
        <v>-4.4530656299165896</v>
      </c>
      <c r="E2" s="8">
        <v>1</v>
      </c>
      <c r="F2" s="15">
        <v>186.31904761904764</v>
      </c>
      <c r="G2">
        <v>-7.9874518994550492</v>
      </c>
      <c r="H2" s="15">
        <v>649.9</v>
      </c>
      <c r="I2">
        <v>-115.91424709896233</v>
      </c>
      <c r="J2" s="15">
        <v>274.58853615520286</v>
      </c>
      <c r="K2">
        <v>74.234902709459632</v>
      </c>
      <c r="L2" s="15">
        <v>1487.1443042756569</v>
      </c>
      <c r="M2">
        <v>-125.13342442131895</v>
      </c>
      <c r="N2" s="15">
        <v>778.80661631296971</v>
      </c>
      <c r="O2">
        <v>-86.421882084515531</v>
      </c>
      <c r="P2" s="15">
        <v>226.93633949993139</v>
      </c>
      <c r="Q2">
        <v>-1.5820060221497518</v>
      </c>
      <c r="R2" s="15">
        <v>262.26096573326402</v>
      </c>
      <c r="S2">
        <v>-0.80383940451480673</v>
      </c>
      <c r="T2" s="15">
        <v>6071.6863605442168</v>
      </c>
      <c r="U2">
        <v>-742.29491237484012</v>
      </c>
      <c r="V2" s="15">
        <v>2579.2057968002018</v>
      </c>
      <c r="W2">
        <v>413.37716017614406</v>
      </c>
      <c r="X2" s="15">
        <v>13793.05579880388</v>
      </c>
      <c r="Y2">
        <v>-1783.6991507150906</v>
      </c>
      <c r="Z2" s="15">
        <v>7186.3809775833515</v>
      </c>
      <c r="AA2">
        <v>-965.08023295363341</v>
      </c>
      <c r="AB2" s="15">
        <v>2118.2883916722731</v>
      </c>
      <c r="AC2">
        <v>-156.91766808945638</v>
      </c>
      <c r="AD2" s="15">
        <v>2432.3832072986752</v>
      </c>
      <c r="AE2">
        <v>-121.57531925805104</v>
      </c>
      <c r="AF2" s="15">
        <v>9013.5172700932235</v>
      </c>
      <c r="AG2">
        <v>1965.8745267559439</v>
      </c>
      <c r="AH2" s="15">
        <v>48173.564224941438</v>
      </c>
      <c r="AI2">
        <v>-6953.7265599225493</v>
      </c>
      <c r="AJ2" s="15">
        <v>25108.777561559295</v>
      </c>
      <c r="AK2">
        <v>-3536.5354484676745</v>
      </c>
      <c r="AL2" s="15">
        <v>7431.5875706092729</v>
      </c>
      <c r="AM2">
        <v>-173.05795391276737</v>
      </c>
      <c r="AN2" s="15">
        <v>8521.2177021784573</v>
      </c>
      <c r="AO2">
        <v>-139.46399046724491</v>
      </c>
      <c r="AP2" s="15">
        <v>20282.628421441932</v>
      </c>
      <c r="AQ2">
        <v>3218.3253687086667</v>
      </c>
      <c r="AR2" s="15">
        <v>10418.02100116954</v>
      </c>
      <c r="AS2">
        <v>452.7905384813788</v>
      </c>
      <c r="AT2" s="15">
        <v>3190.3419693606279</v>
      </c>
      <c r="AU2">
        <v>423.17196417778354</v>
      </c>
      <c r="AV2" s="15">
        <v>3579.0042506671816</v>
      </c>
      <c r="AW2">
        <v>390.76319098532298</v>
      </c>
      <c r="AX2" s="15">
        <v>58804.496528285192</v>
      </c>
      <c r="AY2">
        <v>-8500.8643494594762</v>
      </c>
      <c r="AZ2" s="15">
        <v>16923.492831196574</v>
      </c>
      <c r="BA2">
        <v>-1188.0107464103812</v>
      </c>
      <c r="BB2" s="15">
        <v>19672.698235692587</v>
      </c>
      <c r="BC2">
        <v>-729.64022305329354</v>
      </c>
      <c r="BD2" s="15">
        <v>8904.44110504114</v>
      </c>
      <c r="BE2">
        <v>-1017.1224587433964</v>
      </c>
      <c r="BF2" s="15">
        <v>10813.71119362643</v>
      </c>
      <c r="BG2">
        <v>-833.69954255678249</v>
      </c>
      <c r="BH2" s="15">
        <v>3047.0390067888998</v>
      </c>
      <c r="BI2">
        <v>-80.258890580894672</v>
      </c>
    </row>
    <row r="3" spans="1:61" x14ac:dyDescent="0.25">
      <c r="A3" t="s">
        <v>44</v>
      </c>
      <c r="B3" s="1">
        <v>2053</v>
      </c>
      <c r="C3" s="86">
        <f t="shared" si="0"/>
        <v>2034.7393362669131</v>
      </c>
      <c r="D3" s="14">
        <f t="shared" si="1"/>
        <v>0.88946243220101606</v>
      </c>
      <c r="E3" s="8">
        <v>2</v>
      </c>
      <c r="F3" s="15">
        <v>177.92142857142858</v>
      </c>
      <c r="G3">
        <v>-7.7318442382889181</v>
      </c>
      <c r="H3" s="15">
        <v>655.11801587301591</v>
      </c>
      <c r="I3">
        <v>-119.66839721479823</v>
      </c>
      <c r="J3" s="15">
        <v>271.42301587301591</v>
      </c>
      <c r="K3">
        <v>76.056364863992897</v>
      </c>
      <c r="L3" s="15">
        <v>1454.9591669622537</v>
      </c>
      <c r="M3">
        <v>-126.90492112837723</v>
      </c>
      <c r="N3" s="15">
        <v>669.97241757759082</v>
      </c>
      <c r="O3">
        <v>-51.090902577876449</v>
      </c>
      <c r="P3" s="15">
        <v>368.84147323082846</v>
      </c>
      <c r="Q3">
        <v>-21.59923088434601</v>
      </c>
      <c r="R3" s="15">
        <v>188.49620048329723</v>
      </c>
      <c r="S3">
        <v>5.0573664031122902</v>
      </c>
      <c r="T3" s="15">
        <v>5836.6994274376411</v>
      </c>
      <c r="U3">
        <v>-731.72670537231033</v>
      </c>
      <c r="V3" s="15">
        <v>2442.8820124716544</v>
      </c>
      <c r="W3">
        <v>421.01172370590655</v>
      </c>
      <c r="X3" s="15">
        <v>12875.437183579525</v>
      </c>
      <c r="Y3">
        <v>-1842.9548305270271</v>
      </c>
      <c r="Z3" s="15">
        <v>5943.5035392553227</v>
      </c>
      <c r="AA3">
        <v>-721.8112505476081</v>
      </c>
      <c r="AB3" s="15">
        <v>3291.7330066009854</v>
      </c>
      <c r="AC3">
        <v>-422.56293096134641</v>
      </c>
      <c r="AD3" s="15">
        <v>1661.8154803590476</v>
      </c>
      <c r="AE3">
        <v>-78.832650043952455</v>
      </c>
      <c r="AF3" s="15">
        <v>8949.4981933736453</v>
      </c>
      <c r="AG3">
        <v>2054.8146791423305</v>
      </c>
      <c r="AH3" s="15">
        <v>47581.351487793196</v>
      </c>
      <c r="AI3">
        <v>-6926.3097073134113</v>
      </c>
      <c r="AJ3" s="15">
        <v>21773.78730078644</v>
      </c>
      <c r="AK3">
        <v>-2264.7923998776109</v>
      </c>
      <c r="AL3" s="15">
        <v>11986.962616976423</v>
      </c>
      <c r="AM3">
        <v>-921.5036371455127</v>
      </c>
      <c r="AN3" s="15">
        <v>6122.778910279616</v>
      </c>
      <c r="AO3">
        <v>102.86551745048038</v>
      </c>
      <c r="AP3" s="15">
        <v>19736.258426257511</v>
      </c>
      <c r="AQ3">
        <v>3476.2935880590576</v>
      </c>
      <c r="AR3" s="15">
        <v>8933.2669504500063</v>
      </c>
      <c r="AS3">
        <v>747.08804976016393</v>
      </c>
      <c r="AT3" s="15">
        <v>4916.4753038843492</v>
      </c>
      <c r="AU3">
        <v>439.25524282793623</v>
      </c>
      <c r="AV3" s="15">
        <v>2535.9468508294358</v>
      </c>
      <c r="AW3">
        <v>388.60398652966728</v>
      </c>
      <c r="AX3" s="15">
        <v>49414.896315356513</v>
      </c>
      <c r="AY3">
        <v>-4928.2321751900572</v>
      </c>
      <c r="AZ3" s="15">
        <v>27278.697358465877</v>
      </c>
      <c r="BA3">
        <v>-2348.544180698093</v>
      </c>
      <c r="BB3" s="15">
        <v>14007.772531365747</v>
      </c>
      <c r="BC3">
        <v>-136.790275960739</v>
      </c>
      <c r="BD3" s="15">
        <v>13795.640001361824</v>
      </c>
      <c r="BE3">
        <v>-1534.6665258156995</v>
      </c>
      <c r="BF3" s="15">
        <v>6728.2496345527734</v>
      </c>
      <c r="BG3">
        <v>-38.176049135763868</v>
      </c>
      <c r="BH3" s="15">
        <v>3353.9600160204814</v>
      </c>
      <c r="BI3">
        <v>18.403945028131712</v>
      </c>
    </row>
    <row r="4" spans="1:61" x14ac:dyDescent="0.25">
      <c r="A4" t="s">
        <v>45</v>
      </c>
      <c r="B4" s="1">
        <v>2211</v>
      </c>
      <c r="C4" s="86">
        <f t="shared" si="0"/>
        <v>2098.740821121361</v>
      </c>
      <c r="D4" s="14">
        <f t="shared" si="1"/>
        <v>5.0773034318696961</v>
      </c>
      <c r="E4" s="8">
        <v>3</v>
      </c>
      <c r="F4" s="15">
        <v>163.52678571428575</v>
      </c>
      <c r="G4">
        <v>-8.4360446492784469</v>
      </c>
      <c r="H4" s="15">
        <v>643.24539682539682</v>
      </c>
      <c r="I4">
        <v>-114.67614071466087</v>
      </c>
      <c r="J4" s="15">
        <v>274.09140211640209</v>
      </c>
      <c r="K4">
        <v>79.627542840351026</v>
      </c>
      <c r="L4" s="15">
        <v>1478.2350263630447</v>
      </c>
      <c r="M4">
        <v>-119.31074776147909</v>
      </c>
      <c r="N4" s="15">
        <v>789.96039483345385</v>
      </c>
      <c r="O4">
        <v>-73.067205707107888</v>
      </c>
      <c r="P4" s="15">
        <v>165.86595069235415</v>
      </c>
      <c r="Q4">
        <v>3.7766194551184542</v>
      </c>
      <c r="R4" s="15">
        <v>174.62958481173374</v>
      </c>
      <c r="S4">
        <v>3.4537318785884663</v>
      </c>
      <c r="T4" s="15">
        <v>5245.0839943310666</v>
      </c>
      <c r="U4">
        <v>-682.42041341113998</v>
      </c>
      <c r="V4" s="15">
        <v>2231.5679119425545</v>
      </c>
      <c r="W4">
        <v>393.21032089182512</v>
      </c>
      <c r="X4" s="15">
        <v>12039.020305512928</v>
      </c>
      <c r="Y4">
        <v>-1703.6598815573382</v>
      </c>
      <c r="Z4" s="15">
        <v>6393.0882350041975</v>
      </c>
      <c r="AA4">
        <v>-769.38870703942337</v>
      </c>
      <c r="AB4" s="15">
        <v>1360.9418624657226</v>
      </c>
      <c r="AC4">
        <v>-116.97060741668955</v>
      </c>
      <c r="AD4" s="15">
        <v>1445.3394390648048</v>
      </c>
      <c r="AE4">
        <v>-78.397666262570255</v>
      </c>
      <c r="AF4" s="15">
        <v>8895.6648326614595</v>
      </c>
      <c r="AG4">
        <v>2180.2728146203449</v>
      </c>
      <c r="AH4" s="15">
        <v>47677.398214715322</v>
      </c>
      <c r="AI4">
        <v>-6666.2670554291235</v>
      </c>
      <c r="AJ4" s="15">
        <v>25452.559605974675</v>
      </c>
      <c r="AK4">
        <v>-2938.1252699496308</v>
      </c>
      <c r="AL4" s="15">
        <v>5375.7905707206419</v>
      </c>
      <c r="AM4">
        <v>109.18357626376313</v>
      </c>
      <c r="AN4" s="15">
        <v>5614.6444494119251</v>
      </c>
      <c r="AO4">
        <v>100.39340331638199</v>
      </c>
      <c r="AP4" s="15">
        <v>20410.194557756375</v>
      </c>
      <c r="AQ4">
        <v>3591.4274994640323</v>
      </c>
      <c r="AR4" s="15">
        <v>10831.217164290441</v>
      </c>
      <c r="AS4">
        <v>632.10811681383484</v>
      </c>
      <c r="AT4" s="15">
        <v>2452.282141571221</v>
      </c>
      <c r="AU4">
        <v>468.77944470326798</v>
      </c>
      <c r="AV4" s="15">
        <v>2531.0518784440223</v>
      </c>
      <c r="AW4">
        <v>409.2268627502973</v>
      </c>
      <c r="AX4" s="15">
        <v>60354.229524334864</v>
      </c>
      <c r="AY4">
        <v>-6631.2201977053201</v>
      </c>
      <c r="AZ4" s="15">
        <v>12578.506134127716</v>
      </c>
      <c r="BA4">
        <v>-567.55236438925613</v>
      </c>
      <c r="BB4" s="15">
        <v>13215.372799470397</v>
      </c>
      <c r="BC4">
        <v>-38.663020067090798</v>
      </c>
      <c r="BD4" s="15">
        <v>6643.2661477615566</v>
      </c>
      <c r="BE4">
        <v>-535.57225887072514</v>
      </c>
      <c r="BF4" s="15">
        <v>7128.7290835889553</v>
      </c>
      <c r="BG4">
        <v>-325.65717924199123</v>
      </c>
      <c r="BH4" s="15">
        <v>1782.793044324246</v>
      </c>
      <c r="BI4">
        <v>26.404139648791297</v>
      </c>
    </row>
    <row r="5" spans="1:61" x14ac:dyDescent="0.25">
      <c r="A5" t="s">
        <v>46</v>
      </c>
      <c r="B5" s="1">
        <v>1862</v>
      </c>
      <c r="C5" s="86">
        <f t="shared" si="0"/>
        <v>1875.660072936334</v>
      </c>
      <c r="D5" s="14">
        <f t="shared" si="1"/>
        <v>-0.73362368079130069</v>
      </c>
      <c r="E5" s="8">
        <v>4</v>
      </c>
      <c r="F5" s="15">
        <v>178.16964285714286</v>
      </c>
      <c r="G5">
        <v>-7.1628488978821281</v>
      </c>
      <c r="H5" s="15">
        <v>658.47619047619048</v>
      </c>
      <c r="I5">
        <v>-115.35861535962324</v>
      </c>
      <c r="J5" s="15">
        <v>234.75555555555556</v>
      </c>
      <c r="K5">
        <v>62.744189540660969</v>
      </c>
      <c r="L5" s="15">
        <v>1626.5078037574244</v>
      </c>
      <c r="M5">
        <v>-169.12278310678275</v>
      </c>
      <c r="N5" s="15">
        <v>734.77154880804073</v>
      </c>
      <c r="O5">
        <v>-99.256403121951593</v>
      </c>
      <c r="P5" s="15">
        <v>251.3696430953504</v>
      </c>
      <c r="Q5">
        <v>-2.0930171642424771</v>
      </c>
      <c r="R5" s="15">
        <v>232.68999104706384</v>
      </c>
      <c r="S5">
        <v>-1.3845647453531222</v>
      </c>
      <c r="T5" s="15">
        <v>5868.7832057823143</v>
      </c>
      <c r="U5">
        <v>-705.89381794476071</v>
      </c>
      <c r="V5" s="15">
        <v>2085.6888888888884</v>
      </c>
      <c r="W5">
        <v>345.55305311570777</v>
      </c>
      <c r="X5" s="15">
        <v>14486.398487253504</v>
      </c>
      <c r="Y5">
        <v>-2056.1972580682295</v>
      </c>
      <c r="Z5" s="15">
        <v>6436.1248126854907</v>
      </c>
      <c r="AA5">
        <v>-923.62014961467844</v>
      </c>
      <c r="AB5" s="15">
        <v>2238.5049033659957</v>
      </c>
      <c r="AC5">
        <v>-153.44764558594076</v>
      </c>
      <c r="AD5" s="15">
        <v>2048.0639236808242</v>
      </c>
      <c r="AE5">
        <v>-98.527091091557963</v>
      </c>
      <c r="AF5" s="15">
        <v>7841.0165910808764</v>
      </c>
      <c r="AG5">
        <v>1721.5471782522641</v>
      </c>
      <c r="AH5" s="15">
        <v>53110.052847137718</v>
      </c>
      <c r="AI5">
        <v>-8440.8298883675689</v>
      </c>
      <c r="AJ5" s="15">
        <v>23757.175689638072</v>
      </c>
      <c r="AK5">
        <v>-3686.2006889418535</v>
      </c>
      <c r="AL5" s="15">
        <v>8324.7884875682812</v>
      </c>
      <c r="AM5">
        <v>-151.67979567412186</v>
      </c>
      <c r="AN5" s="15">
        <v>7656.8463195247386</v>
      </c>
      <c r="AO5">
        <v>-87.219826589041276</v>
      </c>
      <c r="AP5" s="15">
        <v>18643.020454617097</v>
      </c>
      <c r="AQ5">
        <v>2616.8369463038994</v>
      </c>
      <c r="AR5" s="15">
        <v>8523.8039048679657</v>
      </c>
      <c r="AS5">
        <v>171.48101192201887</v>
      </c>
      <c r="AT5" s="15">
        <v>2985.5446835444036</v>
      </c>
      <c r="AU5">
        <v>397.70411360949475</v>
      </c>
      <c r="AV5" s="15">
        <v>2776.3209783332481</v>
      </c>
      <c r="AW5">
        <v>302.99981440803543</v>
      </c>
      <c r="AX5" s="15">
        <v>60343.704576147778</v>
      </c>
      <c r="AY5">
        <v>-10988.141082128324</v>
      </c>
      <c r="AZ5" s="15">
        <v>20606.40757727138</v>
      </c>
      <c r="BA5">
        <v>-1970.9787210035581</v>
      </c>
      <c r="BB5" s="15">
        <v>18822.24332285624</v>
      </c>
      <c r="BC5">
        <v>-973.76381158880645</v>
      </c>
      <c r="BD5" s="15">
        <v>9175.4888777689866</v>
      </c>
      <c r="BE5">
        <v>-1175.1581895715631</v>
      </c>
      <c r="BF5" s="15">
        <v>9649.450191570786</v>
      </c>
      <c r="BG5">
        <v>-1135.8605769256146</v>
      </c>
      <c r="BH5" s="15">
        <v>2948.5792125720263</v>
      </c>
      <c r="BI5">
        <v>-53.517163097403696</v>
      </c>
    </row>
    <row r="6" spans="1:61" x14ac:dyDescent="0.25">
      <c r="A6" t="s">
        <v>47</v>
      </c>
      <c r="B6" s="1">
        <v>2355</v>
      </c>
      <c r="C6" s="86">
        <f t="shared" si="0"/>
        <v>2224.0447615514418</v>
      </c>
      <c r="D6" s="14">
        <f t="shared" si="1"/>
        <v>5.5607319935693527</v>
      </c>
      <c r="E6" s="8">
        <v>5</v>
      </c>
      <c r="F6" s="15">
        <v>171.48035714285714</v>
      </c>
      <c r="G6">
        <v>-7.829513646767321</v>
      </c>
      <c r="H6" s="15">
        <v>636.18095238095236</v>
      </c>
      <c r="I6">
        <v>-111.66884849567154</v>
      </c>
      <c r="J6" s="15">
        <v>279.79365079365078</v>
      </c>
      <c r="K6">
        <v>80.925319293873315</v>
      </c>
      <c r="L6" s="15">
        <v>1561.8468126417952</v>
      </c>
      <c r="M6">
        <v>-131.93035209098159</v>
      </c>
      <c r="N6" s="15">
        <v>579.90951432894815</v>
      </c>
      <c r="O6">
        <v>-50.574608059241086</v>
      </c>
      <c r="P6" s="15">
        <v>228.2383793534496</v>
      </c>
      <c r="Q6">
        <v>2.8763155265992353</v>
      </c>
      <c r="R6" s="15">
        <v>193.52261570318075</v>
      </c>
      <c r="S6">
        <v>3.3093423869596723</v>
      </c>
      <c r="T6" s="15">
        <v>5449.7631972789113</v>
      </c>
      <c r="U6">
        <v>-679.95037850555502</v>
      </c>
      <c r="V6" s="15">
        <v>2395.5927069161003</v>
      </c>
      <c r="W6">
        <v>450.61676085055706</v>
      </c>
      <c r="X6" s="15">
        <v>13378.173341155032</v>
      </c>
      <c r="Y6">
        <v>-1949.8785246235404</v>
      </c>
      <c r="Z6" s="15">
        <v>4970.7316274709337</v>
      </c>
      <c r="AA6">
        <v>-561.15824726694245</v>
      </c>
      <c r="AB6" s="15">
        <v>1955.7641902869566</v>
      </c>
      <c r="AC6">
        <v>-137.08082973816744</v>
      </c>
      <c r="AD6" s="15">
        <v>1660.4331898196035</v>
      </c>
      <c r="AE6">
        <v>-61.060257670958535</v>
      </c>
      <c r="AF6" s="15">
        <v>8991.5282615268334</v>
      </c>
      <c r="AG6">
        <v>2179.224558538855</v>
      </c>
      <c r="AH6" s="15">
        <v>49493.230722354856</v>
      </c>
      <c r="AI6">
        <v>-6739.6842284556105</v>
      </c>
      <c r="AJ6" s="15">
        <v>18393.623686813033</v>
      </c>
      <c r="AK6">
        <v>-1960.8818936608666</v>
      </c>
      <c r="AL6" s="15">
        <v>7325.4039086147868</v>
      </c>
      <c r="AM6">
        <v>27.771507511592695</v>
      </c>
      <c r="AN6" s="15">
        <v>6199.7568830772207</v>
      </c>
      <c r="AO6">
        <v>76.428545860146571</v>
      </c>
      <c r="AP6" s="15">
        <v>21797.436941608405</v>
      </c>
      <c r="AQ6">
        <v>3946.7648040417389</v>
      </c>
      <c r="AR6" s="15">
        <v>8151.2521016380706</v>
      </c>
      <c r="AS6">
        <v>470.40089118198898</v>
      </c>
      <c r="AT6" s="15">
        <v>3296.4393996632057</v>
      </c>
      <c r="AU6">
        <v>541.30665589730506</v>
      </c>
      <c r="AV6" s="15">
        <v>2774.906143070355</v>
      </c>
      <c r="AW6">
        <v>353.95485149883524</v>
      </c>
      <c r="AX6" s="15">
        <v>45412.001713756799</v>
      </c>
      <c r="AY6">
        <v>-5488.3287108602381</v>
      </c>
      <c r="AZ6" s="15">
        <v>17952.364235751058</v>
      </c>
      <c r="BA6">
        <v>-936.10794745294061</v>
      </c>
      <c r="BB6" s="15">
        <v>15039.460441713694</v>
      </c>
      <c r="BC6">
        <v>-217.90420244097518</v>
      </c>
      <c r="BD6" s="15">
        <v>6647.0327477849742</v>
      </c>
      <c r="BE6">
        <v>-404.49859651123313</v>
      </c>
      <c r="BF6" s="15">
        <v>5760.596604938175</v>
      </c>
      <c r="BG6">
        <v>-284.38853027063516</v>
      </c>
      <c r="BH6" s="15">
        <v>2260.3930645308737</v>
      </c>
      <c r="BI6">
        <v>46.170305619253554</v>
      </c>
    </row>
    <row r="7" spans="1:61" x14ac:dyDescent="0.25">
      <c r="A7" t="s">
        <v>48</v>
      </c>
      <c r="B7" s="1">
        <v>3140</v>
      </c>
      <c r="C7" s="86">
        <f t="shared" si="0"/>
        <v>3010.757981207134</v>
      </c>
      <c r="D7" s="14">
        <f t="shared" si="1"/>
        <v>4.1159878596454149</v>
      </c>
      <c r="E7" s="8">
        <v>6</v>
      </c>
      <c r="F7" s="15">
        <v>169.20714285714288</v>
      </c>
      <c r="G7">
        <v>-2.7384666140460747</v>
      </c>
      <c r="H7" s="15">
        <v>635.76984126984121</v>
      </c>
      <c r="I7">
        <v>-107.43470058657645</v>
      </c>
      <c r="J7" s="15">
        <v>305.61269841269842</v>
      </c>
      <c r="K7">
        <v>96.176755059951631</v>
      </c>
      <c r="L7" s="15">
        <v>1451.0413908329965</v>
      </c>
      <c r="M7">
        <v>-103.71297052679682</v>
      </c>
      <c r="N7" s="15">
        <v>568.32187657827581</v>
      </c>
      <c r="O7">
        <v>-41.134608350990334</v>
      </c>
      <c r="P7" s="15">
        <v>235.5325582259091</v>
      </c>
      <c r="Q7">
        <v>5.1668132747641131</v>
      </c>
      <c r="R7" s="15">
        <v>185.29249287388947</v>
      </c>
      <c r="S7">
        <v>5.1447316184081391</v>
      </c>
      <c r="T7" s="15">
        <v>5389.1492176870752</v>
      </c>
      <c r="U7">
        <v>-567.5619742837556</v>
      </c>
      <c r="V7" s="15">
        <v>2563.8843197278911</v>
      </c>
      <c r="W7">
        <v>472.10999091234299</v>
      </c>
      <c r="X7" s="15">
        <v>12152.58922075786</v>
      </c>
      <c r="Y7">
        <v>-1493.1407483054122</v>
      </c>
      <c r="Z7" s="15">
        <v>4714.6876825299451</v>
      </c>
      <c r="AA7">
        <v>-527.07069964694335</v>
      </c>
      <c r="AB7" s="15">
        <v>1965.0548528821803</v>
      </c>
      <c r="AC7">
        <v>-123.99931995013407</v>
      </c>
      <c r="AD7" s="15">
        <v>1545.7067485159628</v>
      </c>
      <c r="AE7">
        <v>-55.373798718166825</v>
      </c>
      <c r="AF7" s="15">
        <v>9873.4773041068274</v>
      </c>
      <c r="AG7">
        <v>2713.3185824868806</v>
      </c>
      <c r="AH7" s="15">
        <v>45911.041641427539</v>
      </c>
      <c r="AI7">
        <v>-5952.7205674566976</v>
      </c>
      <c r="AJ7" s="15">
        <v>17917.390894476604</v>
      </c>
      <c r="AK7">
        <v>-1621.4757037992126</v>
      </c>
      <c r="AL7" s="15">
        <v>7576.2588033926377</v>
      </c>
      <c r="AM7">
        <v>158.99845412400319</v>
      </c>
      <c r="AN7" s="15">
        <v>5953.6648457875699</v>
      </c>
      <c r="AO7">
        <v>139.33194638010741</v>
      </c>
      <c r="AP7" s="15">
        <v>22281.486315354334</v>
      </c>
      <c r="AQ7">
        <v>4670.601566204783</v>
      </c>
      <c r="AR7" s="15">
        <v>8882.3925335419772</v>
      </c>
      <c r="AS7">
        <v>902.32946205025166</v>
      </c>
      <c r="AT7" s="15">
        <v>3783.7446936732649</v>
      </c>
      <c r="AU7">
        <v>770.38917781797818</v>
      </c>
      <c r="AV7" s="15">
        <v>2986.5294796354192</v>
      </c>
      <c r="AW7">
        <v>504.13753555836126</v>
      </c>
      <c r="AX7" s="15">
        <v>42196.313038882516</v>
      </c>
      <c r="AY7">
        <v>-3921.9715036340349</v>
      </c>
      <c r="AZ7" s="15">
        <v>17360.668474844533</v>
      </c>
      <c r="BA7">
        <v>-755.70462472816928</v>
      </c>
      <c r="BB7" s="15">
        <v>13603.620914169776</v>
      </c>
      <c r="BC7">
        <v>38.044656803055204</v>
      </c>
      <c r="BD7" s="15">
        <v>6952.9070533362237</v>
      </c>
      <c r="BE7">
        <v>-383.18389468556973</v>
      </c>
      <c r="BF7" s="15">
        <v>5563.5969606318768</v>
      </c>
      <c r="BG7">
        <v>-92.734651362342447</v>
      </c>
      <c r="BH7" s="15">
        <v>2320.5556125527173</v>
      </c>
      <c r="BI7">
        <v>88.880995774548154</v>
      </c>
    </row>
    <row r="8" spans="1:61" x14ac:dyDescent="0.25">
      <c r="A8" t="s">
        <v>49</v>
      </c>
      <c r="B8" s="1">
        <v>2127</v>
      </c>
      <c r="C8" s="86">
        <f t="shared" si="0"/>
        <v>2244.7870766748861</v>
      </c>
      <c r="D8" s="14">
        <f t="shared" si="1"/>
        <v>-5.5377092936006616</v>
      </c>
      <c r="E8" s="8">
        <v>7</v>
      </c>
      <c r="F8" s="15">
        <v>176.14285714285714</v>
      </c>
      <c r="G8">
        <v>-5.5494589600825286</v>
      </c>
      <c r="H8" s="15">
        <v>659.10793650793664</v>
      </c>
      <c r="I8">
        <v>-118.11827400288585</v>
      </c>
      <c r="J8" s="15">
        <v>275.60000000000002</v>
      </c>
      <c r="K8">
        <v>74.449704898186013</v>
      </c>
      <c r="L8" s="15">
        <v>1554.5941984423603</v>
      </c>
      <c r="M8">
        <v>-131.77466060217594</v>
      </c>
      <c r="N8" s="15">
        <v>766.16801205492254</v>
      </c>
      <c r="O8">
        <v>-62.254667220546295</v>
      </c>
      <c r="P8" s="15">
        <v>236.38954521165152</v>
      </c>
      <c r="Q8">
        <v>3.6272217033389316</v>
      </c>
      <c r="R8" s="15">
        <v>263.94051408111926</v>
      </c>
      <c r="S8">
        <v>4.1428408267910353</v>
      </c>
      <c r="T8" s="15">
        <v>5806.9472335600894</v>
      </c>
      <c r="U8">
        <v>-675.76382430091132</v>
      </c>
      <c r="V8" s="15">
        <v>2428.5791836734693</v>
      </c>
      <c r="W8">
        <v>391.79561995809024</v>
      </c>
      <c r="X8" s="15">
        <v>13661.049508431415</v>
      </c>
      <c r="Y8">
        <v>-1822.7007670271496</v>
      </c>
      <c r="Z8" s="15">
        <v>6746.870858390258</v>
      </c>
      <c r="AA8">
        <v>-744.88391800351189</v>
      </c>
      <c r="AB8" s="15">
        <v>2076.8380411989824</v>
      </c>
      <c r="AC8">
        <v>-128.2546736652327</v>
      </c>
      <c r="AD8" s="15">
        <v>2325.6063431270527</v>
      </c>
      <c r="AE8">
        <v>-78.518387846151683</v>
      </c>
      <c r="AF8" s="15">
        <v>9231.6467800453538</v>
      </c>
      <c r="AG8">
        <v>2097.241651486243</v>
      </c>
      <c r="AH8" s="15">
        <v>51156.50647249796</v>
      </c>
      <c r="AI8">
        <v>-7348.3432870224042</v>
      </c>
      <c r="AJ8" s="15">
        <v>25195.995491773807</v>
      </c>
      <c r="AK8">
        <v>-2678.4736073346767</v>
      </c>
      <c r="AL8" s="15">
        <v>7886.4136916403568</v>
      </c>
      <c r="AM8">
        <v>26.070110499680617</v>
      </c>
      <c r="AN8" s="15">
        <v>8765.8316334848187</v>
      </c>
      <c r="AO8">
        <v>54.591821269856183</v>
      </c>
      <c r="AP8" s="15">
        <v>21277.03167936741</v>
      </c>
      <c r="AQ8">
        <v>3428.4830845267793</v>
      </c>
      <c r="AR8" s="15">
        <v>10523.421485369332</v>
      </c>
      <c r="AS8">
        <v>689.87123869078437</v>
      </c>
      <c r="AT8" s="15">
        <v>3462.6418851414769</v>
      </c>
      <c r="AU8">
        <v>593.16842329033159</v>
      </c>
      <c r="AV8" s="15">
        <v>3759.3424562705991</v>
      </c>
      <c r="AW8">
        <v>451.79310370158976</v>
      </c>
      <c r="AX8" s="15">
        <v>59742.939976002614</v>
      </c>
      <c r="AY8">
        <v>-6510.3142479938733</v>
      </c>
      <c r="AZ8" s="15">
        <v>18371.902635889055</v>
      </c>
      <c r="BA8">
        <v>-888.08097664917705</v>
      </c>
      <c r="BB8" s="15">
        <v>20533.795264616354</v>
      </c>
      <c r="BC8">
        <v>-302.43419379458976</v>
      </c>
      <c r="BD8" s="15">
        <v>9066.7896690650687</v>
      </c>
      <c r="BE8">
        <v>-515.42294001341418</v>
      </c>
      <c r="BF8" s="15">
        <v>10242.17473889424</v>
      </c>
      <c r="BG8">
        <v>-440.02597991330754</v>
      </c>
      <c r="BH8" s="15">
        <v>3212.9920892853092</v>
      </c>
      <c r="BI8">
        <v>30.52730781652016</v>
      </c>
    </row>
    <row r="9" spans="1:61" x14ac:dyDescent="0.25">
      <c r="A9" t="s">
        <v>50</v>
      </c>
      <c r="B9" s="1">
        <v>2365</v>
      </c>
      <c r="C9" s="86">
        <f t="shared" si="0"/>
        <v>2168.2094060299396</v>
      </c>
      <c r="D9" s="14">
        <f t="shared" si="1"/>
        <v>8.3209553475712639</v>
      </c>
      <c r="E9" s="8">
        <v>8</v>
      </c>
      <c r="F9" s="15">
        <v>179.05</v>
      </c>
      <c r="G9">
        <v>-7.1740417082420098</v>
      </c>
      <c r="H9" s="15">
        <v>666.5577777777778</v>
      </c>
      <c r="I9">
        <v>-118.43797918882349</v>
      </c>
      <c r="J9" s="15">
        <v>259.06825396825394</v>
      </c>
      <c r="K9">
        <v>75.3607374009339</v>
      </c>
      <c r="L9" s="15">
        <v>1443.3321111202677</v>
      </c>
      <c r="M9">
        <v>-105.75392988109549</v>
      </c>
      <c r="N9" s="15">
        <v>553.21377166091531</v>
      </c>
      <c r="O9">
        <v>-32.794612570602332</v>
      </c>
      <c r="P9" s="15">
        <v>195.58924481795762</v>
      </c>
      <c r="Q9">
        <v>3.1609408745857279</v>
      </c>
      <c r="R9" s="15">
        <v>145.55097674785699</v>
      </c>
      <c r="S9">
        <v>3.7868079743507739</v>
      </c>
      <c r="T9" s="15">
        <v>5965.3280952380956</v>
      </c>
      <c r="U9">
        <v>-715.84767300435522</v>
      </c>
      <c r="V9" s="15">
        <v>2312.8728911564631</v>
      </c>
      <c r="W9">
        <v>414.68799207681934</v>
      </c>
      <c r="X9" s="15">
        <v>12915.389125315891</v>
      </c>
      <c r="Y9">
        <v>-1748.3958590066716</v>
      </c>
      <c r="Z9" s="15">
        <v>5021.4349758940771</v>
      </c>
      <c r="AA9">
        <v>-567.34497602509214</v>
      </c>
      <c r="AB9" s="15">
        <v>1747.1295955853038</v>
      </c>
      <c r="AC9">
        <v>-117.86305730620597</v>
      </c>
      <c r="AD9" s="15">
        <v>1289.0714108253394</v>
      </c>
      <c r="AE9">
        <v>-43.338670549770086</v>
      </c>
      <c r="AF9" s="15">
        <v>8677.133780297303</v>
      </c>
      <c r="AG9">
        <v>2131.5322669255806</v>
      </c>
      <c r="AH9" s="15">
        <v>48091.900388425827</v>
      </c>
      <c r="AI9">
        <v>-6235.468756709296</v>
      </c>
      <c r="AJ9" s="15">
        <v>18373.846867752174</v>
      </c>
      <c r="AK9">
        <v>-1621.4321736931292</v>
      </c>
      <c r="AL9" s="15">
        <v>6559.9995809289858</v>
      </c>
      <c r="AM9">
        <v>18.600035082702455</v>
      </c>
      <c r="AN9" s="15">
        <v>4895.8556997323522</v>
      </c>
      <c r="AO9">
        <v>83.888507000766822</v>
      </c>
      <c r="AP9" s="15">
        <v>18902.76426663758</v>
      </c>
      <c r="AQ9">
        <v>3759.5848537757547</v>
      </c>
      <c r="AR9" s="15">
        <v>7368.3913145718034</v>
      </c>
      <c r="AS9">
        <v>822.6592264347986</v>
      </c>
      <c r="AT9" s="15">
        <v>2620.5255111536817</v>
      </c>
      <c r="AU9">
        <v>441.120109643398</v>
      </c>
      <c r="AV9" s="15">
        <v>2001.4454844887487</v>
      </c>
      <c r="AW9">
        <v>276.33967874707758</v>
      </c>
      <c r="AX9" s="15">
        <v>41477.980772430506</v>
      </c>
      <c r="AY9">
        <v>-2500.9439832327389</v>
      </c>
      <c r="AZ9" s="15">
        <v>14407.758675176014</v>
      </c>
      <c r="BA9">
        <v>-530.88534328536582</v>
      </c>
      <c r="BB9" s="15">
        <v>10426.386849107901</v>
      </c>
      <c r="BC9">
        <v>-20.2581809723101</v>
      </c>
      <c r="BD9" s="15">
        <v>5194.0507633010538</v>
      </c>
      <c r="BE9">
        <v>-262.57260093911054</v>
      </c>
      <c r="BF9" s="15">
        <v>3932.0341234455163</v>
      </c>
      <c r="BG9">
        <v>-50.797151293117452</v>
      </c>
      <c r="BH9" s="15">
        <v>1505.8948692622744</v>
      </c>
      <c r="BI9">
        <v>57.802789551896637</v>
      </c>
    </row>
    <row r="10" spans="1:61" x14ac:dyDescent="0.25">
      <c r="A10" t="s">
        <v>51</v>
      </c>
      <c r="B10" s="1">
        <v>2383</v>
      </c>
      <c r="C10" s="86">
        <f t="shared" si="0"/>
        <v>2422.7508723811288</v>
      </c>
      <c r="D10" s="14">
        <f t="shared" si="1"/>
        <v>-1.6681020722252971</v>
      </c>
      <c r="E10" s="8">
        <v>9</v>
      </c>
      <c r="F10" s="15">
        <v>180.72321428571428</v>
      </c>
      <c r="G10">
        <v>-6.4277430903748396</v>
      </c>
      <c r="H10" s="15">
        <v>675.45238095238096</v>
      </c>
      <c r="I10">
        <v>-114.39903035624125</v>
      </c>
      <c r="J10" s="15">
        <v>263.16666666666669</v>
      </c>
      <c r="K10">
        <v>78.825655336435744</v>
      </c>
      <c r="L10" s="15">
        <v>1332.4327750958134</v>
      </c>
      <c r="M10">
        <v>-96.876650517928923</v>
      </c>
      <c r="N10" s="15">
        <v>654.5859864852481</v>
      </c>
      <c r="O10">
        <v>-65.813656236136694</v>
      </c>
      <c r="P10" s="15">
        <v>205.81152070406401</v>
      </c>
      <c r="Q10">
        <v>6.9912441544740416</v>
      </c>
      <c r="R10" s="15">
        <v>102.08493844664932</v>
      </c>
      <c r="S10">
        <v>5.0792351820335915</v>
      </c>
      <c r="T10" s="15">
        <v>6122.2255442176875</v>
      </c>
      <c r="U10">
        <v>-704.8800490659504</v>
      </c>
      <c r="V10" s="15">
        <v>2390.6224319727889</v>
      </c>
      <c r="W10">
        <v>418.157233788008</v>
      </c>
      <c r="X10" s="15">
        <v>12022.0913905954</v>
      </c>
      <c r="Y10">
        <v>-1561.1620097397176</v>
      </c>
      <c r="Z10" s="15">
        <v>5865.417493724588</v>
      </c>
      <c r="AA10">
        <v>-654.59452088728506</v>
      </c>
      <c r="AB10" s="15">
        <v>1866.6171425697034</v>
      </c>
      <c r="AC10">
        <v>-120.92949346449964</v>
      </c>
      <c r="AD10" s="15">
        <v>931.77801534080834</v>
      </c>
      <c r="AE10">
        <v>-45.878309533357431</v>
      </c>
      <c r="AF10" s="15">
        <v>9024.7565759637182</v>
      </c>
      <c r="AG10">
        <v>2378.2148778670512</v>
      </c>
      <c r="AH10" s="15">
        <v>44975.442649938974</v>
      </c>
      <c r="AI10">
        <v>-5838.3869057749762</v>
      </c>
      <c r="AJ10" s="15">
        <v>21654.026412677398</v>
      </c>
      <c r="AK10">
        <v>-2745.0139867494199</v>
      </c>
      <c r="AL10" s="15">
        <v>7067.9208659162969</v>
      </c>
      <c r="AM10">
        <v>251.48560011752545</v>
      </c>
      <c r="AN10" s="15">
        <v>3590.5371632942115</v>
      </c>
      <c r="AO10">
        <v>195.9489789998068</v>
      </c>
      <c r="AP10" s="15">
        <v>17616.62415545365</v>
      </c>
      <c r="AQ10">
        <v>3384.7042492753931</v>
      </c>
      <c r="AR10" s="15">
        <v>8234.5840906004978</v>
      </c>
      <c r="AS10">
        <v>447.93362292514956</v>
      </c>
      <c r="AT10" s="15">
        <v>2863.6184701696602</v>
      </c>
      <c r="AU10">
        <v>583.93093063665719</v>
      </c>
      <c r="AV10" s="15">
        <v>1471.4218743248075</v>
      </c>
      <c r="AW10">
        <v>305.46945777745361</v>
      </c>
      <c r="AX10" s="15">
        <v>43670.896589726079</v>
      </c>
      <c r="AY10">
        <v>-5454.7855781794215</v>
      </c>
      <c r="AZ10" s="15">
        <v>14053.056417403432</v>
      </c>
      <c r="BA10">
        <v>-261.41195742332422</v>
      </c>
      <c r="BB10" s="15">
        <v>6942.2938489672933</v>
      </c>
      <c r="BC10">
        <v>159.90266333849482</v>
      </c>
      <c r="BD10" s="15">
        <v>6430.7010777181804</v>
      </c>
      <c r="BE10">
        <v>-505.07970452241392</v>
      </c>
      <c r="BF10" s="15">
        <v>2925.274089053622</v>
      </c>
      <c r="BG10">
        <v>35.113627954760005</v>
      </c>
      <c r="BH10" s="15">
        <v>1192.6239581882826</v>
      </c>
      <c r="BI10">
        <v>146.27755391316671</v>
      </c>
    </row>
    <row r="11" spans="1:61" x14ac:dyDescent="0.25">
      <c r="A11" t="s">
        <v>52</v>
      </c>
      <c r="B11" s="1">
        <v>2137</v>
      </c>
      <c r="C11" s="86">
        <f t="shared" si="0"/>
        <v>2174.5553424238747</v>
      </c>
      <c r="D11" s="14">
        <f t="shared" si="1"/>
        <v>-1.7573861686417718</v>
      </c>
      <c r="E11" s="8">
        <v>10</v>
      </c>
      <c r="F11" s="15">
        <v>169.41587301587299</v>
      </c>
      <c r="G11">
        <v>-7.7564110911219171</v>
      </c>
      <c r="H11" s="15">
        <v>678.34603174603171</v>
      </c>
      <c r="I11">
        <v>-119.86385796850671</v>
      </c>
      <c r="J11" s="15">
        <v>263.13492063492066</v>
      </c>
      <c r="K11">
        <v>75.240435811230157</v>
      </c>
      <c r="L11" s="15">
        <v>1405.8472819274684</v>
      </c>
      <c r="M11">
        <v>-128.95470225835396</v>
      </c>
      <c r="N11" s="15">
        <v>625.48752260775132</v>
      </c>
      <c r="O11">
        <v>-67.725924877017945</v>
      </c>
      <c r="P11" s="15">
        <v>216.09708966563031</v>
      </c>
      <c r="Q11">
        <v>1.8115454870937193</v>
      </c>
      <c r="R11" s="15">
        <v>85.760886639359754</v>
      </c>
      <c r="S11">
        <v>0.9011034115394847</v>
      </c>
      <c r="T11" s="15">
        <v>5762.3421365583272</v>
      </c>
      <c r="U11">
        <v>-686.41826957581657</v>
      </c>
      <c r="V11" s="15">
        <v>2245.8860871756115</v>
      </c>
      <c r="W11">
        <v>394.28498340413347</v>
      </c>
      <c r="X11" s="15">
        <v>11910.952714871451</v>
      </c>
      <c r="Y11">
        <v>-1752.0683233613474</v>
      </c>
      <c r="Z11" s="15">
        <v>5258.1417253705704</v>
      </c>
      <c r="AA11">
        <v>-598.08426100558529</v>
      </c>
      <c r="AB11" s="15">
        <v>1845.0647628807533</v>
      </c>
      <c r="AC11">
        <v>-124.63595226965546</v>
      </c>
      <c r="AD11" s="15">
        <v>735.96618408988604</v>
      </c>
      <c r="AE11">
        <v>-55.976069583875336</v>
      </c>
      <c r="AF11" s="15">
        <v>9047.9982060972543</v>
      </c>
      <c r="AG11">
        <v>2184.987912939514</v>
      </c>
      <c r="AH11" s="15">
        <v>47548.991971666059</v>
      </c>
      <c r="AI11">
        <v>-7137.7066317610143</v>
      </c>
      <c r="AJ11" s="15">
        <v>20931.052030821651</v>
      </c>
      <c r="AK11">
        <v>-2952.275936870074</v>
      </c>
      <c r="AL11" s="15">
        <v>7401.5349180857893</v>
      </c>
      <c r="AM11">
        <v>-13.964100604706358</v>
      </c>
      <c r="AN11" s="15">
        <v>2949.0161270264557</v>
      </c>
      <c r="AO11">
        <v>29.01372611771848</v>
      </c>
      <c r="AP11" s="15">
        <v>18238.853676061823</v>
      </c>
      <c r="AQ11">
        <v>3180.4170360865628</v>
      </c>
      <c r="AR11" s="15">
        <v>7820.6914460527287</v>
      </c>
      <c r="AS11">
        <v>273.97428129475111</v>
      </c>
      <c r="AT11" s="15">
        <v>2949.7381374913925</v>
      </c>
      <c r="AU11">
        <v>497.58894140342051</v>
      </c>
      <c r="AV11" s="15">
        <v>1227.4490413582398</v>
      </c>
      <c r="AW11">
        <v>196.42112148050953</v>
      </c>
      <c r="AX11" s="15">
        <v>44530.139634232968</v>
      </c>
      <c r="AY11">
        <v>-6106.484789664195</v>
      </c>
      <c r="AZ11" s="15">
        <v>15212.749740941965</v>
      </c>
      <c r="BA11">
        <v>-986.25732421785256</v>
      </c>
      <c r="BB11" s="15">
        <v>5904.6130609835882</v>
      </c>
      <c r="BC11">
        <v>-178.32008433525192</v>
      </c>
      <c r="BD11" s="15">
        <v>6534.2852938771121</v>
      </c>
      <c r="BE11">
        <v>-711.52433373050621</v>
      </c>
      <c r="BF11" s="15">
        <v>2388.5281512001138</v>
      </c>
      <c r="BG11">
        <v>-140.12795412867837</v>
      </c>
      <c r="BH11" s="15">
        <v>993.88231795420006</v>
      </c>
      <c r="BI11">
        <v>36.080330205920987</v>
      </c>
    </row>
    <row r="12" spans="1:61" x14ac:dyDescent="0.25">
      <c r="A12" t="s">
        <v>53</v>
      </c>
      <c r="B12" s="1">
        <v>2298</v>
      </c>
      <c r="C12" s="86">
        <f t="shared" si="0"/>
        <v>2289.6917302845941</v>
      </c>
      <c r="D12" s="14">
        <f t="shared" si="1"/>
        <v>0.36154350371653238</v>
      </c>
      <c r="E12" s="8">
        <v>11</v>
      </c>
      <c r="F12" s="15">
        <v>168.68571428571431</v>
      </c>
      <c r="G12">
        <v>-4.4144361723546659</v>
      </c>
      <c r="H12" s="15">
        <v>672.09841269841274</v>
      </c>
      <c r="I12">
        <v>-118.9193062085713</v>
      </c>
      <c r="J12" s="15">
        <v>281.28730158730156</v>
      </c>
      <c r="K12">
        <v>78.398572122372414</v>
      </c>
      <c r="L12" s="15">
        <v>1498.0352030640072</v>
      </c>
      <c r="M12">
        <v>-128.04679104781039</v>
      </c>
      <c r="N12" s="15">
        <v>607.49782101462938</v>
      </c>
      <c r="O12">
        <v>-66.241979682137114</v>
      </c>
      <c r="P12" s="15">
        <v>226.39955323187417</v>
      </c>
      <c r="Q12">
        <v>3.799250855935687</v>
      </c>
      <c r="R12" s="15">
        <v>113.0557554134283</v>
      </c>
      <c r="S12">
        <v>2.7454829456717014</v>
      </c>
      <c r="T12" s="15">
        <v>5672.0873696145118</v>
      </c>
      <c r="U12">
        <v>-651.2031413347645</v>
      </c>
      <c r="V12" s="15">
        <v>2374.3207936507933</v>
      </c>
      <c r="W12">
        <v>424.27837725566832</v>
      </c>
      <c r="X12" s="15">
        <v>12632.580588228931</v>
      </c>
      <c r="Y12">
        <v>-1606.7759876626758</v>
      </c>
      <c r="Z12" s="15">
        <v>5143.7658743758511</v>
      </c>
      <c r="AA12">
        <v>-632.551470247574</v>
      </c>
      <c r="AB12" s="15">
        <v>1906.1327609013788</v>
      </c>
      <c r="AC12">
        <v>-114.1828401718</v>
      </c>
      <c r="AD12" s="15">
        <v>956.01144401476006</v>
      </c>
      <c r="AE12">
        <v>-40.550372389161616</v>
      </c>
      <c r="AF12" s="15">
        <v>9489.4411312673219</v>
      </c>
      <c r="AG12">
        <v>2182.127733406996</v>
      </c>
      <c r="AH12" s="15">
        <v>50313.370697541228</v>
      </c>
      <c r="AI12">
        <v>-7136.8638930131665</v>
      </c>
      <c r="AJ12" s="15">
        <v>20185.971072834254</v>
      </c>
      <c r="AK12">
        <v>-2804.8937370245822</v>
      </c>
      <c r="AL12" s="15">
        <v>7635.7335260858408</v>
      </c>
      <c r="AM12">
        <v>16.104358505851721</v>
      </c>
      <c r="AN12" s="15">
        <v>3824.7819278692104</v>
      </c>
      <c r="AO12">
        <v>86.426902370741729</v>
      </c>
      <c r="AP12" s="15">
        <v>21049.325042670935</v>
      </c>
      <c r="AQ12">
        <v>3347.4967842898036</v>
      </c>
      <c r="AR12" s="15">
        <v>8353.3115562665735</v>
      </c>
      <c r="AS12">
        <v>346.04013483833273</v>
      </c>
      <c r="AT12" s="15">
        <v>3242.6243441835018</v>
      </c>
      <c r="AU12">
        <v>541.08654489433854</v>
      </c>
      <c r="AV12" s="15">
        <v>1685.2439239123019</v>
      </c>
      <c r="AW12">
        <v>243.27858072428543</v>
      </c>
      <c r="AX12" s="15">
        <v>45300.049055620781</v>
      </c>
      <c r="AY12">
        <v>-6198.8674167480394</v>
      </c>
      <c r="AZ12" s="15">
        <v>17065.95217240326</v>
      </c>
      <c r="BA12">
        <v>-796.40954209104643</v>
      </c>
      <c r="BB12" s="15">
        <v>8363.2404782363628</v>
      </c>
      <c r="BC12">
        <v>-73.835801080279793</v>
      </c>
      <c r="BD12" s="15">
        <v>6693.1412121705962</v>
      </c>
      <c r="BE12">
        <v>-647.84109418783555</v>
      </c>
      <c r="BF12" s="15">
        <v>3319.7607511472106</v>
      </c>
      <c r="BG12">
        <v>-151.72878065135902</v>
      </c>
      <c r="BH12" s="15">
        <v>1357.7879765952305</v>
      </c>
      <c r="BI12">
        <v>66.471214121190556</v>
      </c>
    </row>
    <row r="13" spans="1:61" x14ac:dyDescent="0.25">
      <c r="A13" t="s">
        <v>54</v>
      </c>
      <c r="B13" s="1">
        <v>2405</v>
      </c>
      <c r="C13" s="86">
        <f t="shared" si="0"/>
        <v>2375.3753011883323</v>
      </c>
      <c r="D13" s="14">
        <f t="shared" si="1"/>
        <v>1.231796208385352</v>
      </c>
      <c r="E13" s="8">
        <v>12</v>
      </c>
      <c r="F13" s="15">
        <v>179.8031746031746</v>
      </c>
      <c r="G13">
        <v>-7.4407487374774082</v>
      </c>
      <c r="H13" s="15">
        <v>676.89047619047619</v>
      </c>
      <c r="I13">
        <v>-119.84544158027099</v>
      </c>
      <c r="J13" s="15">
        <v>282.91587301587293</v>
      </c>
      <c r="K13">
        <v>86.242122303673256</v>
      </c>
      <c r="L13" s="15">
        <v>1471.144586776858</v>
      </c>
      <c r="M13">
        <v>-123.01208448641901</v>
      </c>
      <c r="N13" s="15">
        <v>466.6757319904462</v>
      </c>
      <c r="O13">
        <v>-41.799783460644434</v>
      </c>
      <c r="P13" s="15">
        <v>228.01148959960071</v>
      </c>
      <c r="Q13">
        <v>4.5186837030266602</v>
      </c>
      <c r="R13" s="15">
        <v>118.19310748412246</v>
      </c>
      <c r="S13">
        <v>6.7296926307440774</v>
      </c>
      <c r="T13" s="15">
        <v>6104.2975207860927</v>
      </c>
      <c r="U13">
        <v>-737.27795049557744</v>
      </c>
      <c r="V13" s="15">
        <v>2556.1938145628624</v>
      </c>
      <c r="W13">
        <v>471.09806938384605</v>
      </c>
      <c r="X13" s="15">
        <v>13201.142230102625</v>
      </c>
      <c r="Y13">
        <v>-1817.7513757064944</v>
      </c>
      <c r="Z13" s="15">
        <v>4150.1243363179337</v>
      </c>
      <c r="AA13">
        <v>-455.18028687003834</v>
      </c>
      <c r="AB13" s="15">
        <v>2061.7363025469058</v>
      </c>
      <c r="AC13">
        <v>-132.21898436784335</v>
      </c>
      <c r="AD13" s="15">
        <v>1075.3677521581415</v>
      </c>
      <c r="AE13">
        <v>-45.035817365750837</v>
      </c>
      <c r="AF13" s="15">
        <v>9691.3702569916877</v>
      </c>
      <c r="AG13">
        <v>2487.293421045641</v>
      </c>
      <c r="AH13" s="15">
        <v>49490.970220705938</v>
      </c>
      <c r="AI13">
        <v>-6899.2528795155295</v>
      </c>
      <c r="AJ13" s="15">
        <v>15579.553322730066</v>
      </c>
      <c r="AK13">
        <v>-1728.6288708712705</v>
      </c>
      <c r="AL13" s="15">
        <v>7786.3187684527984</v>
      </c>
      <c r="AM13">
        <v>84.194940083933503</v>
      </c>
      <c r="AN13" s="15">
        <v>4067.337686792469</v>
      </c>
      <c r="AO13">
        <v>239.35878152653208</v>
      </c>
      <c r="AP13" s="15">
        <v>20783.85796238339</v>
      </c>
      <c r="AQ13">
        <v>4249.337463578916</v>
      </c>
      <c r="AR13" s="15">
        <v>6482.3813658375175</v>
      </c>
      <c r="AS13">
        <v>610.48422604262123</v>
      </c>
      <c r="AT13" s="15">
        <v>3337.7510217819599</v>
      </c>
      <c r="AU13">
        <v>625.1245925010827</v>
      </c>
      <c r="AV13" s="15">
        <v>1818.6508311964437</v>
      </c>
      <c r="AW13">
        <v>407.05786643083667</v>
      </c>
      <c r="AX13" s="15">
        <v>34809.802237905948</v>
      </c>
      <c r="AY13">
        <v>-4675.7824318568655</v>
      </c>
      <c r="AZ13" s="15">
        <v>16998.524947752721</v>
      </c>
      <c r="BA13">
        <v>-708.18462209423217</v>
      </c>
      <c r="BB13" s="15">
        <v>8860.587433974777</v>
      </c>
      <c r="BC13">
        <v>344.8947410409221</v>
      </c>
      <c r="BD13" s="15">
        <v>5294.7936532572603</v>
      </c>
      <c r="BE13">
        <v>-236.93473457419597</v>
      </c>
      <c r="BF13" s="15">
        <v>2775.3952678861774</v>
      </c>
      <c r="BG13">
        <v>74.642064514420753</v>
      </c>
      <c r="BH13" s="15">
        <v>1492.4224385553728</v>
      </c>
      <c r="BI13">
        <v>145.61054594245465</v>
      </c>
    </row>
    <row r="14" spans="1:61" x14ac:dyDescent="0.25">
      <c r="A14" t="s">
        <v>55</v>
      </c>
      <c r="B14" s="8">
        <v>2250</v>
      </c>
      <c r="C14" s="86">
        <f t="shared" si="0"/>
        <v>2435.245851894013</v>
      </c>
      <c r="D14" s="14">
        <f t="shared" si="1"/>
        <v>-8.2331489730672427</v>
      </c>
      <c r="E14" s="8">
        <v>13</v>
      </c>
      <c r="F14" s="15">
        <v>168.73571428571427</v>
      </c>
      <c r="G14">
        <v>-6.1596444260502974</v>
      </c>
      <c r="H14" s="15">
        <v>644.0857142857144</v>
      </c>
      <c r="I14">
        <v>-113.01354483162578</v>
      </c>
      <c r="J14" s="15">
        <v>282.94920634920629</v>
      </c>
      <c r="K14">
        <v>85.217539549996133</v>
      </c>
      <c r="L14" s="15">
        <v>1503.0007000551213</v>
      </c>
      <c r="M14">
        <v>-122.07714010263015</v>
      </c>
      <c r="N14" s="15">
        <v>447.86748607778736</v>
      </c>
      <c r="O14">
        <v>-43.587312827392282</v>
      </c>
      <c r="P14" s="15">
        <v>234.89253871103247</v>
      </c>
      <c r="Q14">
        <v>3.8908336593790649</v>
      </c>
      <c r="R14" s="15">
        <v>119.52015981695619</v>
      </c>
      <c r="S14">
        <v>4.7372597141981281</v>
      </c>
      <c r="T14" s="15">
        <v>5445.3856122448979</v>
      </c>
      <c r="U14">
        <v>-653.4035739654272</v>
      </c>
      <c r="V14" s="15">
        <v>2387.0821541950113</v>
      </c>
      <c r="W14">
        <v>400.89701148391464</v>
      </c>
      <c r="X14" s="15">
        <v>12658.640075626303</v>
      </c>
      <c r="Y14">
        <v>-1648.1121573173621</v>
      </c>
      <c r="Z14" s="15">
        <v>3744.1241486815534</v>
      </c>
      <c r="AA14">
        <v>-413.41826026599597</v>
      </c>
      <c r="AB14" s="15">
        <v>1980.8140826585632</v>
      </c>
      <c r="AC14">
        <v>-141.36453073441925</v>
      </c>
      <c r="AD14" s="15">
        <v>1006.604176451965</v>
      </c>
      <c r="AE14">
        <v>-38.968348635691143</v>
      </c>
      <c r="AF14" s="15">
        <v>9228.7676190476213</v>
      </c>
      <c r="AG14">
        <v>2380.5329243134165</v>
      </c>
      <c r="AH14" s="15">
        <v>48351.441533053425</v>
      </c>
      <c r="AI14">
        <v>-6796.3724195156174</v>
      </c>
      <c r="AJ14" s="15">
        <v>14399.605997044742</v>
      </c>
      <c r="AK14">
        <v>-1800.8832437697047</v>
      </c>
      <c r="AL14" s="15">
        <v>7647.0599395389727</v>
      </c>
      <c r="AM14">
        <v>38.263642185039515</v>
      </c>
      <c r="AN14" s="15">
        <v>3959.2271472756629</v>
      </c>
      <c r="AO14">
        <v>147.22641091827481</v>
      </c>
      <c r="AP14" s="15">
        <v>21195.96791557733</v>
      </c>
      <c r="AQ14">
        <v>4161.0865927744117</v>
      </c>
      <c r="AR14" s="15">
        <v>6241.1045220197402</v>
      </c>
      <c r="AS14">
        <v>429.57345878820865</v>
      </c>
      <c r="AT14" s="15">
        <v>3477.6493293689041</v>
      </c>
      <c r="AU14">
        <v>603.58106539014057</v>
      </c>
      <c r="AV14" s="15">
        <v>1888.1676886671885</v>
      </c>
      <c r="AW14">
        <v>314.0181354895447</v>
      </c>
      <c r="AX14" s="15">
        <v>34006.214995311639</v>
      </c>
      <c r="AY14">
        <v>-4961.8437986762528</v>
      </c>
      <c r="AZ14" s="15">
        <v>17720.752200693129</v>
      </c>
      <c r="BA14">
        <v>-735.21291931631902</v>
      </c>
      <c r="BB14" s="15">
        <v>8891.5920692290929</v>
      </c>
      <c r="BC14">
        <v>181.19023084009683</v>
      </c>
      <c r="BD14" s="15">
        <v>5209.4004336631788</v>
      </c>
      <c r="BE14">
        <v>-290.24838120365337</v>
      </c>
      <c r="BF14" s="15">
        <v>2729.3744138228221</v>
      </c>
      <c r="BG14">
        <v>-18.463185954374989</v>
      </c>
      <c r="BH14" s="15">
        <v>1535.0602148466271</v>
      </c>
      <c r="BI14">
        <v>91.219218709957971</v>
      </c>
    </row>
    <row r="15" spans="1:61" x14ac:dyDescent="0.25">
      <c r="A15" t="s">
        <v>56</v>
      </c>
      <c r="B15" s="1">
        <v>2254</v>
      </c>
      <c r="C15" s="86">
        <f t="shared" si="0"/>
        <v>2168.5815590094321</v>
      </c>
      <c r="D15" s="14">
        <f t="shared" si="1"/>
        <v>3.7896380208770135</v>
      </c>
      <c r="E15" s="8">
        <v>14</v>
      </c>
      <c r="F15" s="15">
        <v>178.18392857142854</v>
      </c>
      <c r="G15">
        <v>-6.9632175500444617</v>
      </c>
      <c r="H15" s="15">
        <v>647.88031746031743</v>
      </c>
      <c r="I15">
        <v>-114.30646223818424</v>
      </c>
      <c r="J15" s="15">
        <v>294.90238095238095</v>
      </c>
      <c r="K15">
        <v>78.330089021650011</v>
      </c>
      <c r="L15" s="15">
        <v>1572.6878737846207</v>
      </c>
      <c r="M15">
        <v>-124.3969887900046</v>
      </c>
      <c r="N15" s="15">
        <v>734.13640254746747</v>
      </c>
      <c r="O15">
        <v>-60.401877278579867</v>
      </c>
      <c r="P15" s="15">
        <v>234.63801485019121</v>
      </c>
      <c r="Q15">
        <v>3.3388596455892001</v>
      </c>
      <c r="R15" s="15">
        <v>177.35840144272967</v>
      </c>
      <c r="S15">
        <v>3.0435168223074216</v>
      </c>
      <c r="T15" s="15">
        <v>5783.0688764172337</v>
      </c>
      <c r="U15">
        <v>-700.8876585576553</v>
      </c>
      <c r="V15" s="15">
        <v>2633.4858489229027</v>
      </c>
      <c r="W15">
        <v>431.74591953768004</v>
      </c>
      <c r="X15" s="15">
        <v>14023.739350346874</v>
      </c>
      <c r="Y15">
        <v>-1882.7805286145294</v>
      </c>
      <c r="Z15" s="15">
        <v>6491.6543651708262</v>
      </c>
      <c r="AA15">
        <v>-754.1829870761826</v>
      </c>
      <c r="AB15" s="15">
        <v>2098.4642774879298</v>
      </c>
      <c r="AC15">
        <v>-146.8386912699255</v>
      </c>
      <c r="AD15" s="15">
        <v>1585.3472951747776</v>
      </c>
      <c r="AE15">
        <v>-50.016434958399898</v>
      </c>
      <c r="AF15" s="15">
        <v>9660.6009669942068</v>
      </c>
      <c r="AG15">
        <v>2077.9268900088928</v>
      </c>
      <c r="AH15" s="15">
        <v>50836.360275977539</v>
      </c>
      <c r="AI15">
        <v>-6646.4896884380742</v>
      </c>
      <c r="AJ15" s="15">
        <v>23665.901325381827</v>
      </c>
      <c r="AK15">
        <v>-2283.8697765357174</v>
      </c>
      <c r="AL15" s="15">
        <v>7688.5590383743502</v>
      </c>
      <c r="AM15">
        <v>12.03309937133711</v>
      </c>
      <c r="AN15" s="15">
        <v>5821.9546577721485</v>
      </c>
      <c r="AO15">
        <v>56.753626995410123</v>
      </c>
      <c r="AP15" s="15">
        <v>23079.773440052544</v>
      </c>
      <c r="AQ15">
        <v>4014.3267346623907</v>
      </c>
      <c r="AR15" s="15">
        <v>10903.752423711996</v>
      </c>
      <c r="AS15">
        <v>665.08993085033171</v>
      </c>
      <c r="AT15" s="15">
        <v>3534.0052098778069</v>
      </c>
      <c r="AU15">
        <v>480.28905998926484</v>
      </c>
      <c r="AV15" s="15">
        <v>2682.2169501345434</v>
      </c>
      <c r="AW15">
        <v>281.35048062498475</v>
      </c>
      <c r="AX15" s="15">
        <v>58738.074271083155</v>
      </c>
      <c r="AY15">
        <v>-5925.2546308709552</v>
      </c>
      <c r="AZ15" s="15">
        <v>18392.236473107954</v>
      </c>
      <c r="BA15">
        <v>-721.37467513376362</v>
      </c>
      <c r="BB15" s="15">
        <v>13789.677585124895</v>
      </c>
      <c r="BC15">
        <v>-253.97119602106261</v>
      </c>
      <c r="BD15" s="15">
        <v>8408.9853588707192</v>
      </c>
      <c r="BE15">
        <v>-363.30315737139779</v>
      </c>
      <c r="BF15" s="15">
        <v>6476.3068746664339</v>
      </c>
      <c r="BG15">
        <v>-216.04112851394609</v>
      </c>
      <c r="BH15" s="15">
        <v>2140.1475668520193</v>
      </c>
      <c r="BI15">
        <v>65.57913428198674</v>
      </c>
    </row>
    <row r="16" spans="1:61" x14ac:dyDescent="0.25">
      <c r="A16" t="s">
        <v>57</v>
      </c>
      <c r="B16" s="1">
        <v>2251</v>
      </c>
      <c r="C16" s="86">
        <f t="shared" si="0"/>
        <v>2421.7484666428927</v>
      </c>
      <c r="D16" s="14">
        <f t="shared" si="1"/>
        <v>-7.5854494288268643</v>
      </c>
      <c r="E16" s="8">
        <v>15</v>
      </c>
      <c r="F16" s="15">
        <v>169.18714285714285</v>
      </c>
      <c r="G16">
        <v>-5.9375650923365377</v>
      </c>
      <c r="H16" s="15">
        <v>658.42780952380951</v>
      </c>
      <c r="I16">
        <v>-117.82726461237193</v>
      </c>
      <c r="J16" s="15">
        <v>287.49027777777775</v>
      </c>
      <c r="K16">
        <v>85.968759747267512</v>
      </c>
      <c r="L16" s="15">
        <v>1524.6893087036558</v>
      </c>
      <c r="M16">
        <v>-119.61928774290466</v>
      </c>
      <c r="N16" s="15">
        <v>653.04780350073759</v>
      </c>
      <c r="O16">
        <v>-48.505344152154677</v>
      </c>
      <c r="P16" s="15">
        <v>226.05080442074407</v>
      </c>
      <c r="Q16">
        <v>3.1831728205692196</v>
      </c>
      <c r="R16" s="15">
        <v>179.90461549853126</v>
      </c>
      <c r="S16">
        <v>6.0799939030402026</v>
      </c>
      <c r="T16" s="15">
        <v>5583.1062884353742</v>
      </c>
      <c r="U16">
        <v>-658.56223045190336</v>
      </c>
      <c r="V16" s="15">
        <v>2439.3228849206348</v>
      </c>
      <c r="W16">
        <v>424.85836775688466</v>
      </c>
      <c r="X16" s="15">
        <v>12847.304548478211</v>
      </c>
      <c r="Y16">
        <v>-1684.3570871716142</v>
      </c>
      <c r="Z16" s="15">
        <v>5503.4198181483089</v>
      </c>
      <c r="AA16">
        <v>-618.97505637784684</v>
      </c>
      <c r="AB16" s="15">
        <v>1912.0716225449614</v>
      </c>
      <c r="AC16">
        <v>-139.93822530177644</v>
      </c>
      <c r="AD16" s="15">
        <v>1521.414660074845</v>
      </c>
      <c r="AE16">
        <v>-63.476618711072362</v>
      </c>
      <c r="AF16" s="15">
        <v>9530.1190076089715</v>
      </c>
      <c r="AG16">
        <v>2378.7398740255671</v>
      </c>
      <c r="AH16" s="15">
        <v>50012.323734265854</v>
      </c>
      <c r="AI16">
        <v>-6698.6566518093523</v>
      </c>
      <c r="AJ16" s="15">
        <v>21461.044412909465</v>
      </c>
      <c r="AK16">
        <v>-2051.9898128514583</v>
      </c>
      <c r="AL16" s="15">
        <v>7487.2460631133163</v>
      </c>
      <c r="AM16">
        <v>5.4173355233293403</v>
      </c>
      <c r="AN16" s="15">
        <v>5963.0537817760169</v>
      </c>
      <c r="AO16">
        <v>178.98308317828844</v>
      </c>
      <c r="AP16" s="15">
        <v>21943.802793960753</v>
      </c>
      <c r="AQ16">
        <v>4441.1980998437975</v>
      </c>
      <c r="AR16" s="15">
        <v>9455.9599635759714</v>
      </c>
      <c r="AS16">
        <v>887.94589905671262</v>
      </c>
      <c r="AT16" s="15">
        <v>3355.4716061400045</v>
      </c>
      <c r="AU16">
        <v>568.84846126604634</v>
      </c>
      <c r="AV16" s="15">
        <v>2687.4043833831579</v>
      </c>
      <c r="AW16">
        <v>467.81400628851924</v>
      </c>
      <c r="AX16" s="15">
        <v>50228.739623093592</v>
      </c>
      <c r="AY16">
        <v>-4898.8767347179546</v>
      </c>
      <c r="AZ16" s="15">
        <v>17310.331587767007</v>
      </c>
      <c r="BA16">
        <v>-689.71815956863634</v>
      </c>
      <c r="BB16" s="15">
        <v>13806.785513919434</v>
      </c>
      <c r="BC16">
        <v>94.885745567257203</v>
      </c>
      <c r="BD16" s="15">
        <v>7487.2890383735567</v>
      </c>
      <c r="BE16">
        <v>-253.41046593174912</v>
      </c>
      <c r="BF16" s="15">
        <v>6058.6157543218396</v>
      </c>
      <c r="BG16">
        <v>-17.939138454614881</v>
      </c>
      <c r="BH16" s="15">
        <v>2131.0357505572824</v>
      </c>
      <c r="BI16">
        <v>132.19202363712378</v>
      </c>
    </row>
    <row r="17" spans="1:61" x14ac:dyDescent="0.25">
      <c r="A17" t="s">
        <v>58</v>
      </c>
      <c r="B17" s="1">
        <v>2577</v>
      </c>
      <c r="C17" s="86">
        <f t="shared" si="0"/>
        <v>2546.9184327955782</v>
      </c>
      <c r="D17" s="14">
        <f t="shared" si="1"/>
        <v>1.1673095539162532</v>
      </c>
      <c r="E17" s="8">
        <v>16</v>
      </c>
      <c r="F17" s="15">
        <v>170.21785714285716</v>
      </c>
      <c r="G17">
        <v>-7.1104074088675322</v>
      </c>
      <c r="H17" s="15">
        <v>627.79808641975308</v>
      </c>
      <c r="I17">
        <v>-106.99308900055226</v>
      </c>
      <c r="J17" s="15">
        <v>286.18392857142862</v>
      </c>
      <c r="K17">
        <v>87.104615012114195</v>
      </c>
      <c r="L17" s="15">
        <v>1460.3911271867855</v>
      </c>
      <c r="M17">
        <v>-113.65187127152345</v>
      </c>
      <c r="N17" s="15">
        <v>722.17287116176851</v>
      </c>
      <c r="O17">
        <v>-67.12914801882232</v>
      </c>
      <c r="P17" s="15">
        <v>213.07919145700558</v>
      </c>
      <c r="Q17">
        <v>3.4385968365361674</v>
      </c>
      <c r="R17" s="15">
        <v>220.6878949394293</v>
      </c>
      <c r="S17">
        <v>3.4148323031543697</v>
      </c>
      <c r="T17" s="15">
        <v>5352.7067826436123</v>
      </c>
      <c r="U17">
        <v>-642.48767374155307</v>
      </c>
      <c r="V17" s="15">
        <v>2429.4299266581629</v>
      </c>
      <c r="W17">
        <v>462.61542320655258</v>
      </c>
      <c r="X17" s="15">
        <v>12426.093365999677</v>
      </c>
      <c r="Y17">
        <v>-1673.8839334074851</v>
      </c>
      <c r="Z17" s="15">
        <v>6098.6590292355013</v>
      </c>
      <c r="AA17">
        <v>-598.96908874904852</v>
      </c>
      <c r="AB17" s="15">
        <v>1816.9002963647677</v>
      </c>
      <c r="AC17">
        <v>-103.56236359676768</v>
      </c>
      <c r="AD17" s="15">
        <v>1890.6851379047018</v>
      </c>
      <c r="AE17">
        <v>-39.136281512957837</v>
      </c>
      <c r="AF17" s="15">
        <v>9200.55572531914</v>
      </c>
      <c r="AG17">
        <v>2445.6291896564221</v>
      </c>
      <c r="AH17" s="15">
        <v>45813.836686281124</v>
      </c>
      <c r="AI17">
        <v>-5741.0741153748677</v>
      </c>
      <c r="AJ17" s="15">
        <v>22765.090986728377</v>
      </c>
      <c r="AK17">
        <v>-2571.6508020251194</v>
      </c>
      <c r="AL17" s="15">
        <v>6820.720902300287</v>
      </c>
      <c r="AM17">
        <v>89.857057449040255</v>
      </c>
      <c r="AN17" s="15">
        <v>7117.5465903538261</v>
      </c>
      <c r="AO17">
        <v>79.350551583836335</v>
      </c>
      <c r="AP17" s="15">
        <v>20908.571932392391</v>
      </c>
      <c r="AQ17">
        <v>4256.6346412372377</v>
      </c>
      <c r="AR17" s="15">
        <v>10450.886656318438</v>
      </c>
      <c r="AS17">
        <v>517.38762594895138</v>
      </c>
      <c r="AT17" s="15">
        <v>3205.5304501130163</v>
      </c>
      <c r="AU17">
        <v>561.09694701530805</v>
      </c>
      <c r="AV17" s="15">
        <v>3338.8077346119626</v>
      </c>
      <c r="AW17">
        <v>389.22606267375551</v>
      </c>
      <c r="AX17" s="15">
        <v>52303.013447280173</v>
      </c>
      <c r="AY17">
        <v>-5881.1931482692335</v>
      </c>
      <c r="AZ17" s="15">
        <v>15619.312403394249</v>
      </c>
      <c r="BA17">
        <v>-617.70888409224665</v>
      </c>
      <c r="BB17" s="15">
        <v>15797.157617049397</v>
      </c>
      <c r="BC17">
        <v>-131.26981678065764</v>
      </c>
      <c r="BD17" s="15">
        <v>7713.623089282466</v>
      </c>
      <c r="BE17">
        <v>-581.30808017888955</v>
      </c>
      <c r="BF17" s="15">
        <v>8270.3488638436393</v>
      </c>
      <c r="BG17">
        <v>-395.9201846359723</v>
      </c>
      <c r="BH17" s="15">
        <v>2467.3273262238913</v>
      </c>
      <c r="BI17">
        <v>46.455708334385356</v>
      </c>
    </row>
    <row r="18" spans="1:61" x14ac:dyDescent="0.25">
      <c r="A18" t="s">
        <v>59</v>
      </c>
      <c r="B18" s="1">
        <v>2263</v>
      </c>
      <c r="C18" s="86">
        <f t="shared" si="0"/>
        <v>2376.571270491404</v>
      </c>
      <c r="D18" s="14">
        <f t="shared" si="1"/>
        <v>-5.0186155762882896</v>
      </c>
      <c r="E18" s="8">
        <v>17</v>
      </c>
      <c r="F18" s="15">
        <v>169.9053571428571</v>
      </c>
      <c r="G18">
        <v>-4.8877321407833758</v>
      </c>
      <c r="H18" s="15">
        <v>656.31249999999989</v>
      </c>
      <c r="I18">
        <v>-114.83497468297982</v>
      </c>
      <c r="J18" s="15">
        <v>331.60535714285714</v>
      </c>
      <c r="K18">
        <v>87.560764378831024</v>
      </c>
      <c r="L18" s="15">
        <v>1427.154940724593</v>
      </c>
      <c r="M18">
        <v>-124.01466315865912</v>
      </c>
      <c r="N18" s="15">
        <v>736.00747815378418</v>
      </c>
      <c r="O18">
        <v>-66.566191688051504</v>
      </c>
      <c r="P18" s="15">
        <v>242.04933674663451</v>
      </c>
      <c r="Q18">
        <v>-1.5208639849342547</v>
      </c>
      <c r="R18" s="15">
        <v>249.86992947919308</v>
      </c>
      <c r="S18">
        <v>5.8636457092761933</v>
      </c>
      <c r="T18" s="15">
        <v>5616.7387149234692</v>
      </c>
      <c r="U18">
        <v>-663.47351236975771</v>
      </c>
      <c r="V18" s="15">
        <v>2860.5272991071424</v>
      </c>
      <c r="W18">
        <v>462.51078409852727</v>
      </c>
      <c r="X18" s="15">
        <v>11859.855756743314</v>
      </c>
      <c r="Y18">
        <v>-1656.3023763833767</v>
      </c>
      <c r="Z18" s="15">
        <v>6003.9835848056437</v>
      </c>
      <c r="AA18">
        <v>-710.8726289667203</v>
      </c>
      <c r="AB18" s="15">
        <v>2046.8758011617253</v>
      </c>
      <c r="AC18">
        <v>-136.83221619282335</v>
      </c>
      <c r="AD18" s="15">
        <v>2057.4791443661657</v>
      </c>
      <c r="AE18">
        <v>-61.501729071031392</v>
      </c>
      <c r="AF18" s="15">
        <v>10964.358689413264</v>
      </c>
      <c r="AG18">
        <v>2329.5487530150504</v>
      </c>
      <c r="AH18" s="15">
        <v>46549.104465174125</v>
      </c>
      <c r="AI18">
        <v>-6641.4906341683172</v>
      </c>
      <c r="AJ18" s="15">
        <v>23800.172563329481</v>
      </c>
      <c r="AK18">
        <v>-2799.1246479716765</v>
      </c>
      <c r="AL18" s="15">
        <v>7973.6231206992034</v>
      </c>
      <c r="AM18">
        <v>-146.91542717675864</v>
      </c>
      <c r="AN18" s="15">
        <v>8161.2215257517337</v>
      </c>
      <c r="AO18">
        <v>113.39255658937188</v>
      </c>
      <c r="AP18" s="15">
        <v>23464.106512481976</v>
      </c>
      <c r="AQ18">
        <v>3898.3893440145512</v>
      </c>
      <c r="AR18" s="15">
        <v>12184.564975438741</v>
      </c>
      <c r="AS18">
        <v>797.9499346299699</v>
      </c>
      <c r="AT18" s="15">
        <v>4065.4152484632282</v>
      </c>
      <c r="AU18">
        <v>492.75422337015249</v>
      </c>
      <c r="AV18" s="15">
        <v>4184.3918562984954</v>
      </c>
      <c r="AW18">
        <v>563.00594743763054</v>
      </c>
      <c r="AX18" s="15">
        <v>54576.837473425658</v>
      </c>
      <c r="AY18">
        <v>-6644.6446785754279</v>
      </c>
      <c r="AZ18" s="15">
        <v>17420.957628905511</v>
      </c>
      <c r="BA18">
        <v>-1237.9274131936254</v>
      </c>
      <c r="BB18" s="15">
        <v>18414.863002582151</v>
      </c>
      <c r="BC18">
        <v>-136.39270764024857</v>
      </c>
      <c r="BD18" s="15">
        <v>9236.6197146885206</v>
      </c>
      <c r="BE18">
        <v>-898.88456714714516</v>
      </c>
      <c r="BF18" s="15">
        <v>10652.335107683379</v>
      </c>
      <c r="BG18">
        <v>-376.7242705527284</v>
      </c>
      <c r="BH18" s="15">
        <v>3166.5103510713107</v>
      </c>
      <c r="BI18">
        <v>6.0995162237143923</v>
      </c>
    </row>
    <row r="19" spans="1:61" x14ac:dyDescent="0.25">
      <c r="A19" t="s">
        <v>60</v>
      </c>
      <c r="B19" s="1">
        <v>2562</v>
      </c>
      <c r="C19" s="86">
        <f t="shared" si="0"/>
        <v>2517.4331591207551</v>
      </c>
      <c r="D19" s="14">
        <f t="shared" si="1"/>
        <v>1.7395332115239994</v>
      </c>
      <c r="E19" s="8">
        <v>18</v>
      </c>
      <c r="F19" s="15">
        <v>173.88571428571424</v>
      </c>
      <c r="G19">
        <v>-4.1291040874001821</v>
      </c>
      <c r="H19" s="15">
        <v>649.87142857142851</v>
      </c>
      <c r="I19">
        <v>-114.599828773098</v>
      </c>
      <c r="J19" s="15">
        <v>316.32857142857142</v>
      </c>
      <c r="K19">
        <v>88.69374793896003</v>
      </c>
      <c r="L19" s="15">
        <v>1447.2406582607505</v>
      </c>
      <c r="M19">
        <v>-113.0081303228539</v>
      </c>
      <c r="N19" s="15">
        <v>707.94770548038105</v>
      </c>
      <c r="O19">
        <v>-51.832822391191435</v>
      </c>
      <c r="P19" s="15">
        <v>241.68927043349561</v>
      </c>
      <c r="Q19">
        <v>2.795390034273058</v>
      </c>
      <c r="R19" s="15">
        <v>234.2783492092324</v>
      </c>
      <c r="S19">
        <v>7.01930385105147</v>
      </c>
      <c r="T19" s="15">
        <v>5679.4616326530604</v>
      </c>
      <c r="U19">
        <v>-650.99168474280464</v>
      </c>
      <c r="V19" s="15">
        <v>2729.4867346938781</v>
      </c>
      <c r="W19">
        <v>478.98303710045974</v>
      </c>
      <c r="X19" s="15">
        <v>12410.782235664949</v>
      </c>
      <c r="Y19">
        <v>-1683.1688622543932</v>
      </c>
      <c r="Z19" s="15">
        <v>5895.0024026621095</v>
      </c>
      <c r="AA19">
        <v>-650.33946207961981</v>
      </c>
      <c r="AB19" s="15">
        <v>2054.8186853729303</v>
      </c>
      <c r="AC19">
        <v>-161.31623838865238</v>
      </c>
      <c r="AD19" s="15">
        <v>1975.9489037796175</v>
      </c>
      <c r="AE19">
        <v>-53.705788532688473</v>
      </c>
      <c r="AF19" s="15">
        <v>10356.48469387755</v>
      </c>
      <c r="AG19">
        <v>2377.3829502854965</v>
      </c>
      <c r="AH19" s="15">
        <v>46688.05920027614</v>
      </c>
      <c r="AI19">
        <v>-6465.9532220568963</v>
      </c>
      <c r="AJ19" s="15">
        <v>22605.960134952609</v>
      </c>
      <c r="AK19">
        <v>-2275.1785443681506</v>
      </c>
      <c r="AL19" s="15">
        <v>7871.9665312324059</v>
      </c>
      <c r="AM19">
        <v>-39.684491425816766</v>
      </c>
      <c r="AN19" s="15">
        <v>7558.5579134032159</v>
      </c>
      <c r="AO19">
        <v>138.07767029505086</v>
      </c>
      <c r="AP19" s="15">
        <v>22816.113185746155</v>
      </c>
      <c r="AQ19">
        <v>4103.6543869816587</v>
      </c>
      <c r="AR19" s="15">
        <v>11175.008547145811</v>
      </c>
      <c r="AS19">
        <v>899.91581097565438</v>
      </c>
      <c r="AT19" s="15">
        <v>3896.4878073370978</v>
      </c>
      <c r="AU19">
        <v>600.8837173131484</v>
      </c>
      <c r="AV19" s="15">
        <v>3724.9770886564866</v>
      </c>
      <c r="AW19">
        <v>534.37728733383983</v>
      </c>
      <c r="AX19" s="15">
        <v>52912.484593463494</v>
      </c>
      <c r="AY19">
        <v>-5021.709212961302</v>
      </c>
      <c r="AZ19" s="15">
        <v>17693.142302556807</v>
      </c>
      <c r="BA19">
        <v>-756.57523394403995</v>
      </c>
      <c r="BB19" s="15">
        <v>17295.091959421356</v>
      </c>
      <c r="BC19">
        <v>128.04798748458359</v>
      </c>
      <c r="BD19" s="15">
        <v>8816.8877626865287</v>
      </c>
      <c r="BE19">
        <v>-340.77481408267721</v>
      </c>
      <c r="BF19" s="15">
        <v>8781.3689400901949</v>
      </c>
      <c r="BG19">
        <v>-69.111441513207424</v>
      </c>
      <c r="BH19" s="15">
        <v>2911.2097724301184</v>
      </c>
      <c r="BI19">
        <v>111.72636650963003</v>
      </c>
    </row>
    <row r="20" spans="1:61" x14ac:dyDescent="0.25">
      <c r="A20" t="s">
        <v>61</v>
      </c>
      <c r="B20" s="1">
        <v>2792</v>
      </c>
      <c r="C20" s="86">
        <f t="shared" si="0"/>
        <v>2844.5576183475864</v>
      </c>
      <c r="D20" s="14">
        <f t="shared" si="1"/>
        <v>-1.8824361872344704</v>
      </c>
      <c r="E20" s="8">
        <v>19</v>
      </c>
      <c r="F20" s="15">
        <v>178.51428571428571</v>
      </c>
      <c r="G20">
        <v>-0.84879668664226449</v>
      </c>
      <c r="H20" s="15">
        <v>630.17321428571438</v>
      </c>
      <c r="I20">
        <v>-108.51837163025552</v>
      </c>
      <c r="J20" s="15">
        <v>304.48571428571432</v>
      </c>
      <c r="K20">
        <v>99.146532212527447</v>
      </c>
      <c r="L20" s="15">
        <v>1512.7580623026652</v>
      </c>
      <c r="M20">
        <v>-110.20788464397019</v>
      </c>
      <c r="N20" s="15">
        <v>766.29131128590848</v>
      </c>
      <c r="O20">
        <v>-47.235366003906549</v>
      </c>
      <c r="P20" s="15">
        <v>242.51171382733565</v>
      </c>
      <c r="Q20">
        <v>7.8125164352053593</v>
      </c>
      <c r="R20" s="15">
        <v>246.12187511481679</v>
      </c>
      <c r="S20">
        <v>10.520470600864282</v>
      </c>
      <c r="T20" s="15">
        <v>5949.4811173469379</v>
      </c>
      <c r="U20">
        <v>-660.50850633782773</v>
      </c>
      <c r="V20" s="15">
        <v>2637.6510204081633</v>
      </c>
      <c r="W20">
        <v>487.26896292249961</v>
      </c>
      <c r="X20" s="15">
        <v>13398.846982225581</v>
      </c>
      <c r="Y20">
        <v>-1439.730245824856</v>
      </c>
      <c r="Z20" s="15">
        <v>6552.9427700246415</v>
      </c>
      <c r="AA20">
        <v>-682.50855517434502</v>
      </c>
      <c r="AB20" s="15">
        <v>2093.3972617123927</v>
      </c>
      <c r="AC20">
        <v>-137.99186521440552</v>
      </c>
      <c r="AD20" s="15">
        <v>2112.6007294715291</v>
      </c>
      <c r="AE20">
        <v>-43.884440575587888</v>
      </c>
      <c r="AF20" s="15">
        <v>9734.0563265306155</v>
      </c>
      <c r="AG20">
        <v>2758.5307429992299</v>
      </c>
      <c r="AH20" s="15">
        <v>47499.11489440906</v>
      </c>
      <c r="AI20">
        <v>-6168.7117197969483</v>
      </c>
      <c r="AJ20" s="15">
        <v>23931.472120668885</v>
      </c>
      <c r="AK20">
        <v>-1974.5109098067364</v>
      </c>
      <c r="AL20" s="15">
        <v>7732.0981308558439</v>
      </c>
      <c r="AM20">
        <v>205.47963615896811</v>
      </c>
      <c r="AN20" s="15">
        <v>7778.569056844005</v>
      </c>
      <c r="AO20">
        <v>301.00657360151956</v>
      </c>
      <c r="AP20" s="15">
        <v>22979.783135723974</v>
      </c>
      <c r="AQ20">
        <v>4967.0880836686511</v>
      </c>
      <c r="AR20" s="15">
        <v>12070.528826216065</v>
      </c>
      <c r="AS20">
        <v>1748.4677885660476</v>
      </c>
      <c r="AT20" s="15">
        <v>3954.9845702699358</v>
      </c>
      <c r="AU20">
        <v>870.91525908859558</v>
      </c>
      <c r="AV20" s="15">
        <v>3957.3070794316254</v>
      </c>
      <c r="AW20">
        <v>820.63870694139496</v>
      </c>
      <c r="AX20" s="15">
        <v>58936.92542599982</v>
      </c>
      <c r="AY20">
        <v>-5036.3617049219074</v>
      </c>
      <c r="AZ20" s="15">
        <v>18489.48962093487</v>
      </c>
      <c r="BA20">
        <v>-460.79104706233841</v>
      </c>
      <c r="BB20" s="15">
        <v>18800.444996712169</v>
      </c>
      <c r="BC20">
        <v>274.94316350324283</v>
      </c>
      <c r="BD20" s="15">
        <v>9671.5023156965763</v>
      </c>
      <c r="BE20">
        <v>-94.129348050837891</v>
      </c>
      <c r="BF20" s="15">
        <v>10240.045280613227</v>
      </c>
      <c r="BG20">
        <v>228.10148116594658</v>
      </c>
      <c r="BH20" s="15">
        <v>3156.1768828546592</v>
      </c>
      <c r="BI20">
        <v>234.90479542354308</v>
      </c>
    </row>
    <row r="21" spans="1:61" x14ac:dyDescent="0.25">
      <c r="A21" t="s">
        <v>62</v>
      </c>
      <c r="B21" s="1">
        <v>2720</v>
      </c>
      <c r="C21" s="86">
        <f t="shared" si="0"/>
        <v>2687.17273066082</v>
      </c>
      <c r="D21" s="14">
        <f>(B21-C21)/B21*100</f>
        <v>1.2068849021757362</v>
      </c>
      <c r="E21" s="8">
        <v>20</v>
      </c>
      <c r="F21" s="15">
        <v>178.58571428571429</v>
      </c>
      <c r="G21">
        <v>-3.5417555171985127</v>
      </c>
      <c r="H21" s="15">
        <v>633.67142857142858</v>
      </c>
      <c r="I21">
        <v>-105.19222179840446</v>
      </c>
      <c r="J21" s="15">
        <v>283.13392857142856</v>
      </c>
      <c r="K21">
        <v>91.657719846516699</v>
      </c>
      <c r="L21" s="15">
        <v>1387.8862637870891</v>
      </c>
      <c r="M21">
        <v>-105.88189287073544</v>
      </c>
      <c r="N21" s="15">
        <v>674.27081576029889</v>
      </c>
      <c r="O21">
        <v>-55.378965037437823</v>
      </c>
      <c r="P21" s="15">
        <v>223.48762801264027</v>
      </c>
      <c r="Q21">
        <v>2.3215040990656037</v>
      </c>
      <c r="R21" s="15">
        <v>210.45269309423551</v>
      </c>
      <c r="S21">
        <v>5.631199403252209</v>
      </c>
      <c r="T21" s="15">
        <v>5617.1075510204082</v>
      </c>
      <c r="U21">
        <v>-694.96304999793483</v>
      </c>
      <c r="V21" s="15">
        <v>2499.086887755102</v>
      </c>
      <c r="W21">
        <v>462.40841490141423</v>
      </c>
      <c r="X21" s="15">
        <v>12363.071494946398</v>
      </c>
      <c r="Y21">
        <v>-1422.5038156186308</v>
      </c>
      <c r="Z21" s="15">
        <v>5998.5609112143757</v>
      </c>
      <c r="AA21">
        <v>-628.63189299292685</v>
      </c>
      <c r="AB21" s="15">
        <v>1962.2723159934787</v>
      </c>
      <c r="AC21">
        <v>-143.15773531599348</v>
      </c>
      <c r="AD21" s="15">
        <v>1856.2957089729528</v>
      </c>
      <c r="AE21">
        <v>-51.450521350670222</v>
      </c>
      <c r="AF21" s="15">
        <v>9138.3813775510207</v>
      </c>
      <c r="AG21">
        <v>2715.5429902793849</v>
      </c>
      <c r="AH21" s="15">
        <v>44051.594264898944</v>
      </c>
      <c r="AI21">
        <v>-5608.6798945913333</v>
      </c>
      <c r="AJ21" s="15">
        <v>21376.540665713481</v>
      </c>
      <c r="AK21">
        <v>-2258.761637056572</v>
      </c>
      <c r="AL21" s="15">
        <v>7234.3451827857825</v>
      </c>
      <c r="AM21">
        <v>16.53591591175395</v>
      </c>
      <c r="AN21" s="15">
        <v>6784.9472707159248</v>
      </c>
      <c r="AO21">
        <v>153.35293002068192</v>
      </c>
      <c r="AP21" s="15">
        <v>19635.480430953088</v>
      </c>
      <c r="AQ21">
        <v>4007.5586639986132</v>
      </c>
      <c r="AR21" s="15">
        <v>9541.1862054599369</v>
      </c>
      <c r="AS21">
        <v>821.67121655372966</v>
      </c>
      <c r="AT21" s="15">
        <v>3313.4636888460245</v>
      </c>
      <c r="AU21">
        <v>630.86765660978028</v>
      </c>
      <c r="AV21" s="15">
        <v>3075.2335582470128</v>
      </c>
      <c r="AW21">
        <v>526.21734614727916</v>
      </c>
      <c r="AX21" s="15">
        <v>47349.073787636597</v>
      </c>
      <c r="AY21">
        <v>-5056.8165829116169</v>
      </c>
      <c r="AZ21" s="15">
        <v>15616.046194177228</v>
      </c>
      <c r="BA21">
        <v>-867.41633697727275</v>
      </c>
      <c r="BB21" s="15">
        <v>14719.580540185359</v>
      </c>
      <c r="BC21">
        <v>-39.722732952662341</v>
      </c>
      <c r="BD21" s="15">
        <v>7585.4216837837439</v>
      </c>
      <c r="BE21">
        <v>-499.99463787536956</v>
      </c>
      <c r="BF21" s="15">
        <v>7215.9233132217178</v>
      </c>
      <c r="BG21">
        <v>-235.53086832465434</v>
      </c>
      <c r="BH21" s="15">
        <v>2446.2281711295477</v>
      </c>
      <c r="BI21">
        <v>78.461528925456165</v>
      </c>
    </row>
    <row r="22" spans="1:61" x14ac:dyDescent="0.25">
      <c r="B22" s="1"/>
      <c r="C22" s="87"/>
      <c r="D22" s="14"/>
      <c r="E22" s="8"/>
      <c r="F22" s="15"/>
      <c r="H22" s="15"/>
      <c r="J22" s="15"/>
      <c r="L22" s="15"/>
      <c r="N22" s="15"/>
      <c r="P22" s="15"/>
      <c r="R22" s="15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15"/>
      <c r="AV22" s="15"/>
      <c r="AX22" s="15"/>
      <c r="AZ22" s="15"/>
      <c r="BB22" s="15"/>
      <c r="BD22" s="15"/>
      <c r="BF22" s="15"/>
      <c r="BH22" s="15"/>
    </row>
    <row r="23" spans="1:61" x14ac:dyDescent="0.25">
      <c r="A23" t="s">
        <v>63</v>
      </c>
      <c r="B23" s="8">
        <v>3025</v>
      </c>
      <c r="C23" s="86">
        <f>$D$55+($D$56*AG23)+($D$57*U23)+($D$58*F23)</f>
        <v>2881.1678412983256</v>
      </c>
      <c r="D23" s="14">
        <f>(B23-C23)/B23*100</f>
        <v>4.7547821058404764</v>
      </c>
      <c r="E23" s="8">
        <v>21</v>
      </c>
      <c r="F23" s="15">
        <v>172.10762987012978</v>
      </c>
      <c r="G23">
        <v>-3.4098503332115078</v>
      </c>
      <c r="H23" s="15">
        <v>638.72046737213407</v>
      </c>
      <c r="I23">
        <v>-112.52867076416888</v>
      </c>
      <c r="J23" s="15">
        <v>267.75274170274167</v>
      </c>
      <c r="K23">
        <v>73.322147082142223</v>
      </c>
      <c r="L23" s="15">
        <v>1416.0891018102329</v>
      </c>
      <c r="M23">
        <v>-117.00955358765063</v>
      </c>
      <c r="N23" s="15">
        <v>650.31419653476178</v>
      </c>
      <c r="O23">
        <v>-54.704993518390609</v>
      </c>
      <c r="P23" s="15">
        <v>213.04874758794014</v>
      </c>
      <c r="Q23">
        <v>0.12794752845168134</v>
      </c>
      <c r="R23" s="15">
        <v>164.62208179826391</v>
      </c>
      <c r="S23">
        <v>3.9109396141908075</v>
      </c>
      <c r="T23" s="15">
        <v>5513.2160904552857</v>
      </c>
      <c r="U23">
        <v>-561.35831534238196</v>
      </c>
      <c r="V23" s="15">
        <v>2314.6636131022651</v>
      </c>
      <c r="W23">
        <v>390.59908929922864</v>
      </c>
      <c r="X23" s="15">
        <v>12178.187784775837</v>
      </c>
      <c r="Y23">
        <v>-1540.0288797798976</v>
      </c>
      <c r="Z23" s="15">
        <v>5597.9565656673703</v>
      </c>
      <c r="AA23">
        <v>-631.18896846779444</v>
      </c>
      <c r="AB23" s="15">
        <v>1834.5810386341755</v>
      </c>
      <c r="AC23">
        <v>-128.85865566731178</v>
      </c>
      <c r="AD23" s="15">
        <v>1416.3098147583469</v>
      </c>
      <c r="AE23">
        <v>-49.749208942845144</v>
      </c>
      <c r="AF23" s="15">
        <v>8666.0595321839992</v>
      </c>
      <c r="AG23">
        <v>2460.3243707265901</v>
      </c>
      <c r="AH23" s="15">
        <v>44994.141541584613</v>
      </c>
      <c r="AI23">
        <v>-6231.1466554464942</v>
      </c>
      <c r="AJ23" s="15">
        <v>20645.237747882318</v>
      </c>
      <c r="AK23">
        <v>-2210.9052506553153</v>
      </c>
      <c r="AL23" s="15">
        <v>6856.4620131567017</v>
      </c>
      <c r="AM23">
        <v>-67.618402060701527</v>
      </c>
      <c r="AN23" s="15">
        <v>5313.5768041592237</v>
      </c>
      <c r="AO23">
        <v>100.27631005971901</v>
      </c>
      <c r="AP23" s="15">
        <v>18687.775246773374</v>
      </c>
      <c r="AQ23">
        <v>2922.1304944378289</v>
      </c>
      <c r="AR23" s="15">
        <v>8519.979829054877</v>
      </c>
      <c r="AS23">
        <v>550.77126684059613</v>
      </c>
      <c r="AT23" s="15">
        <v>2902.2477643688694</v>
      </c>
      <c r="AU23">
        <v>411.70570645892116</v>
      </c>
      <c r="AV23" s="15">
        <v>2255.7362126955736</v>
      </c>
      <c r="AW23">
        <v>298.75401449470536</v>
      </c>
      <c r="AX23" s="15">
        <v>46686.169697224977</v>
      </c>
      <c r="AY23">
        <v>-5309.9143985480387</v>
      </c>
      <c r="AZ23" s="15">
        <v>15004.436597770893</v>
      </c>
      <c r="BA23">
        <v>-1035.0441646039424</v>
      </c>
      <c r="BB23" s="15">
        <v>11551.074209872573</v>
      </c>
      <c r="BC23">
        <v>-74.276397669902366</v>
      </c>
      <c r="BD23" s="15">
        <v>6861.7952033540168</v>
      </c>
      <c r="BE23">
        <v>-552.57707181504747</v>
      </c>
      <c r="BF23" s="15">
        <v>5324.9019230354788</v>
      </c>
      <c r="BG23">
        <v>-136.46815341749439</v>
      </c>
      <c r="BH23" s="15">
        <v>1779.4318663535935</v>
      </c>
      <c r="BI23">
        <v>34.392728207891544</v>
      </c>
    </row>
    <row r="24" spans="1:61" x14ac:dyDescent="0.25">
      <c r="A24" t="s">
        <v>307</v>
      </c>
      <c r="B24" s="1">
        <v>2578</v>
      </c>
      <c r="C24" s="86">
        <f t="shared" ref="C24:C25" si="2">$D$55+($D$56*AG24)+($D$57*U24)+($D$58*F24)</f>
        <v>2554.8243296347005</v>
      </c>
      <c r="D24" s="14">
        <f>(B24-C24)/B24*100</f>
        <v>0.89897867980215429</v>
      </c>
      <c r="E24" s="8">
        <v>22</v>
      </c>
      <c r="F24" s="15">
        <v>150.64285714285714</v>
      </c>
      <c r="G24">
        <v>-6.4626727357482183</v>
      </c>
      <c r="H24" s="15">
        <v>613.19107142857149</v>
      </c>
      <c r="I24">
        <v>-105.72403353407103</v>
      </c>
      <c r="J24" s="15">
        <v>291.06964285714287</v>
      </c>
      <c r="K24">
        <v>90.252754831440072</v>
      </c>
      <c r="L24" s="15">
        <v>1663.8964285714285</v>
      </c>
      <c r="M24">
        <v>-149.52089338915297</v>
      </c>
      <c r="N24" s="15">
        <v>840.34642857142865</v>
      </c>
      <c r="O24">
        <v>-72.533491690700117</v>
      </c>
      <c r="P24" s="15">
        <v>238.28035714285713</v>
      </c>
      <c r="Q24">
        <v>-1.9508562891519823</v>
      </c>
      <c r="R24" s="15">
        <v>236.4375</v>
      </c>
      <c r="S24">
        <v>1.8167413599811355</v>
      </c>
      <c r="T24" s="15">
        <v>4710.1176275510206</v>
      </c>
      <c r="U24">
        <v>-563.5696307249259</v>
      </c>
      <c r="V24" s="15">
        <v>2215.3718112244901</v>
      </c>
      <c r="W24">
        <v>414.24891289234262</v>
      </c>
      <c r="X24" s="15">
        <v>12365.54280612245</v>
      </c>
      <c r="Y24">
        <v>-1748.7045341830599</v>
      </c>
      <c r="Z24" s="15">
        <v>6110.4961734693879</v>
      </c>
      <c r="AA24">
        <v>-669.99499888662899</v>
      </c>
      <c r="AB24" s="15">
        <v>1796.2252295918368</v>
      </c>
      <c r="AC24">
        <v>-131.94442888722668</v>
      </c>
      <c r="AD24" s="15">
        <v>1753.6438010204079</v>
      </c>
      <c r="AE24">
        <v>-70.371039660249906</v>
      </c>
      <c r="AF24" s="15">
        <v>9068.8288934948978</v>
      </c>
      <c r="AG24">
        <v>2457.4642931402577</v>
      </c>
      <c r="AH24" s="15">
        <v>50537.199929846931</v>
      </c>
      <c r="AI24">
        <v>-7185.5510118471375</v>
      </c>
      <c r="AJ24" s="15">
        <v>25280.318360969392</v>
      </c>
      <c r="AK24">
        <v>-2577.3783104180839</v>
      </c>
      <c r="AL24" s="15">
        <v>7339.9043590561214</v>
      </c>
      <c r="AM24">
        <v>-91.202455194590399</v>
      </c>
      <c r="AN24" s="15">
        <v>7196.474767219388</v>
      </c>
      <c r="AO24">
        <v>-3.4275193663820929</v>
      </c>
      <c r="AP24" s="15">
        <v>24037.738373724489</v>
      </c>
      <c r="AQ24">
        <v>4395.9449366935005</v>
      </c>
      <c r="AR24" s="15">
        <v>12360.910019132654</v>
      </c>
      <c r="AS24">
        <v>1223.8312687052569</v>
      </c>
      <c r="AT24" s="15">
        <v>3529.8488616071422</v>
      </c>
      <c r="AU24">
        <v>596.8441996599546</v>
      </c>
      <c r="AV24" s="15">
        <v>3455.411310586735</v>
      </c>
      <c r="AW24">
        <v>496.04430875101377</v>
      </c>
      <c r="AX24" s="15">
        <v>71776.097997448975</v>
      </c>
      <c r="AY24">
        <v>-9517.0003720004133</v>
      </c>
      <c r="AZ24" s="15">
        <v>19952.575784438774</v>
      </c>
      <c r="BA24">
        <v>-1658.3445909562354</v>
      </c>
      <c r="BB24" s="15">
        <v>19926.229457908161</v>
      </c>
      <c r="BC24">
        <v>-665.06658529782226</v>
      </c>
      <c r="BD24" s="15">
        <v>10137.842863520407</v>
      </c>
      <c r="BE24">
        <v>-791.14630119980484</v>
      </c>
      <c r="BF24" s="15">
        <v>10181.165312499999</v>
      </c>
      <c r="BG24">
        <v>-528.9698215447479</v>
      </c>
      <c r="BH24" s="15">
        <v>2865.0970695153055</v>
      </c>
      <c r="BI24">
        <v>-29.425080440823582</v>
      </c>
    </row>
    <row r="25" spans="1:61" x14ac:dyDescent="0.25">
      <c r="A25" t="s">
        <v>308</v>
      </c>
      <c r="B25" s="25"/>
      <c r="C25" s="86">
        <f t="shared" si="2"/>
        <v>2142.3310481467101</v>
      </c>
      <c r="D25" s="25"/>
      <c r="E25" s="25">
        <v>23</v>
      </c>
      <c r="F25" s="15">
        <v>170.38562499999998</v>
      </c>
      <c r="G25">
        <v>-6.8871081621295751</v>
      </c>
      <c r="H25" s="15">
        <v>628.02785894660883</v>
      </c>
      <c r="I25">
        <v>-108.95353620214436</v>
      </c>
      <c r="J25" s="15">
        <v>283.18721500721495</v>
      </c>
      <c r="K25">
        <v>79.082160510466281</v>
      </c>
      <c r="L25" s="15">
        <v>1457.2874195175757</v>
      </c>
      <c r="M25">
        <v>-125.3175414477577</v>
      </c>
      <c r="N25" s="15">
        <v>730.17101387845366</v>
      </c>
      <c r="O25">
        <v>-54.764800355400666</v>
      </c>
      <c r="P25" s="15">
        <v>219.52173484674887</v>
      </c>
      <c r="Q25">
        <v>0.34620353651665525</v>
      </c>
      <c r="R25" s="15">
        <v>209.46191691534696</v>
      </c>
      <c r="S25">
        <v>2.9045869203797725</v>
      </c>
      <c r="T25" s="15">
        <v>5384.7311003760506</v>
      </c>
      <c r="U25">
        <v>-693.68987902354252</v>
      </c>
      <c r="V25" s="15">
        <v>2420.586285549371</v>
      </c>
      <c r="W25">
        <v>403.3345893092478</v>
      </c>
      <c r="X25" s="15">
        <v>12367.860421471465</v>
      </c>
      <c r="Y25">
        <v>-1611.7926527914267</v>
      </c>
      <c r="Z25" s="15">
        <v>6174.8956778169522</v>
      </c>
      <c r="AA25">
        <v>-602.48927431610502</v>
      </c>
      <c r="AB25" s="15">
        <v>1871.0783560388925</v>
      </c>
      <c r="AC25">
        <v>-135.16060087315498</v>
      </c>
      <c r="AD25" s="15">
        <v>1778.1865756707796</v>
      </c>
      <c r="AE25">
        <v>-42.883001426733038</v>
      </c>
      <c r="AF25" s="15">
        <v>9046.8659918629182</v>
      </c>
      <c r="AG25">
        <v>2158.9505146710244</v>
      </c>
      <c r="AH25" s="15">
        <v>45432.612760405827</v>
      </c>
      <c r="AI25">
        <v>-6116.1764952459025</v>
      </c>
      <c r="AJ25" s="15">
        <v>22696.708541451677</v>
      </c>
      <c r="AK25">
        <v>-1954.2402059717431</v>
      </c>
      <c r="AL25" s="15">
        <v>6966.1436148150751</v>
      </c>
      <c r="AM25">
        <v>-36.372232375678969</v>
      </c>
      <c r="AN25" s="15">
        <v>6571.8947251018562</v>
      </c>
      <c r="AO25">
        <v>52.443390973008952</v>
      </c>
      <c r="AP25" s="15">
        <v>20357.883817168717</v>
      </c>
      <c r="AQ25">
        <v>3495.8319173378281</v>
      </c>
      <c r="AR25" s="15">
        <v>10254.72158021094</v>
      </c>
      <c r="AS25">
        <v>860.38849126582988</v>
      </c>
      <c r="AT25" s="15">
        <v>3168.9867796782687</v>
      </c>
      <c r="AU25">
        <v>473.58539062368425</v>
      </c>
      <c r="AV25" s="15">
        <v>2982.4664288163031</v>
      </c>
      <c r="AW25">
        <v>364.67407294391512</v>
      </c>
      <c r="AX25" s="15">
        <v>53918.148354741752</v>
      </c>
      <c r="AY25">
        <v>-5806.9773347788287</v>
      </c>
      <c r="AZ25" s="15">
        <v>15979.574157355879</v>
      </c>
      <c r="BA25">
        <v>-1055.910848554623</v>
      </c>
      <c r="BB25" s="15">
        <v>15288.078412085355</v>
      </c>
      <c r="BC25">
        <v>-264.68372563413618</v>
      </c>
      <c r="BD25" s="15">
        <v>8031.4371809325166</v>
      </c>
      <c r="BE25">
        <v>-424.55427850664296</v>
      </c>
      <c r="BF25" s="15">
        <v>7693.3068306412479</v>
      </c>
      <c r="BG25">
        <v>-266.08315737754521</v>
      </c>
      <c r="BH25" s="15">
        <v>2313.3407147564144</v>
      </c>
      <c r="BI25">
        <v>7.9338279948683645</v>
      </c>
    </row>
    <row r="26" spans="1:61" x14ac:dyDescent="0.25">
      <c r="A26" s="84" t="s">
        <v>670</v>
      </c>
      <c r="B26" s="83"/>
      <c r="C26" s="88">
        <f>$D$55+($D$56*AG26)+($D$57*U26)+($D$58*F26)</f>
        <v>2665.2541402090742</v>
      </c>
      <c r="D26" s="83"/>
      <c r="E26" s="85">
        <v>24</v>
      </c>
      <c r="F26" s="15">
        <v>172.23828656462581</v>
      </c>
      <c r="G26">
        <v>-5.7736733112921979</v>
      </c>
      <c r="H26" s="15">
        <v>654.91220081770086</v>
      </c>
      <c r="I26">
        <v>-112.11993486452111</v>
      </c>
      <c r="J26" s="15">
        <v>297.96811224489795</v>
      </c>
      <c r="K26">
        <v>91.160844224859218</v>
      </c>
      <c r="L26" s="15">
        <v>1324.4157848330128</v>
      </c>
      <c r="M26">
        <v>-124.63804193197919</v>
      </c>
      <c r="N26" s="15">
        <v>630.06789791818142</v>
      </c>
      <c r="O26">
        <v>-51.354706052818834</v>
      </c>
      <c r="P26" s="15">
        <v>229.14920795730265</v>
      </c>
      <c r="Q26">
        <v>6.6048174168885492</v>
      </c>
      <c r="R26" s="15">
        <v>208.91867411484085</v>
      </c>
      <c r="S26">
        <v>6.5580294558092369</v>
      </c>
      <c r="T26" s="15">
        <v>5645.652921805472</v>
      </c>
      <c r="U26">
        <v>-665.23052494756826</v>
      </c>
      <c r="V26" s="15">
        <v>2573.274989538213</v>
      </c>
      <c r="W26">
        <v>465.12104567788202</v>
      </c>
      <c r="X26" s="15">
        <v>11429.514259196081</v>
      </c>
      <c r="Y26">
        <v>-1455.2363322796518</v>
      </c>
      <c r="Z26" s="15">
        <v>5415.4512266437068</v>
      </c>
      <c r="AA26">
        <v>-586.34031242320054</v>
      </c>
      <c r="AB26" s="15">
        <v>1973.381939526982</v>
      </c>
      <c r="AC26">
        <v>-130.08492752254068</v>
      </c>
      <c r="AD26" s="15">
        <v>1793.0211613508079</v>
      </c>
      <c r="AE26">
        <v>-55.363262826333624</v>
      </c>
      <c r="AF26" s="15">
        <v>9901.3725321470229</v>
      </c>
      <c r="AG26">
        <v>2668.0339660308737</v>
      </c>
      <c r="AH26" s="15">
        <v>43246.945370981884</v>
      </c>
      <c r="AI26">
        <v>-6326.6503132447842</v>
      </c>
      <c r="AJ26" s="15">
        <v>20624.38103408441</v>
      </c>
      <c r="AK26">
        <v>-2069.4745996704146</v>
      </c>
      <c r="AL26" s="15">
        <v>7608.2737795994763</v>
      </c>
      <c r="AM26">
        <v>191.56250940833417</v>
      </c>
      <c r="AN26" s="15">
        <v>6903.8671778082089</v>
      </c>
      <c r="AO26">
        <v>210.46854668574403</v>
      </c>
      <c r="AP26" s="15">
        <v>19542.142162352979</v>
      </c>
      <c r="AQ26">
        <v>3454.2807419907235</v>
      </c>
      <c r="AR26" s="15">
        <v>9416.8953336335926</v>
      </c>
      <c r="AS26">
        <v>826.4413265282119</v>
      </c>
      <c r="AT26" s="15">
        <v>3575.36197718736</v>
      </c>
      <c r="AU26">
        <v>725.26204702914913</v>
      </c>
      <c r="AV26" s="15">
        <v>3214.0333216151898</v>
      </c>
      <c r="AW26">
        <v>555.20778592904639</v>
      </c>
      <c r="AX26" s="15">
        <v>41839.129074458237</v>
      </c>
      <c r="AY26">
        <v>-4942.3664435331075</v>
      </c>
      <c r="AZ26" s="15">
        <v>15077.906149565102</v>
      </c>
      <c r="BA26">
        <v>-634.91040907655542</v>
      </c>
      <c r="BB26" s="15">
        <v>13762.242454011162</v>
      </c>
      <c r="BC26">
        <v>-57.300051221152785</v>
      </c>
      <c r="BD26" s="15">
        <v>7280.3288642686957</v>
      </c>
      <c r="BE26">
        <v>-272.52010127300127</v>
      </c>
      <c r="BF26" s="15">
        <v>6700.5280188009574</v>
      </c>
      <c r="BG26">
        <v>-138.6370374091866</v>
      </c>
      <c r="BH26" s="15">
        <v>2488.2148220356739</v>
      </c>
      <c r="BI26">
        <v>140.68485909854715</v>
      </c>
    </row>
    <row r="29" spans="1:61" ht="15.75" thickBot="1" x14ac:dyDescent="0.3">
      <c r="B29" s="92" t="s">
        <v>671</v>
      </c>
      <c r="C29" s="93"/>
      <c r="D29" s="93"/>
      <c r="E29" s="93"/>
      <c r="F29" s="93"/>
      <c r="G29" s="31"/>
      <c r="H29" s="31"/>
    </row>
    <row r="30" spans="1:61" ht="37.5" thickBot="1" x14ac:dyDescent="0.3">
      <c r="B30" s="48" t="s">
        <v>672</v>
      </c>
      <c r="C30" s="33" t="s">
        <v>673</v>
      </c>
      <c r="D30" s="74" t="s">
        <v>674</v>
      </c>
      <c r="E30" s="74" t="s">
        <v>675</v>
      </c>
      <c r="F30" s="75" t="s">
        <v>676</v>
      </c>
      <c r="G30" s="31"/>
      <c r="H30" s="31"/>
    </row>
    <row r="31" spans="1:61" x14ac:dyDescent="0.25">
      <c r="B31" s="36">
        <v>1</v>
      </c>
      <c r="C31" s="37" t="s">
        <v>677</v>
      </c>
      <c r="D31" s="38">
        <v>0.78811318873070868</v>
      </c>
      <c r="E31" s="38">
        <v>0.77634169921574803</v>
      </c>
      <c r="F31" s="39">
        <v>140.88724043694231</v>
      </c>
      <c r="G31" s="31"/>
      <c r="H31" s="31"/>
    </row>
    <row r="32" spans="1:61" x14ac:dyDescent="0.25">
      <c r="B32" s="40">
        <v>2</v>
      </c>
      <c r="C32" s="41" t="s">
        <v>678</v>
      </c>
      <c r="D32" s="42">
        <v>0.83977005244015279</v>
      </c>
      <c r="E32" s="42">
        <v>0.82091947037428836</v>
      </c>
      <c r="F32" s="43">
        <v>126.06755707424119</v>
      </c>
      <c r="G32" s="31"/>
      <c r="H32" s="31"/>
    </row>
    <row r="33" spans="2:8" ht="15.75" thickBot="1" x14ac:dyDescent="0.3">
      <c r="B33" s="44">
        <v>3</v>
      </c>
      <c r="C33" s="45" t="s">
        <v>679</v>
      </c>
      <c r="D33" s="46">
        <v>0.88046676554954506</v>
      </c>
      <c r="E33" s="46">
        <v>0.85805428409008477</v>
      </c>
      <c r="F33" s="47">
        <v>112.23809759259395</v>
      </c>
      <c r="G33" s="31"/>
      <c r="H33" s="31"/>
    </row>
    <row r="34" spans="2:8" x14ac:dyDescent="0.25">
      <c r="B34" s="31"/>
      <c r="C34" s="31"/>
      <c r="D34" s="31"/>
      <c r="E34" s="31"/>
      <c r="F34" s="31"/>
      <c r="G34" s="31"/>
      <c r="H34" s="31"/>
    </row>
    <row r="35" spans="2:8" ht="15.75" thickBot="1" x14ac:dyDescent="0.3">
      <c r="B35" s="94" t="s">
        <v>680</v>
      </c>
      <c r="C35" s="95"/>
      <c r="D35" s="95"/>
      <c r="E35" s="95"/>
      <c r="F35" s="95"/>
      <c r="G35" s="95"/>
      <c r="H35" s="95"/>
    </row>
    <row r="36" spans="2:8" ht="25.5" thickBot="1" x14ac:dyDescent="0.3">
      <c r="B36" s="96" t="s">
        <v>672</v>
      </c>
      <c r="C36" s="97"/>
      <c r="D36" s="33" t="s">
        <v>681</v>
      </c>
      <c r="E36" s="74" t="s">
        <v>682</v>
      </c>
      <c r="F36" s="74" t="s">
        <v>683</v>
      </c>
      <c r="G36" s="74" t="s">
        <v>684</v>
      </c>
      <c r="H36" s="75" t="s">
        <v>685</v>
      </c>
    </row>
    <row r="37" spans="2:8" ht="24" x14ac:dyDescent="0.25">
      <c r="B37" s="98">
        <v>1</v>
      </c>
      <c r="C37" s="49" t="s">
        <v>686</v>
      </c>
      <c r="D37" s="50">
        <v>1328925.0886771369</v>
      </c>
      <c r="E37" s="51">
        <v>1</v>
      </c>
      <c r="F37" s="38">
        <v>1328925.0886771369</v>
      </c>
      <c r="G37" s="38">
        <v>66.951016498725949</v>
      </c>
      <c r="H37" s="52" t="s">
        <v>687</v>
      </c>
    </row>
    <row r="38" spans="2:8" x14ac:dyDescent="0.25">
      <c r="B38" s="90"/>
      <c r="C38" s="53" t="s">
        <v>688</v>
      </c>
      <c r="D38" s="54">
        <v>357285.86132286227</v>
      </c>
      <c r="E38" s="55">
        <v>18</v>
      </c>
      <c r="F38" s="42">
        <v>19849.214517936794</v>
      </c>
      <c r="G38" s="56"/>
      <c r="H38" s="57"/>
    </row>
    <row r="39" spans="2:8" x14ac:dyDescent="0.25">
      <c r="B39" s="99"/>
      <c r="C39" s="58" t="s">
        <v>689</v>
      </c>
      <c r="D39" s="59">
        <v>1686210.9499999993</v>
      </c>
      <c r="E39" s="60">
        <v>19</v>
      </c>
      <c r="F39" s="61"/>
      <c r="G39" s="61"/>
      <c r="H39" s="62"/>
    </row>
    <row r="40" spans="2:8" ht="24" x14ac:dyDescent="0.25">
      <c r="B40" s="100">
        <v>2</v>
      </c>
      <c r="C40" s="63" t="s">
        <v>686</v>
      </c>
      <c r="D40" s="64">
        <v>1416029.4579066592</v>
      </c>
      <c r="E40" s="65">
        <v>2</v>
      </c>
      <c r="F40" s="66">
        <v>708014.72895332961</v>
      </c>
      <c r="G40" s="66">
        <v>44.548759794576981</v>
      </c>
      <c r="H40" s="67" t="s">
        <v>690</v>
      </c>
    </row>
    <row r="41" spans="2:8" x14ac:dyDescent="0.25">
      <c r="B41" s="90"/>
      <c r="C41" s="53" t="s">
        <v>688</v>
      </c>
      <c r="D41" s="54">
        <v>270181.49209334003</v>
      </c>
      <c r="E41" s="55">
        <v>17</v>
      </c>
      <c r="F41" s="42">
        <v>15893.02894666706</v>
      </c>
      <c r="G41" s="56"/>
      <c r="H41" s="57"/>
    </row>
    <row r="42" spans="2:8" x14ac:dyDescent="0.25">
      <c r="B42" s="99"/>
      <c r="C42" s="58" t="s">
        <v>689</v>
      </c>
      <c r="D42" s="59">
        <v>1686210.9499999993</v>
      </c>
      <c r="E42" s="60">
        <v>19</v>
      </c>
      <c r="F42" s="61"/>
      <c r="G42" s="61"/>
      <c r="H42" s="62"/>
    </row>
    <row r="43" spans="2:8" ht="24.75" thickBot="1" x14ac:dyDescent="0.3">
      <c r="B43" s="89">
        <v>3</v>
      </c>
      <c r="C43" s="63" t="s">
        <v>686</v>
      </c>
      <c r="D43" s="64">
        <v>1484652.7011807249</v>
      </c>
      <c r="E43" s="65">
        <v>3</v>
      </c>
      <c r="F43" s="66">
        <v>494884.23372690828</v>
      </c>
      <c r="G43" s="66">
        <v>39.284662304891754</v>
      </c>
      <c r="H43" s="67" t="s">
        <v>691</v>
      </c>
    </row>
    <row r="44" spans="2:8" x14ac:dyDescent="0.25">
      <c r="B44" s="90"/>
      <c r="C44" s="53" t="s">
        <v>688</v>
      </c>
      <c r="D44" s="54">
        <v>201558.24881927427</v>
      </c>
      <c r="E44" s="55">
        <v>16</v>
      </c>
      <c r="F44" s="42">
        <v>12597.390551204642</v>
      </c>
      <c r="G44" s="56"/>
      <c r="H44" s="57"/>
    </row>
    <row r="45" spans="2:8" ht="15.75" thickBot="1" x14ac:dyDescent="0.3">
      <c r="B45" s="91"/>
      <c r="C45" s="68" t="s">
        <v>689</v>
      </c>
      <c r="D45" s="69">
        <v>1686210.9499999993</v>
      </c>
      <c r="E45" s="70">
        <v>19</v>
      </c>
      <c r="F45" s="71"/>
      <c r="G45" s="71"/>
      <c r="H45" s="72"/>
    </row>
    <row r="46" spans="2:8" x14ac:dyDescent="0.25">
      <c r="B46" s="31"/>
      <c r="C46" s="31"/>
      <c r="D46" s="31"/>
      <c r="E46" s="31"/>
      <c r="F46" s="31"/>
      <c r="G46" s="31"/>
      <c r="H46" s="31"/>
    </row>
    <row r="47" spans="2:8" ht="15.75" thickBot="1" x14ac:dyDescent="0.3">
      <c r="B47" s="94" t="s">
        <v>692</v>
      </c>
      <c r="C47" s="95"/>
      <c r="D47" s="95"/>
      <c r="E47" s="95"/>
      <c r="F47" s="95"/>
      <c r="G47" s="95"/>
      <c r="H47" s="95"/>
    </row>
    <row r="48" spans="2:8" ht="25.5" thickBot="1" x14ac:dyDescent="0.3">
      <c r="B48" s="96" t="s">
        <v>672</v>
      </c>
      <c r="C48" s="101"/>
      <c r="D48" s="103" t="s">
        <v>693</v>
      </c>
      <c r="E48" s="104"/>
      <c r="F48" s="73" t="s">
        <v>694</v>
      </c>
      <c r="G48" s="105" t="s">
        <v>695</v>
      </c>
      <c r="H48" s="107" t="s">
        <v>685</v>
      </c>
    </row>
    <row r="49" spans="2:8" ht="15.75" thickBot="1" x14ac:dyDescent="0.3">
      <c r="B49" s="91"/>
      <c r="C49" s="102"/>
      <c r="D49" s="76" t="s">
        <v>696</v>
      </c>
      <c r="E49" s="77" t="s">
        <v>697</v>
      </c>
      <c r="F49" s="77" t="s">
        <v>698</v>
      </c>
      <c r="G49" s="106"/>
      <c r="H49" s="108"/>
    </row>
    <row r="50" spans="2:8" ht="24" x14ac:dyDescent="0.25">
      <c r="B50" s="98">
        <v>1</v>
      </c>
      <c r="C50" s="49" t="s">
        <v>699</v>
      </c>
      <c r="D50" s="50">
        <v>48.09187982264757</v>
      </c>
      <c r="E50" s="38">
        <v>282.89584307495943</v>
      </c>
      <c r="F50" s="78"/>
      <c r="G50" s="38">
        <v>0.1699985383309594</v>
      </c>
      <c r="H50" s="39">
        <v>0.86690737609875534</v>
      </c>
    </row>
    <row r="51" spans="2:8" x14ac:dyDescent="0.25">
      <c r="B51" s="99"/>
      <c r="C51" s="58" t="s">
        <v>700</v>
      </c>
      <c r="D51" s="59">
        <v>1.0058346354489907</v>
      </c>
      <c r="E51" s="79">
        <v>0.12292720259985727</v>
      </c>
      <c r="F51" s="79">
        <v>0.88775739294624223</v>
      </c>
      <c r="G51" s="79">
        <v>8.1823600812189845</v>
      </c>
      <c r="H51" s="80">
        <v>1.7751863639424835E-7</v>
      </c>
    </row>
    <row r="52" spans="2:8" ht="24" x14ac:dyDescent="0.25">
      <c r="B52" s="100">
        <v>2</v>
      </c>
      <c r="C52" s="63" t="s">
        <v>699</v>
      </c>
      <c r="D52" s="64">
        <v>1748.7900777413777</v>
      </c>
      <c r="E52" s="66">
        <v>769.29877128286353</v>
      </c>
      <c r="F52" s="81"/>
      <c r="G52" s="66">
        <v>2.2732261418085185</v>
      </c>
      <c r="H52" s="82">
        <v>3.6271282454527737E-2</v>
      </c>
    </row>
    <row r="53" spans="2:8" x14ac:dyDescent="0.25">
      <c r="B53" s="90"/>
      <c r="C53" s="53" t="s">
        <v>700</v>
      </c>
      <c r="D53" s="54">
        <v>0.84906405909572913</v>
      </c>
      <c r="E53" s="42">
        <v>0.12877727749306525</v>
      </c>
      <c r="F53" s="42">
        <v>0.7493904753147711</v>
      </c>
      <c r="G53" s="42">
        <v>6.5932754257943671</v>
      </c>
      <c r="H53" s="43">
        <v>4.5613384972767071E-6</v>
      </c>
    </row>
    <row r="54" spans="2:8" x14ac:dyDescent="0.25">
      <c r="B54" s="99"/>
      <c r="C54" s="58" t="s">
        <v>701</v>
      </c>
      <c r="D54" s="59">
        <v>1.9728217876951073</v>
      </c>
      <c r="E54" s="79">
        <v>0.84269656319176911</v>
      </c>
      <c r="F54" s="79">
        <v>0.26608695496825552</v>
      </c>
      <c r="G54" s="79">
        <v>2.3410820381453958</v>
      </c>
      <c r="H54" s="80">
        <v>3.1672190909154352E-2</v>
      </c>
    </row>
    <row r="55" spans="2:8" ht="24.75" thickBot="1" x14ac:dyDescent="0.3">
      <c r="B55" s="89">
        <v>3</v>
      </c>
      <c r="C55" s="63" t="s">
        <v>699</v>
      </c>
      <c r="D55" s="64">
        <v>493.48265412138699</v>
      </c>
      <c r="E55" s="66">
        <v>870.84588021904051</v>
      </c>
      <c r="F55" s="81"/>
      <c r="G55" s="66">
        <v>0.56667048134540543</v>
      </c>
      <c r="H55" s="82">
        <v>0.57880139604221281</v>
      </c>
    </row>
    <row r="56" spans="2:8" x14ac:dyDescent="0.25">
      <c r="B56" s="90"/>
      <c r="C56" s="53" t="s">
        <v>700</v>
      </c>
      <c r="D56" s="54">
        <v>0.77025046041402312</v>
      </c>
      <c r="E56" s="42">
        <v>0.11952000865597145</v>
      </c>
      <c r="F56" s="42">
        <v>0.67982898634978794</v>
      </c>
      <c r="G56" s="42">
        <v>6.4445314979111652</v>
      </c>
      <c r="H56" s="43">
        <v>8.1031944646231715E-6</v>
      </c>
    </row>
    <row r="57" spans="2:8" x14ac:dyDescent="0.25">
      <c r="B57" s="90"/>
      <c r="C57" s="53" t="s">
        <v>701</v>
      </c>
      <c r="D57" s="54">
        <v>3.6374137602183558</v>
      </c>
      <c r="E57" s="42">
        <v>1.035151011053449</v>
      </c>
      <c r="F57" s="42">
        <v>0.49060100484135327</v>
      </c>
      <c r="G57" s="42">
        <v>3.5138967371694347</v>
      </c>
      <c r="H57" s="43">
        <v>2.8778258468570871E-3</v>
      </c>
    </row>
    <row r="58" spans="2:8" ht="15.75" thickBot="1" x14ac:dyDescent="0.3">
      <c r="B58" s="91"/>
      <c r="C58" s="68" t="s">
        <v>702</v>
      </c>
      <c r="D58" s="69">
        <v>14.726317888456348</v>
      </c>
      <c r="E58" s="46">
        <v>6.3095567093819511</v>
      </c>
      <c r="F58" s="46">
        <v>0.28231124649866346</v>
      </c>
      <c r="G58" s="46">
        <v>2.3339702877318076</v>
      </c>
      <c r="H58" s="47">
        <v>3.2963718705599859E-2</v>
      </c>
    </row>
    <row r="59" spans="2:8" x14ac:dyDescent="0.25">
      <c r="B59" s="31"/>
      <c r="C59" s="31"/>
      <c r="D59" s="31"/>
      <c r="E59" s="31"/>
      <c r="F59" s="31"/>
      <c r="G59" s="31"/>
      <c r="H59" s="31"/>
    </row>
  </sheetData>
  <mergeCells count="14">
    <mergeCell ref="B52:B54"/>
    <mergeCell ref="B55:B58"/>
    <mergeCell ref="B47:H47"/>
    <mergeCell ref="B48:C49"/>
    <mergeCell ref="D48:E48"/>
    <mergeCell ref="G48:G49"/>
    <mergeCell ref="H48:H49"/>
    <mergeCell ref="B50:B51"/>
    <mergeCell ref="B43:B45"/>
    <mergeCell ref="B29:F29"/>
    <mergeCell ref="B35:H35"/>
    <mergeCell ref="B36:C36"/>
    <mergeCell ref="B37:B39"/>
    <mergeCell ref="B40:B4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4"/>
  <sheetViews>
    <sheetView topLeftCell="A34" workbookViewId="0">
      <selection activeCell="B24" sqref="B24:H54"/>
    </sheetView>
  </sheetViews>
  <sheetFormatPr defaultRowHeight="15" x14ac:dyDescent="0.25"/>
  <cols>
    <col min="1" max="1" width="9.140625" style="8"/>
  </cols>
  <sheetData>
    <row r="1" spans="1:58" x14ac:dyDescent="0.25">
      <c r="A1" s="8" t="s">
        <v>303</v>
      </c>
      <c r="B1" t="s">
        <v>32</v>
      </c>
      <c r="C1" t="s">
        <v>41</v>
      </c>
      <c r="D1" t="s">
        <v>42</v>
      </c>
      <c r="E1" t="s">
        <v>73</v>
      </c>
      <c r="F1" t="s">
        <v>74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101</v>
      </c>
      <c r="R1" t="s">
        <v>102</v>
      </c>
      <c r="S1" t="s">
        <v>111</v>
      </c>
      <c r="T1" t="s">
        <v>112</v>
      </c>
      <c r="U1" t="s">
        <v>121</v>
      </c>
      <c r="V1" t="s">
        <v>122</v>
      </c>
      <c r="W1" t="s">
        <v>131</v>
      </c>
      <c r="X1" t="s">
        <v>132</v>
      </c>
      <c r="Y1" t="s">
        <v>141</v>
      </c>
      <c r="Z1" t="s">
        <v>142</v>
      </c>
      <c r="AA1" t="s">
        <v>151</v>
      </c>
      <c r="AB1" t="s">
        <v>152</v>
      </c>
      <c r="AC1" t="s">
        <v>161</v>
      </c>
      <c r="AD1" t="s">
        <v>162</v>
      </c>
      <c r="AE1" t="s">
        <v>171</v>
      </c>
      <c r="AF1" t="s">
        <v>172</v>
      </c>
      <c r="AG1" t="s">
        <v>181</v>
      </c>
      <c r="AH1" t="s">
        <v>182</v>
      </c>
      <c r="AI1" t="s">
        <v>191</v>
      </c>
      <c r="AJ1" t="s">
        <v>192</v>
      </c>
      <c r="AK1" t="s">
        <v>201</v>
      </c>
      <c r="AL1" t="s">
        <v>202</v>
      </c>
      <c r="AM1" t="s">
        <v>211</v>
      </c>
      <c r="AN1" t="s">
        <v>212</v>
      </c>
      <c r="AO1" t="s">
        <v>221</v>
      </c>
      <c r="AP1" t="s">
        <v>222</v>
      </c>
      <c r="AQ1" t="s">
        <v>231</v>
      </c>
      <c r="AR1" t="s">
        <v>232</v>
      </c>
      <c r="AS1" t="s">
        <v>241</v>
      </c>
      <c r="AT1" t="s">
        <v>242</v>
      </c>
      <c r="AU1" t="s">
        <v>251</v>
      </c>
      <c r="AV1" t="s">
        <v>252</v>
      </c>
      <c r="AW1" t="s">
        <v>261</v>
      </c>
      <c r="AX1" t="s">
        <v>262</v>
      </c>
      <c r="AY1" t="s">
        <v>271</v>
      </c>
      <c r="AZ1" t="s">
        <v>272</v>
      </c>
      <c r="BA1" t="s">
        <v>281</v>
      </c>
      <c r="BB1" t="s">
        <v>282</v>
      </c>
      <c r="BC1" t="s">
        <v>291</v>
      </c>
      <c r="BD1" t="s">
        <v>292</v>
      </c>
      <c r="BE1" t="s">
        <v>301</v>
      </c>
      <c r="BF1" t="s">
        <v>302</v>
      </c>
    </row>
    <row r="2" spans="1:58" x14ac:dyDescent="0.25">
      <c r="A2" s="1">
        <v>1964</v>
      </c>
      <c r="B2">
        <v>1</v>
      </c>
      <c r="C2" s="15">
        <v>186.31904761904764</v>
      </c>
      <c r="D2">
        <v>-7.9874518994550492</v>
      </c>
      <c r="E2" s="15">
        <v>649.9</v>
      </c>
      <c r="F2">
        <v>-115.91424709896233</v>
      </c>
      <c r="G2" s="15">
        <v>274.58853615520286</v>
      </c>
      <c r="H2">
        <v>74.234902709459632</v>
      </c>
      <c r="I2" s="15">
        <v>1487.1443042756569</v>
      </c>
      <c r="J2">
        <v>-125.13342442131895</v>
      </c>
      <c r="K2" s="15">
        <v>778.80661631296971</v>
      </c>
      <c r="L2">
        <v>-86.421882084515531</v>
      </c>
      <c r="M2" s="15">
        <v>226.93633949993139</v>
      </c>
      <c r="N2">
        <v>-1.5820060221497518</v>
      </c>
      <c r="O2" s="15">
        <v>262.26096573326402</v>
      </c>
      <c r="P2">
        <v>-0.80383940451480673</v>
      </c>
      <c r="Q2" s="15">
        <v>6071.6863605442168</v>
      </c>
      <c r="R2">
        <v>-742.29491237484012</v>
      </c>
      <c r="S2" s="15">
        <v>2579.2057968002018</v>
      </c>
      <c r="T2">
        <v>413.37716017614406</v>
      </c>
      <c r="U2" s="15">
        <v>13793.05579880388</v>
      </c>
      <c r="V2">
        <v>-1783.6991507150906</v>
      </c>
      <c r="W2" s="15">
        <v>7186.3809775833515</v>
      </c>
      <c r="X2">
        <v>-965.08023295363341</v>
      </c>
      <c r="Y2" s="15">
        <v>2118.2883916722731</v>
      </c>
      <c r="Z2">
        <v>-156.91766808945638</v>
      </c>
      <c r="AA2" s="15">
        <v>2432.3832072986752</v>
      </c>
      <c r="AB2">
        <v>-121.57531925805104</v>
      </c>
      <c r="AC2" s="15">
        <v>9013.5172700932235</v>
      </c>
      <c r="AD2">
        <v>1965.8745267559439</v>
      </c>
      <c r="AE2" s="15">
        <v>48173.564224941438</v>
      </c>
      <c r="AF2">
        <v>-6953.7265599225493</v>
      </c>
      <c r="AG2" s="15">
        <v>25108.777561559295</v>
      </c>
      <c r="AH2">
        <v>-3536.5354484676745</v>
      </c>
      <c r="AI2" s="15">
        <v>7431.5875706092729</v>
      </c>
      <c r="AJ2">
        <v>-173.05795391276737</v>
      </c>
      <c r="AK2" s="15">
        <v>8521.2177021784573</v>
      </c>
      <c r="AL2">
        <v>-139.46399046724491</v>
      </c>
      <c r="AM2" s="15">
        <v>20282.628421441932</v>
      </c>
      <c r="AN2">
        <v>3218.3253687086667</v>
      </c>
      <c r="AO2" s="15">
        <v>10418.02100116954</v>
      </c>
      <c r="AP2">
        <v>452.7905384813788</v>
      </c>
      <c r="AQ2" s="15">
        <v>3190.3419693606279</v>
      </c>
      <c r="AR2">
        <v>423.17196417778354</v>
      </c>
      <c r="AS2" s="15">
        <v>3579.0042506671816</v>
      </c>
      <c r="AT2">
        <v>390.76319098532298</v>
      </c>
      <c r="AU2" s="15">
        <v>58804.496528285192</v>
      </c>
      <c r="AV2">
        <v>-8500.8643494594762</v>
      </c>
      <c r="AW2" s="15">
        <v>16923.492831196574</v>
      </c>
      <c r="AX2">
        <v>-1188.0107464103812</v>
      </c>
      <c r="AY2" s="15">
        <v>19672.698235692587</v>
      </c>
      <c r="AZ2">
        <v>-729.64022305329354</v>
      </c>
      <c r="BA2" s="15">
        <v>8904.44110504114</v>
      </c>
      <c r="BB2">
        <v>-1017.1224587433964</v>
      </c>
      <c r="BC2" s="15">
        <v>10813.71119362643</v>
      </c>
      <c r="BD2">
        <v>-833.69954255678249</v>
      </c>
      <c r="BE2" s="15">
        <v>3047.0390067888998</v>
      </c>
      <c r="BF2">
        <v>-80.258890580894672</v>
      </c>
    </row>
    <row r="3" spans="1:58" x14ac:dyDescent="0.25">
      <c r="A3" s="1">
        <v>2053</v>
      </c>
      <c r="B3">
        <v>2</v>
      </c>
      <c r="C3" s="15">
        <v>177.92142857142858</v>
      </c>
      <c r="D3">
        <v>-7.7318442382889181</v>
      </c>
      <c r="E3" s="15">
        <v>655.11801587301591</v>
      </c>
      <c r="F3">
        <v>-119.66839721479823</v>
      </c>
      <c r="G3" s="15">
        <v>271.42301587301591</v>
      </c>
      <c r="H3">
        <v>76.056364863992897</v>
      </c>
      <c r="I3" s="15">
        <v>1454.9591669622537</v>
      </c>
      <c r="J3">
        <v>-126.90492112837723</v>
      </c>
      <c r="K3" s="15">
        <v>669.97241757759082</v>
      </c>
      <c r="L3">
        <v>-51.090902577876449</v>
      </c>
      <c r="M3" s="15">
        <v>368.84147323082846</v>
      </c>
      <c r="N3">
        <v>-21.59923088434601</v>
      </c>
      <c r="O3" s="15">
        <v>188.49620048329723</v>
      </c>
      <c r="P3">
        <v>5.0573664031122902</v>
      </c>
      <c r="Q3" s="15">
        <v>5836.6994274376411</v>
      </c>
      <c r="R3">
        <v>-731.72670537231033</v>
      </c>
      <c r="S3" s="15">
        <v>2442.8820124716544</v>
      </c>
      <c r="T3">
        <v>421.01172370590655</v>
      </c>
      <c r="U3" s="15">
        <v>12875.437183579525</v>
      </c>
      <c r="V3">
        <v>-1842.9548305270271</v>
      </c>
      <c r="W3" s="15">
        <v>5943.5035392553227</v>
      </c>
      <c r="X3">
        <v>-721.8112505476081</v>
      </c>
      <c r="Y3" s="15">
        <v>3291.7330066009854</v>
      </c>
      <c r="Z3">
        <v>-422.56293096134641</v>
      </c>
      <c r="AA3" s="15">
        <v>1661.8154803590476</v>
      </c>
      <c r="AB3">
        <v>-78.832650043952455</v>
      </c>
      <c r="AC3" s="15">
        <v>8949.4981933736453</v>
      </c>
      <c r="AD3">
        <v>2054.8146791423305</v>
      </c>
      <c r="AE3" s="15">
        <v>47581.351487793196</v>
      </c>
      <c r="AF3">
        <v>-6926.3097073134113</v>
      </c>
      <c r="AG3" s="15">
        <v>21773.78730078644</v>
      </c>
      <c r="AH3">
        <v>-2264.7923998776109</v>
      </c>
      <c r="AI3" s="15">
        <v>11986.962616976423</v>
      </c>
      <c r="AJ3">
        <v>-921.5036371455127</v>
      </c>
      <c r="AK3" s="15">
        <v>6122.778910279616</v>
      </c>
      <c r="AL3">
        <v>102.86551745048038</v>
      </c>
      <c r="AM3" s="15">
        <v>19736.258426257511</v>
      </c>
      <c r="AN3">
        <v>3476.2935880590576</v>
      </c>
      <c r="AO3" s="15">
        <v>8933.2669504500063</v>
      </c>
      <c r="AP3">
        <v>747.08804976016393</v>
      </c>
      <c r="AQ3" s="15">
        <v>4916.4753038843492</v>
      </c>
      <c r="AR3">
        <v>439.25524282793623</v>
      </c>
      <c r="AS3" s="15">
        <v>2535.9468508294358</v>
      </c>
      <c r="AT3">
        <v>388.60398652966728</v>
      </c>
      <c r="AU3" s="15">
        <v>49414.896315356513</v>
      </c>
      <c r="AV3">
        <v>-4928.2321751900572</v>
      </c>
      <c r="AW3" s="15">
        <v>27278.697358465877</v>
      </c>
      <c r="AX3">
        <v>-2348.544180698093</v>
      </c>
      <c r="AY3" s="15">
        <v>14007.772531365747</v>
      </c>
      <c r="AZ3">
        <v>-136.790275960739</v>
      </c>
      <c r="BA3" s="15">
        <v>13795.640001361824</v>
      </c>
      <c r="BB3">
        <v>-1534.6665258156995</v>
      </c>
      <c r="BC3" s="15">
        <v>6728.2496345527734</v>
      </c>
      <c r="BD3">
        <v>-38.176049135763868</v>
      </c>
      <c r="BE3" s="15">
        <v>3353.9600160204814</v>
      </c>
      <c r="BF3">
        <v>18.403945028131712</v>
      </c>
    </row>
    <row r="4" spans="1:58" x14ac:dyDescent="0.25">
      <c r="A4" s="1">
        <v>2211</v>
      </c>
      <c r="B4">
        <v>3</v>
      </c>
      <c r="C4" s="15">
        <v>163.52678571428575</v>
      </c>
      <c r="D4">
        <v>-8.4360446492784469</v>
      </c>
      <c r="E4" s="15">
        <v>643.24539682539682</v>
      </c>
      <c r="F4">
        <v>-114.67614071466087</v>
      </c>
      <c r="G4" s="15">
        <v>274.09140211640209</v>
      </c>
      <c r="H4">
        <v>79.627542840351026</v>
      </c>
      <c r="I4" s="15">
        <v>1478.2350263630447</v>
      </c>
      <c r="J4">
        <v>-119.31074776147909</v>
      </c>
      <c r="K4" s="15">
        <v>789.96039483345385</v>
      </c>
      <c r="L4">
        <v>-73.067205707107888</v>
      </c>
      <c r="M4" s="15">
        <v>165.86595069235415</v>
      </c>
      <c r="N4">
        <v>3.7766194551184542</v>
      </c>
      <c r="O4" s="15">
        <v>174.62958481173374</v>
      </c>
      <c r="P4">
        <v>3.4537318785884663</v>
      </c>
      <c r="Q4" s="15">
        <v>5245.0839943310666</v>
      </c>
      <c r="R4">
        <v>-682.42041341113998</v>
      </c>
      <c r="S4" s="15">
        <v>2231.5679119425545</v>
      </c>
      <c r="T4">
        <v>393.21032089182512</v>
      </c>
      <c r="U4" s="15">
        <v>12039.020305512928</v>
      </c>
      <c r="V4">
        <v>-1703.6598815573382</v>
      </c>
      <c r="W4" s="15">
        <v>6393.0882350041975</v>
      </c>
      <c r="X4">
        <v>-769.38870703942337</v>
      </c>
      <c r="Y4" s="15">
        <v>1360.9418624657226</v>
      </c>
      <c r="Z4">
        <v>-116.97060741668955</v>
      </c>
      <c r="AA4" s="15">
        <v>1445.3394390648048</v>
      </c>
      <c r="AB4">
        <v>-78.397666262570255</v>
      </c>
      <c r="AC4" s="15">
        <v>8895.6648326614595</v>
      </c>
      <c r="AD4">
        <v>2180.2728146203449</v>
      </c>
      <c r="AE4" s="15">
        <v>47677.398214715322</v>
      </c>
      <c r="AF4">
        <v>-6666.2670554291235</v>
      </c>
      <c r="AG4" s="15">
        <v>25452.559605974675</v>
      </c>
      <c r="AH4">
        <v>-2938.1252699496308</v>
      </c>
      <c r="AI4" s="15">
        <v>5375.7905707206419</v>
      </c>
      <c r="AJ4">
        <v>109.18357626376313</v>
      </c>
      <c r="AK4" s="15">
        <v>5614.6444494119251</v>
      </c>
      <c r="AL4">
        <v>100.39340331638199</v>
      </c>
      <c r="AM4" s="15">
        <v>20410.194557756375</v>
      </c>
      <c r="AN4">
        <v>3591.4274994640323</v>
      </c>
      <c r="AO4" s="15">
        <v>10831.217164290441</v>
      </c>
      <c r="AP4">
        <v>632.10811681383484</v>
      </c>
      <c r="AQ4" s="15">
        <v>2452.282141571221</v>
      </c>
      <c r="AR4">
        <v>468.77944470326798</v>
      </c>
      <c r="AS4" s="15">
        <v>2531.0518784440223</v>
      </c>
      <c r="AT4">
        <v>409.2268627502973</v>
      </c>
      <c r="AU4" s="15">
        <v>60354.229524334864</v>
      </c>
      <c r="AV4">
        <v>-6631.2201977053201</v>
      </c>
      <c r="AW4" s="15">
        <v>12578.506134127716</v>
      </c>
      <c r="AX4">
        <v>-567.55236438925613</v>
      </c>
      <c r="AY4" s="15">
        <v>13215.372799470397</v>
      </c>
      <c r="AZ4">
        <v>-38.663020067090798</v>
      </c>
      <c r="BA4" s="15">
        <v>6643.2661477615566</v>
      </c>
      <c r="BB4">
        <v>-535.57225887072514</v>
      </c>
      <c r="BC4" s="15">
        <v>7128.7290835889553</v>
      </c>
      <c r="BD4">
        <v>-325.65717924199123</v>
      </c>
      <c r="BE4" s="15">
        <v>1782.793044324246</v>
      </c>
      <c r="BF4">
        <v>26.404139648791297</v>
      </c>
    </row>
    <row r="5" spans="1:58" x14ac:dyDescent="0.25">
      <c r="A5" s="1">
        <v>1862</v>
      </c>
      <c r="B5">
        <v>4</v>
      </c>
      <c r="C5" s="15">
        <v>178.16964285714286</v>
      </c>
      <c r="D5">
        <v>-7.1628488978821281</v>
      </c>
      <c r="E5" s="15">
        <v>658.47619047619048</v>
      </c>
      <c r="F5">
        <v>-115.35861535962324</v>
      </c>
      <c r="G5" s="15">
        <v>234.75555555555556</v>
      </c>
      <c r="H5">
        <v>62.744189540660969</v>
      </c>
      <c r="I5" s="15">
        <v>1626.5078037574244</v>
      </c>
      <c r="J5">
        <v>-169.12278310678275</v>
      </c>
      <c r="K5" s="15">
        <v>734.77154880804073</v>
      </c>
      <c r="L5">
        <v>-99.256403121951593</v>
      </c>
      <c r="M5" s="15">
        <v>251.3696430953504</v>
      </c>
      <c r="N5">
        <v>-2.0930171642424771</v>
      </c>
      <c r="O5" s="15">
        <v>232.68999104706384</v>
      </c>
      <c r="P5">
        <v>-1.3845647453531222</v>
      </c>
      <c r="Q5" s="15">
        <v>5868.7832057823143</v>
      </c>
      <c r="R5">
        <v>-705.89381794476071</v>
      </c>
      <c r="S5" s="15">
        <v>2085.6888888888884</v>
      </c>
      <c r="T5">
        <v>345.55305311570777</v>
      </c>
      <c r="U5" s="15">
        <v>14486.398487253504</v>
      </c>
      <c r="V5">
        <v>-2056.1972580682295</v>
      </c>
      <c r="W5" s="15">
        <v>6436.1248126854907</v>
      </c>
      <c r="X5">
        <v>-923.62014961467844</v>
      </c>
      <c r="Y5" s="15">
        <v>2238.5049033659957</v>
      </c>
      <c r="Z5">
        <v>-153.44764558594076</v>
      </c>
      <c r="AA5" s="15">
        <v>2048.0639236808242</v>
      </c>
      <c r="AB5">
        <v>-98.527091091557963</v>
      </c>
      <c r="AC5" s="15">
        <v>7841.0165910808764</v>
      </c>
      <c r="AD5">
        <v>1721.5471782522641</v>
      </c>
      <c r="AE5" s="15">
        <v>53110.052847137718</v>
      </c>
      <c r="AF5">
        <v>-8440.8298883675689</v>
      </c>
      <c r="AG5" s="15">
        <v>23757.175689638072</v>
      </c>
      <c r="AH5">
        <v>-3686.2006889418535</v>
      </c>
      <c r="AI5" s="15">
        <v>8324.7884875682812</v>
      </c>
      <c r="AJ5">
        <v>-151.67979567412186</v>
      </c>
      <c r="AK5" s="15">
        <v>7656.8463195247386</v>
      </c>
      <c r="AL5">
        <v>-87.219826589041276</v>
      </c>
      <c r="AM5" s="15">
        <v>18643.020454617097</v>
      </c>
      <c r="AN5">
        <v>2616.8369463038994</v>
      </c>
      <c r="AO5" s="15">
        <v>8523.8039048679657</v>
      </c>
      <c r="AP5">
        <v>171.48101192201887</v>
      </c>
      <c r="AQ5" s="15">
        <v>2985.5446835444036</v>
      </c>
      <c r="AR5">
        <v>397.70411360949475</v>
      </c>
      <c r="AS5" s="15">
        <v>2776.3209783332481</v>
      </c>
      <c r="AT5">
        <v>302.99981440803543</v>
      </c>
      <c r="AU5" s="15">
        <v>60343.704576147778</v>
      </c>
      <c r="AV5">
        <v>-10988.141082128324</v>
      </c>
      <c r="AW5" s="15">
        <v>20606.40757727138</v>
      </c>
      <c r="AX5">
        <v>-1970.9787210035581</v>
      </c>
      <c r="AY5" s="15">
        <v>18822.24332285624</v>
      </c>
      <c r="AZ5">
        <v>-973.76381158880645</v>
      </c>
      <c r="BA5" s="15">
        <v>9175.4888777689866</v>
      </c>
      <c r="BB5">
        <v>-1175.1581895715631</v>
      </c>
      <c r="BC5" s="15">
        <v>9649.450191570786</v>
      </c>
      <c r="BD5">
        <v>-1135.8605769256146</v>
      </c>
      <c r="BE5" s="15">
        <v>2948.5792125720263</v>
      </c>
      <c r="BF5">
        <v>-53.517163097403696</v>
      </c>
    </row>
    <row r="6" spans="1:58" x14ac:dyDescent="0.25">
      <c r="A6" s="1">
        <v>2355</v>
      </c>
      <c r="B6">
        <v>5</v>
      </c>
      <c r="C6" s="15">
        <v>171.48035714285714</v>
      </c>
      <c r="D6">
        <v>-7.829513646767321</v>
      </c>
      <c r="E6" s="15">
        <v>636.18095238095236</v>
      </c>
      <c r="F6">
        <v>-111.66884849567154</v>
      </c>
      <c r="G6" s="15">
        <v>279.79365079365078</v>
      </c>
      <c r="H6">
        <v>80.925319293873315</v>
      </c>
      <c r="I6" s="15">
        <v>1561.8468126417952</v>
      </c>
      <c r="J6">
        <v>-131.93035209098159</v>
      </c>
      <c r="K6" s="15">
        <v>579.90951432894815</v>
      </c>
      <c r="L6">
        <v>-50.574608059241086</v>
      </c>
      <c r="M6" s="15">
        <v>228.2383793534496</v>
      </c>
      <c r="N6">
        <v>2.8763155265992353</v>
      </c>
      <c r="O6" s="15">
        <v>193.52261570318075</v>
      </c>
      <c r="P6">
        <v>3.3093423869596723</v>
      </c>
      <c r="Q6" s="15">
        <v>5449.7631972789113</v>
      </c>
      <c r="R6">
        <v>-679.95037850555502</v>
      </c>
      <c r="S6" s="15">
        <v>2395.5927069161003</v>
      </c>
      <c r="T6">
        <v>450.61676085055706</v>
      </c>
      <c r="U6" s="15">
        <v>13378.173341155032</v>
      </c>
      <c r="V6">
        <v>-1949.8785246235404</v>
      </c>
      <c r="W6" s="15">
        <v>4970.7316274709337</v>
      </c>
      <c r="X6">
        <v>-561.15824726694245</v>
      </c>
      <c r="Y6" s="15">
        <v>1955.7641902869566</v>
      </c>
      <c r="Z6">
        <v>-137.08082973816744</v>
      </c>
      <c r="AA6" s="15">
        <v>1660.4331898196035</v>
      </c>
      <c r="AB6">
        <v>-61.060257670958535</v>
      </c>
      <c r="AC6" s="15">
        <v>8991.5282615268334</v>
      </c>
      <c r="AD6">
        <v>2179.224558538855</v>
      </c>
      <c r="AE6" s="15">
        <v>49493.230722354856</v>
      </c>
      <c r="AF6">
        <v>-6739.6842284556105</v>
      </c>
      <c r="AG6" s="15">
        <v>18393.623686813033</v>
      </c>
      <c r="AH6">
        <v>-1960.8818936608666</v>
      </c>
      <c r="AI6" s="15">
        <v>7325.4039086147868</v>
      </c>
      <c r="AJ6">
        <v>27.771507511592695</v>
      </c>
      <c r="AK6" s="15">
        <v>6199.7568830772207</v>
      </c>
      <c r="AL6">
        <v>76.428545860146571</v>
      </c>
      <c r="AM6" s="15">
        <v>21797.436941608405</v>
      </c>
      <c r="AN6">
        <v>3946.7648040417389</v>
      </c>
      <c r="AO6" s="15">
        <v>8151.2521016380706</v>
      </c>
      <c r="AP6">
        <v>470.40089118198898</v>
      </c>
      <c r="AQ6" s="15">
        <v>3296.4393996632057</v>
      </c>
      <c r="AR6">
        <v>541.30665589730506</v>
      </c>
      <c r="AS6" s="15">
        <v>2774.906143070355</v>
      </c>
      <c r="AT6">
        <v>353.95485149883524</v>
      </c>
      <c r="AU6" s="15">
        <v>45412.001713756799</v>
      </c>
      <c r="AV6">
        <v>-5488.3287108602381</v>
      </c>
      <c r="AW6" s="15">
        <v>17952.364235751058</v>
      </c>
      <c r="AX6">
        <v>-936.10794745294061</v>
      </c>
      <c r="AY6" s="15">
        <v>15039.460441713694</v>
      </c>
      <c r="AZ6">
        <v>-217.90420244097518</v>
      </c>
      <c r="BA6" s="15">
        <v>6647.0327477849742</v>
      </c>
      <c r="BB6">
        <v>-404.49859651123313</v>
      </c>
      <c r="BC6" s="15">
        <v>5760.596604938175</v>
      </c>
      <c r="BD6">
        <v>-284.38853027063516</v>
      </c>
      <c r="BE6" s="15">
        <v>2260.3930645308737</v>
      </c>
      <c r="BF6">
        <v>46.170305619253554</v>
      </c>
    </row>
    <row r="7" spans="1:58" x14ac:dyDescent="0.25">
      <c r="A7" s="1">
        <v>3140</v>
      </c>
      <c r="B7">
        <v>6</v>
      </c>
      <c r="C7" s="15">
        <v>169.20714285714288</v>
      </c>
      <c r="D7">
        <v>-2.7384666140460747</v>
      </c>
      <c r="E7" s="15">
        <v>635.76984126984121</v>
      </c>
      <c r="F7">
        <v>-107.43470058657645</v>
      </c>
      <c r="G7" s="15">
        <v>305.61269841269842</v>
      </c>
      <c r="H7">
        <v>96.176755059951631</v>
      </c>
      <c r="I7" s="15">
        <v>1451.0413908329965</v>
      </c>
      <c r="J7">
        <v>-103.71297052679682</v>
      </c>
      <c r="K7" s="15">
        <v>568.32187657827581</v>
      </c>
      <c r="L7">
        <v>-41.134608350990334</v>
      </c>
      <c r="M7" s="15">
        <v>235.5325582259091</v>
      </c>
      <c r="N7">
        <v>5.1668132747641131</v>
      </c>
      <c r="O7" s="15">
        <v>185.29249287388947</v>
      </c>
      <c r="P7">
        <v>5.1447316184081391</v>
      </c>
      <c r="Q7" s="15">
        <v>5389.1492176870752</v>
      </c>
      <c r="R7">
        <v>-567.5619742837556</v>
      </c>
      <c r="S7" s="15">
        <v>2563.8843197278911</v>
      </c>
      <c r="T7">
        <v>472.10999091234299</v>
      </c>
      <c r="U7" s="15">
        <v>12152.58922075786</v>
      </c>
      <c r="V7">
        <v>-1493.1407483054122</v>
      </c>
      <c r="W7" s="15">
        <v>4714.6876825299451</v>
      </c>
      <c r="X7">
        <v>-527.07069964694335</v>
      </c>
      <c r="Y7" s="15">
        <v>1965.0548528821803</v>
      </c>
      <c r="Z7">
        <v>-123.99931995013407</v>
      </c>
      <c r="AA7" s="15">
        <v>1545.7067485159628</v>
      </c>
      <c r="AB7">
        <v>-55.373798718166825</v>
      </c>
      <c r="AC7" s="15">
        <v>9873.4773041068274</v>
      </c>
      <c r="AD7">
        <v>2713.3185824868806</v>
      </c>
      <c r="AE7" s="15">
        <v>45911.041641427539</v>
      </c>
      <c r="AF7">
        <v>-5952.7205674566976</v>
      </c>
      <c r="AG7" s="15">
        <v>17917.390894476604</v>
      </c>
      <c r="AH7">
        <v>-1621.4757037992126</v>
      </c>
      <c r="AI7" s="15">
        <v>7576.2588033926377</v>
      </c>
      <c r="AJ7">
        <v>158.99845412400319</v>
      </c>
      <c r="AK7" s="15">
        <v>5953.6648457875699</v>
      </c>
      <c r="AL7">
        <v>139.33194638010741</v>
      </c>
      <c r="AM7" s="15">
        <v>22281.486315354334</v>
      </c>
      <c r="AN7">
        <v>4670.601566204783</v>
      </c>
      <c r="AO7" s="15">
        <v>8882.3925335419772</v>
      </c>
      <c r="AP7">
        <v>902.32946205025166</v>
      </c>
      <c r="AQ7" s="15">
        <v>3783.7446936732649</v>
      </c>
      <c r="AR7">
        <v>770.38917781797818</v>
      </c>
      <c r="AS7" s="15">
        <v>2986.5294796354192</v>
      </c>
      <c r="AT7">
        <v>504.13753555836126</v>
      </c>
      <c r="AU7" s="15">
        <v>42196.313038882516</v>
      </c>
      <c r="AV7">
        <v>-3921.9715036340349</v>
      </c>
      <c r="AW7" s="15">
        <v>17360.668474844533</v>
      </c>
      <c r="AX7">
        <v>-755.70462472816928</v>
      </c>
      <c r="AY7" s="15">
        <v>13603.620914169776</v>
      </c>
      <c r="AZ7">
        <v>38.044656803055204</v>
      </c>
      <c r="BA7" s="15">
        <v>6952.9070533362237</v>
      </c>
      <c r="BB7">
        <v>-383.18389468556973</v>
      </c>
      <c r="BC7" s="15">
        <v>5563.5969606318768</v>
      </c>
      <c r="BD7">
        <v>-92.734651362342447</v>
      </c>
      <c r="BE7" s="15">
        <v>2320.5556125527173</v>
      </c>
      <c r="BF7">
        <v>88.880995774548154</v>
      </c>
    </row>
    <row r="8" spans="1:58" x14ac:dyDescent="0.25">
      <c r="A8" s="1">
        <v>2127</v>
      </c>
      <c r="B8">
        <v>7</v>
      </c>
      <c r="C8" s="15">
        <v>176.14285714285714</v>
      </c>
      <c r="D8">
        <v>-5.5494589600825286</v>
      </c>
      <c r="E8" s="15">
        <v>659.10793650793664</v>
      </c>
      <c r="F8">
        <v>-118.11827400288585</v>
      </c>
      <c r="G8" s="15">
        <v>275.60000000000002</v>
      </c>
      <c r="H8">
        <v>74.449704898186013</v>
      </c>
      <c r="I8" s="15">
        <v>1554.5941984423603</v>
      </c>
      <c r="J8">
        <v>-131.77466060217594</v>
      </c>
      <c r="K8" s="15">
        <v>766.16801205492254</v>
      </c>
      <c r="L8">
        <v>-62.254667220546295</v>
      </c>
      <c r="M8" s="15">
        <v>236.38954521165152</v>
      </c>
      <c r="N8">
        <v>3.6272217033389316</v>
      </c>
      <c r="O8" s="15">
        <v>263.94051408111926</v>
      </c>
      <c r="P8">
        <v>4.1428408267910353</v>
      </c>
      <c r="Q8" s="15">
        <v>5806.9472335600894</v>
      </c>
      <c r="R8">
        <v>-675.76382430091132</v>
      </c>
      <c r="S8" s="15">
        <v>2428.5791836734693</v>
      </c>
      <c r="T8">
        <v>391.79561995809024</v>
      </c>
      <c r="U8" s="15">
        <v>13661.049508431415</v>
      </c>
      <c r="V8">
        <v>-1822.7007670271496</v>
      </c>
      <c r="W8" s="15">
        <v>6746.870858390258</v>
      </c>
      <c r="X8">
        <v>-744.88391800351189</v>
      </c>
      <c r="Y8" s="15">
        <v>2076.8380411989824</v>
      </c>
      <c r="Z8">
        <v>-128.2546736652327</v>
      </c>
      <c r="AA8" s="15">
        <v>2325.6063431270527</v>
      </c>
      <c r="AB8">
        <v>-78.518387846151683</v>
      </c>
      <c r="AC8" s="15">
        <v>9231.6467800453538</v>
      </c>
      <c r="AD8">
        <v>2097.241651486243</v>
      </c>
      <c r="AE8" s="15">
        <v>51156.50647249796</v>
      </c>
      <c r="AF8">
        <v>-7348.3432870224042</v>
      </c>
      <c r="AG8" s="15">
        <v>25195.995491773807</v>
      </c>
      <c r="AH8">
        <v>-2678.4736073346767</v>
      </c>
      <c r="AI8" s="15">
        <v>7886.4136916403568</v>
      </c>
      <c r="AJ8">
        <v>26.070110499680617</v>
      </c>
      <c r="AK8" s="15">
        <v>8765.8316334848187</v>
      </c>
      <c r="AL8">
        <v>54.591821269856183</v>
      </c>
      <c r="AM8" s="15">
        <v>21277.03167936741</v>
      </c>
      <c r="AN8">
        <v>3428.4830845267793</v>
      </c>
      <c r="AO8" s="15">
        <v>10523.421485369332</v>
      </c>
      <c r="AP8">
        <v>689.87123869078437</v>
      </c>
      <c r="AQ8" s="15">
        <v>3462.6418851414769</v>
      </c>
      <c r="AR8">
        <v>593.16842329033159</v>
      </c>
      <c r="AS8" s="15">
        <v>3759.3424562705991</v>
      </c>
      <c r="AT8">
        <v>451.79310370158976</v>
      </c>
      <c r="AU8" s="15">
        <v>59742.939976002614</v>
      </c>
      <c r="AV8">
        <v>-6510.3142479938733</v>
      </c>
      <c r="AW8" s="15">
        <v>18371.902635889055</v>
      </c>
      <c r="AX8">
        <v>-888.08097664917705</v>
      </c>
      <c r="AY8" s="15">
        <v>20533.795264616354</v>
      </c>
      <c r="AZ8">
        <v>-302.43419379458976</v>
      </c>
      <c r="BA8" s="15">
        <v>9066.7896690650687</v>
      </c>
      <c r="BB8">
        <v>-515.42294001341418</v>
      </c>
      <c r="BC8" s="15">
        <v>10242.17473889424</v>
      </c>
      <c r="BD8">
        <v>-440.02597991330754</v>
      </c>
      <c r="BE8" s="15">
        <v>3212.9920892853092</v>
      </c>
      <c r="BF8">
        <v>30.52730781652016</v>
      </c>
    </row>
    <row r="9" spans="1:58" x14ac:dyDescent="0.25">
      <c r="A9" s="1">
        <v>2365</v>
      </c>
      <c r="B9">
        <v>8</v>
      </c>
      <c r="C9" s="15">
        <v>179.05</v>
      </c>
      <c r="D9">
        <v>-7.1740417082420098</v>
      </c>
      <c r="E9" s="15">
        <v>666.5577777777778</v>
      </c>
      <c r="F9">
        <v>-118.43797918882349</v>
      </c>
      <c r="G9" s="15">
        <v>259.06825396825394</v>
      </c>
      <c r="H9">
        <v>75.3607374009339</v>
      </c>
      <c r="I9" s="15">
        <v>1443.3321111202677</v>
      </c>
      <c r="J9">
        <v>-105.75392988109549</v>
      </c>
      <c r="K9" s="15">
        <v>553.21377166091531</v>
      </c>
      <c r="L9">
        <v>-32.794612570602332</v>
      </c>
      <c r="M9" s="15">
        <v>195.58924481795762</v>
      </c>
      <c r="N9">
        <v>3.1609408745857279</v>
      </c>
      <c r="O9" s="15">
        <v>145.55097674785699</v>
      </c>
      <c r="P9">
        <v>3.7868079743507739</v>
      </c>
      <c r="Q9" s="15">
        <v>5965.3280952380956</v>
      </c>
      <c r="R9">
        <v>-715.84767300435522</v>
      </c>
      <c r="S9" s="15">
        <v>2312.8728911564631</v>
      </c>
      <c r="T9">
        <v>414.68799207681934</v>
      </c>
      <c r="U9" s="15">
        <v>12915.389125315891</v>
      </c>
      <c r="V9">
        <v>-1748.3958590066716</v>
      </c>
      <c r="W9" s="15">
        <v>5021.4349758940771</v>
      </c>
      <c r="X9">
        <v>-567.34497602509214</v>
      </c>
      <c r="Y9" s="15">
        <v>1747.1295955853038</v>
      </c>
      <c r="Z9">
        <v>-117.86305730620597</v>
      </c>
      <c r="AA9" s="15">
        <v>1289.0714108253394</v>
      </c>
      <c r="AB9">
        <v>-43.338670549770086</v>
      </c>
      <c r="AC9" s="15">
        <v>8677.133780297303</v>
      </c>
      <c r="AD9">
        <v>2131.5322669255806</v>
      </c>
      <c r="AE9" s="15">
        <v>48091.900388425827</v>
      </c>
      <c r="AF9">
        <v>-6235.468756709296</v>
      </c>
      <c r="AG9" s="15">
        <v>18373.846867752174</v>
      </c>
      <c r="AH9">
        <v>-1621.4321736931292</v>
      </c>
      <c r="AI9" s="15">
        <v>6559.9995809289858</v>
      </c>
      <c r="AJ9">
        <v>18.600035082702455</v>
      </c>
      <c r="AK9" s="15">
        <v>4895.8556997323522</v>
      </c>
      <c r="AL9">
        <v>83.888507000766822</v>
      </c>
      <c r="AM9" s="15">
        <v>18902.76426663758</v>
      </c>
      <c r="AN9">
        <v>3759.5848537757547</v>
      </c>
      <c r="AO9" s="15">
        <v>7368.3913145718034</v>
      </c>
      <c r="AP9">
        <v>822.6592264347986</v>
      </c>
      <c r="AQ9" s="15">
        <v>2620.5255111536817</v>
      </c>
      <c r="AR9">
        <v>441.120109643398</v>
      </c>
      <c r="AS9" s="15">
        <v>2001.4454844887487</v>
      </c>
      <c r="AT9">
        <v>276.33967874707758</v>
      </c>
      <c r="AU9" s="15">
        <v>41477.980772430506</v>
      </c>
      <c r="AV9">
        <v>-2500.9439832327389</v>
      </c>
      <c r="AW9" s="15">
        <v>14407.758675176014</v>
      </c>
      <c r="AX9">
        <v>-530.88534328536582</v>
      </c>
      <c r="AY9" s="15">
        <v>10426.386849107901</v>
      </c>
      <c r="AZ9">
        <v>-20.2581809723101</v>
      </c>
      <c r="BA9" s="15">
        <v>5194.0507633010538</v>
      </c>
      <c r="BB9">
        <v>-262.57260093911054</v>
      </c>
      <c r="BC9" s="15">
        <v>3932.0341234455163</v>
      </c>
      <c r="BD9">
        <v>-50.797151293117452</v>
      </c>
      <c r="BE9" s="15">
        <v>1505.8948692622744</v>
      </c>
      <c r="BF9">
        <v>57.802789551896637</v>
      </c>
    </row>
    <row r="10" spans="1:58" x14ac:dyDescent="0.25">
      <c r="A10" s="1">
        <v>2383</v>
      </c>
      <c r="B10">
        <v>9</v>
      </c>
      <c r="C10" s="15">
        <v>180.72321428571428</v>
      </c>
      <c r="D10">
        <v>-6.4277430903748396</v>
      </c>
      <c r="E10" s="15">
        <v>675.45238095238096</v>
      </c>
      <c r="F10">
        <v>-114.39903035624125</v>
      </c>
      <c r="G10" s="15">
        <v>263.16666666666669</v>
      </c>
      <c r="H10">
        <v>78.825655336435744</v>
      </c>
      <c r="I10" s="15">
        <v>1332.4327750958134</v>
      </c>
      <c r="J10">
        <v>-96.876650517928923</v>
      </c>
      <c r="K10" s="15">
        <v>654.5859864852481</v>
      </c>
      <c r="L10">
        <v>-65.813656236136694</v>
      </c>
      <c r="M10" s="15">
        <v>205.81152070406401</v>
      </c>
      <c r="N10">
        <v>6.9912441544740416</v>
      </c>
      <c r="O10" s="15">
        <v>102.08493844664932</v>
      </c>
      <c r="P10">
        <v>5.0792351820335915</v>
      </c>
      <c r="Q10" s="15">
        <v>6122.2255442176875</v>
      </c>
      <c r="R10">
        <v>-704.8800490659504</v>
      </c>
      <c r="S10" s="15">
        <v>2390.6224319727889</v>
      </c>
      <c r="T10">
        <v>418.157233788008</v>
      </c>
      <c r="U10" s="15">
        <v>12022.0913905954</v>
      </c>
      <c r="V10">
        <v>-1561.1620097397176</v>
      </c>
      <c r="W10" s="15">
        <v>5865.417493724588</v>
      </c>
      <c r="X10">
        <v>-654.59452088728506</v>
      </c>
      <c r="Y10" s="15">
        <v>1866.6171425697034</v>
      </c>
      <c r="Z10">
        <v>-120.92949346449964</v>
      </c>
      <c r="AA10" s="15">
        <v>931.77801534080834</v>
      </c>
      <c r="AB10">
        <v>-45.878309533357431</v>
      </c>
      <c r="AC10" s="15">
        <v>9024.7565759637182</v>
      </c>
      <c r="AD10">
        <v>2378.2148778670512</v>
      </c>
      <c r="AE10" s="15">
        <v>44975.442649938974</v>
      </c>
      <c r="AF10">
        <v>-5838.3869057749762</v>
      </c>
      <c r="AG10" s="15">
        <v>21654.026412677398</v>
      </c>
      <c r="AH10">
        <v>-2745.0139867494199</v>
      </c>
      <c r="AI10" s="15">
        <v>7067.9208659162969</v>
      </c>
      <c r="AJ10">
        <v>251.48560011752545</v>
      </c>
      <c r="AK10" s="15">
        <v>3590.5371632942115</v>
      </c>
      <c r="AL10">
        <v>195.9489789998068</v>
      </c>
      <c r="AM10" s="15">
        <v>17616.62415545365</v>
      </c>
      <c r="AN10">
        <v>3384.7042492753931</v>
      </c>
      <c r="AO10" s="15">
        <v>8234.5840906004978</v>
      </c>
      <c r="AP10">
        <v>447.93362292514956</v>
      </c>
      <c r="AQ10" s="15">
        <v>2863.6184701696602</v>
      </c>
      <c r="AR10">
        <v>583.93093063665719</v>
      </c>
      <c r="AS10" s="15">
        <v>1471.4218743248075</v>
      </c>
      <c r="AT10">
        <v>305.46945777745361</v>
      </c>
      <c r="AU10" s="15">
        <v>43670.896589726079</v>
      </c>
      <c r="AV10">
        <v>-5454.7855781794215</v>
      </c>
      <c r="AW10" s="15">
        <v>14053.056417403432</v>
      </c>
      <c r="AX10">
        <v>-261.41195742332422</v>
      </c>
      <c r="AY10" s="15">
        <v>6942.2938489672933</v>
      </c>
      <c r="AZ10">
        <v>159.90266333849482</v>
      </c>
      <c r="BA10" s="15">
        <v>6430.7010777181804</v>
      </c>
      <c r="BB10">
        <v>-505.07970452241392</v>
      </c>
      <c r="BC10" s="15">
        <v>2925.274089053622</v>
      </c>
      <c r="BD10">
        <v>35.113627954760005</v>
      </c>
      <c r="BE10" s="15">
        <v>1192.6239581882826</v>
      </c>
      <c r="BF10">
        <v>146.27755391316671</v>
      </c>
    </row>
    <row r="11" spans="1:58" x14ac:dyDescent="0.25">
      <c r="A11" s="1">
        <v>2137</v>
      </c>
      <c r="B11">
        <v>10</v>
      </c>
      <c r="C11" s="15">
        <v>169.41587301587299</v>
      </c>
      <c r="D11">
        <v>-7.7564110911219171</v>
      </c>
      <c r="E11" s="15">
        <v>678.34603174603171</v>
      </c>
      <c r="F11">
        <v>-119.86385796850671</v>
      </c>
      <c r="G11" s="15">
        <v>263.13492063492066</v>
      </c>
      <c r="H11">
        <v>75.240435811230157</v>
      </c>
      <c r="I11" s="15">
        <v>1405.8472819274684</v>
      </c>
      <c r="J11">
        <v>-128.95470225835396</v>
      </c>
      <c r="K11" s="15">
        <v>625.48752260775132</v>
      </c>
      <c r="L11">
        <v>-67.725924877017945</v>
      </c>
      <c r="M11" s="15">
        <v>216.09708966563031</v>
      </c>
      <c r="N11">
        <v>1.8115454870937193</v>
      </c>
      <c r="O11" s="15">
        <v>85.760886639359754</v>
      </c>
      <c r="P11">
        <v>0.9011034115394847</v>
      </c>
      <c r="Q11" s="15">
        <v>5762.3421365583272</v>
      </c>
      <c r="R11">
        <v>-686.41826957581657</v>
      </c>
      <c r="S11" s="15">
        <v>2245.8860871756115</v>
      </c>
      <c r="T11">
        <v>394.28498340413347</v>
      </c>
      <c r="U11" s="15">
        <v>11910.952714871451</v>
      </c>
      <c r="V11">
        <v>-1752.0683233613474</v>
      </c>
      <c r="W11" s="15">
        <v>5258.1417253705704</v>
      </c>
      <c r="X11">
        <v>-598.08426100558529</v>
      </c>
      <c r="Y11" s="15">
        <v>1845.0647628807533</v>
      </c>
      <c r="Z11">
        <v>-124.63595226965546</v>
      </c>
      <c r="AA11" s="15">
        <v>735.96618408988604</v>
      </c>
      <c r="AB11">
        <v>-55.976069583875336</v>
      </c>
      <c r="AC11" s="15">
        <v>9047.9982060972543</v>
      </c>
      <c r="AD11">
        <v>2184.987912939514</v>
      </c>
      <c r="AE11" s="15">
        <v>47548.991971666059</v>
      </c>
      <c r="AF11">
        <v>-7137.7066317610143</v>
      </c>
      <c r="AG11" s="15">
        <v>20931.052030821651</v>
      </c>
      <c r="AH11">
        <v>-2952.275936870074</v>
      </c>
      <c r="AI11" s="15">
        <v>7401.5349180857893</v>
      </c>
      <c r="AJ11">
        <v>-13.964100604706358</v>
      </c>
      <c r="AK11" s="15">
        <v>2949.0161270264557</v>
      </c>
      <c r="AL11">
        <v>29.01372611771848</v>
      </c>
      <c r="AM11" s="15">
        <v>18238.853676061823</v>
      </c>
      <c r="AN11">
        <v>3180.4170360865628</v>
      </c>
      <c r="AO11" s="15">
        <v>7820.6914460527287</v>
      </c>
      <c r="AP11">
        <v>273.97428129475111</v>
      </c>
      <c r="AQ11" s="15">
        <v>2949.7381374913925</v>
      </c>
      <c r="AR11">
        <v>497.58894140342051</v>
      </c>
      <c r="AS11" s="15">
        <v>1227.4490413582398</v>
      </c>
      <c r="AT11">
        <v>196.42112148050953</v>
      </c>
      <c r="AU11" s="15">
        <v>44530.139634232968</v>
      </c>
      <c r="AV11">
        <v>-6106.484789664195</v>
      </c>
      <c r="AW11" s="15">
        <v>15212.749740941965</v>
      </c>
      <c r="AX11">
        <v>-986.25732421785256</v>
      </c>
      <c r="AY11" s="15">
        <v>5904.6130609835882</v>
      </c>
      <c r="AZ11">
        <v>-178.32008433525192</v>
      </c>
      <c r="BA11" s="15">
        <v>6534.2852938771121</v>
      </c>
      <c r="BB11">
        <v>-711.52433373050621</v>
      </c>
      <c r="BC11" s="15">
        <v>2388.5281512001138</v>
      </c>
      <c r="BD11">
        <v>-140.12795412867837</v>
      </c>
      <c r="BE11" s="15">
        <v>993.88231795420006</v>
      </c>
      <c r="BF11">
        <v>36.080330205920987</v>
      </c>
    </row>
    <row r="12" spans="1:58" x14ac:dyDescent="0.25">
      <c r="A12" s="1">
        <v>2298</v>
      </c>
      <c r="B12">
        <v>11</v>
      </c>
      <c r="C12" s="15">
        <v>168.68571428571431</v>
      </c>
      <c r="D12">
        <v>-4.4144361723546659</v>
      </c>
      <c r="E12" s="15">
        <v>672.09841269841274</v>
      </c>
      <c r="F12">
        <v>-118.9193062085713</v>
      </c>
      <c r="G12" s="15">
        <v>281.28730158730156</v>
      </c>
      <c r="H12">
        <v>78.398572122372414</v>
      </c>
      <c r="I12" s="15">
        <v>1498.0352030640072</v>
      </c>
      <c r="J12">
        <v>-128.04679104781039</v>
      </c>
      <c r="K12" s="15">
        <v>607.49782101462938</v>
      </c>
      <c r="L12">
        <v>-66.241979682137114</v>
      </c>
      <c r="M12" s="15">
        <v>226.39955323187417</v>
      </c>
      <c r="N12">
        <v>3.799250855935687</v>
      </c>
      <c r="O12" s="15">
        <v>113.0557554134283</v>
      </c>
      <c r="P12">
        <v>2.7454829456717014</v>
      </c>
      <c r="Q12" s="15">
        <v>5672.0873696145118</v>
      </c>
      <c r="R12">
        <v>-651.2031413347645</v>
      </c>
      <c r="S12" s="15">
        <v>2374.3207936507933</v>
      </c>
      <c r="T12">
        <v>424.27837725566832</v>
      </c>
      <c r="U12" s="15">
        <v>12632.580588228931</v>
      </c>
      <c r="V12">
        <v>-1606.7759876626758</v>
      </c>
      <c r="W12" s="15">
        <v>5143.7658743758511</v>
      </c>
      <c r="X12">
        <v>-632.551470247574</v>
      </c>
      <c r="Y12" s="15">
        <v>1906.1327609013788</v>
      </c>
      <c r="Z12">
        <v>-114.1828401718</v>
      </c>
      <c r="AA12" s="15">
        <v>956.01144401476006</v>
      </c>
      <c r="AB12">
        <v>-40.550372389161616</v>
      </c>
      <c r="AC12" s="15">
        <v>9489.4411312673219</v>
      </c>
      <c r="AD12">
        <v>2182.127733406996</v>
      </c>
      <c r="AE12" s="15">
        <v>50313.370697541228</v>
      </c>
      <c r="AF12">
        <v>-7136.8638930131665</v>
      </c>
      <c r="AG12" s="15">
        <v>20185.971072834254</v>
      </c>
      <c r="AH12">
        <v>-2804.8937370245822</v>
      </c>
      <c r="AI12" s="15">
        <v>7635.7335260858408</v>
      </c>
      <c r="AJ12">
        <v>16.104358505851721</v>
      </c>
      <c r="AK12" s="15">
        <v>3824.7819278692104</v>
      </c>
      <c r="AL12">
        <v>86.426902370741729</v>
      </c>
      <c r="AM12" s="15">
        <v>21049.325042670935</v>
      </c>
      <c r="AN12">
        <v>3347.4967842898036</v>
      </c>
      <c r="AO12" s="15">
        <v>8353.3115562665735</v>
      </c>
      <c r="AP12">
        <v>346.04013483833273</v>
      </c>
      <c r="AQ12" s="15">
        <v>3242.6243441835018</v>
      </c>
      <c r="AR12">
        <v>541.08654489433854</v>
      </c>
      <c r="AS12" s="15">
        <v>1685.2439239123019</v>
      </c>
      <c r="AT12">
        <v>243.27858072428543</v>
      </c>
      <c r="AU12" s="15">
        <v>45300.049055620781</v>
      </c>
      <c r="AV12">
        <v>-6198.8674167480394</v>
      </c>
      <c r="AW12" s="15">
        <v>17065.95217240326</v>
      </c>
      <c r="AX12">
        <v>-796.40954209104643</v>
      </c>
      <c r="AY12" s="15">
        <v>8363.2404782363628</v>
      </c>
      <c r="AZ12">
        <v>-73.835801080279793</v>
      </c>
      <c r="BA12" s="15">
        <v>6693.1412121705962</v>
      </c>
      <c r="BB12">
        <v>-647.84109418783555</v>
      </c>
      <c r="BC12" s="15">
        <v>3319.7607511472106</v>
      </c>
      <c r="BD12">
        <v>-151.72878065135902</v>
      </c>
      <c r="BE12" s="15">
        <v>1357.7879765952305</v>
      </c>
      <c r="BF12">
        <v>66.471214121190556</v>
      </c>
    </row>
    <row r="13" spans="1:58" x14ac:dyDescent="0.25">
      <c r="A13" s="1">
        <v>2405</v>
      </c>
      <c r="B13">
        <v>12</v>
      </c>
      <c r="C13" s="15">
        <v>179.8031746031746</v>
      </c>
      <c r="D13">
        <v>-7.4407487374774082</v>
      </c>
      <c r="E13" s="15">
        <v>676.89047619047619</v>
      </c>
      <c r="F13">
        <v>-119.84544158027099</v>
      </c>
      <c r="G13" s="15">
        <v>282.91587301587293</v>
      </c>
      <c r="H13">
        <v>86.242122303673256</v>
      </c>
      <c r="I13" s="15">
        <v>1471.144586776858</v>
      </c>
      <c r="J13">
        <v>-123.01208448641901</v>
      </c>
      <c r="K13" s="15">
        <v>466.6757319904462</v>
      </c>
      <c r="L13">
        <v>-41.799783460644434</v>
      </c>
      <c r="M13" s="15">
        <v>228.01148959960071</v>
      </c>
      <c r="N13">
        <v>4.5186837030266602</v>
      </c>
      <c r="O13" s="15">
        <v>118.19310748412246</v>
      </c>
      <c r="P13">
        <v>6.7296926307440774</v>
      </c>
      <c r="Q13" s="15">
        <v>6104.2975207860927</v>
      </c>
      <c r="R13">
        <v>-737.27795049557744</v>
      </c>
      <c r="S13" s="15">
        <v>2556.1938145628624</v>
      </c>
      <c r="T13">
        <v>471.09806938384605</v>
      </c>
      <c r="U13" s="15">
        <v>13201.142230102625</v>
      </c>
      <c r="V13">
        <v>-1817.7513757064944</v>
      </c>
      <c r="W13" s="15">
        <v>4150.1243363179337</v>
      </c>
      <c r="X13">
        <v>-455.18028687003834</v>
      </c>
      <c r="Y13" s="15">
        <v>2061.7363025469058</v>
      </c>
      <c r="Z13">
        <v>-132.21898436784335</v>
      </c>
      <c r="AA13" s="15">
        <v>1075.3677521581415</v>
      </c>
      <c r="AB13">
        <v>-45.035817365750837</v>
      </c>
      <c r="AC13" s="15">
        <v>9691.3702569916877</v>
      </c>
      <c r="AD13">
        <v>2487.293421045641</v>
      </c>
      <c r="AE13" s="15">
        <v>49490.970220705938</v>
      </c>
      <c r="AF13">
        <v>-6899.2528795155295</v>
      </c>
      <c r="AG13" s="15">
        <v>15579.553322730066</v>
      </c>
      <c r="AH13">
        <v>-1728.6288708712705</v>
      </c>
      <c r="AI13" s="15">
        <v>7786.3187684527984</v>
      </c>
      <c r="AJ13">
        <v>84.194940083933503</v>
      </c>
      <c r="AK13" s="15">
        <v>4067.337686792469</v>
      </c>
      <c r="AL13">
        <v>239.35878152653208</v>
      </c>
      <c r="AM13" s="15">
        <v>20783.85796238339</v>
      </c>
      <c r="AN13">
        <v>4249.337463578916</v>
      </c>
      <c r="AO13" s="15">
        <v>6482.3813658375175</v>
      </c>
      <c r="AP13">
        <v>610.48422604262123</v>
      </c>
      <c r="AQ13" s="15">
        <v>3337.7510217819599</v>
      </c>
      <c r="AR13">
        <v>625.1245925010827</v>
      </c>
      <c r="AS13" s="15">
        <v>1818.6508311964437</v>
      </c>
      <c r="AT13">
        <v>407.05786643083667</v>
      </c>
      <c r="AU13" s="15">
        <v>34809.802237905948</v>
      </c>
      <c r="AV13">
        <v>-4675.7824318568655</v>
      </c>
      <c r="AW13" s="15">
        <v>16998.524947752721</v>
      </c>
      <c r="AX13">
        <v>-708.18462209423217</v>
      </c>
      <c r="AY13" s="15">
        <v>8860.587433974777</v>
      </c>
      <c r="AZ13">
        <v>344.8947410409221</v>
      </c>
      <c r="BA13" s="15">
        <v>5294.7936532572603</v>
      </c>
      <c r="BB13">
        <v>-236.93473457419597</v>
      </c>
      <c r="BC13" s="15">
        <v>2775.3952678861774</v>
      </c>
      <c r="BD13">
        <v>74.642064514420753</v>
      </c>
      <c r="BE13" s="15">
        <v>1492.4224385553728</v>
      </c>
      <c r="BF13">
        <v>145.61054594245465</v>
      </c>
    </row>
    <row r="14" spans="1:58" x14ac:dyDescent="0.25">
      <c r="A14" s="8">
        <v>2250</v>
      </c>
      <c r="B14">
        <v>13</v>
      </c>
      <c r="C14" s="15">
        <v>168.73571428571427</v>
      </c>
      <c r="D14">
        <v>-6.1596444260502974</v>
      </c>
      <c r="E14" s="15">
        <v>644.0857142857144</v>
      </c>
      <c r="F14">
        <v>-113.01354483162578</v>
      </c>
      <c r="G14" s="15">
        <v>282.94920634920629</v>
      </c>
      <c r="H14">
        <v>85.217539549996133</v>
      </c>
      <c r="I14" s="15">
        <v>1503.0007000551213</v>
      </c>
      <c r="J14">
        <v>-122.07714010263015</v>
      </c>
      <c r="K14" s="15">
        <v>447.86748607778736</v>
      </c>
      <c r="L14">
        <v>-43.587312827392282</v>
      </c>
      <c r="M14" s="15">
        <v>234.89253871103247</v>
      </c>
      <c r="N14">
        <v>3.8908336593790649</v>
      </c>
      <c r="O14" s="15">
        <v>119.52015981695619</v>
      </c>
      <c r="P14">
        <v>4.7372597141981281</v>
      </c>
      <c r="Q14" s="15">
        <v>5445.3856122448979</v>
      </c>
      <c r="R14">
        <v>-653.4035739654272</v>
      </c>
      <c r="S14" s="15">
        <v>2387.0821541950113</v>
      </c>
      <c r="T14">
        <v>400.89701148391464</v>
      </c>
      <c r="U14" s="15">
        <v>12658.640075626303</v>
      </c>
      <c r="V14">
        <v>-1648.1121573173621</v>
      </c>
      <c r="W14" s="15">
        <v>3744.1241486815534</v>
      </c>
      <c r="X14">
        <v>-413.41826026599597</v>
      </c>
      <c r="Y14" s="15">
        <v>1980.8140826585632</v>
      </c>
      <c r="Z14">
        <v>-141.36453073441925</v>
      </c>
      <c r="AA14" s="15">
        <v>1006.604176451965</v>
      </c>
      <c r="AB14">
        <v>-38.968348635691143</v>
      </c>
      <c r="AC14" s="15">
        <v>9228.7676190476213</v>
      </c>
      <c r="AD14">
        <v>2380.5329243134165</v>
      </c>
      <c r="AE14" s="15">
        <v>48351.441533053425</v>
      </c>
      <c r="AF14">
        <v>-6796.3724195156174</v>
      </c>
      <c r="AG14" s="15">
        <v>14399.605997044742</v>
      </c>
      <c r="AH14">
        <v>-1800.8832437697047</v>
      </c>
      <c r="AI14" s="15">
        <v>7647.0599395389727</v>
      </c>
      <c r="AJ14">
        <v>38.263642185039515</v>
      </c>
      <c r="AK14" s="15">
        <v>3959.2271472756629</v>
      </c>
      <c r="AL14">
        <v>147.22641091827481</v>
      </c>
      <c r="AM14" s="15">
        <v>21195.96791557733</v>
      </c>
      <c r="AN14">
        <v>4161.0865927744117</v>
      </c>
      <c r="AO14" s="15">
        <v>6241.1045220197402</v>
      </c>
      <c r="AP14">
        <v>429.57345878820865</v>
      </c>
      <c r="AQ14" s="15">
        <v>3477.6493293689041</v>
      </c>
      <c r="AR14">
        <v>603.58106539014057</v>
      </c>
      <c r="AS14" s="15">
        <v>1888.1676886671885</v>
      </c>
      <c r="AT14">
        <v>314.0181354895447</v>
      </c>
      <c r="AU14" s="15">
        <v>34006.214995311639</v>
      </c>
      <c r="AV14">
        <v>-4961.8437986762528</v>
      </c>
      <c r="AW14" s="15">
        <v>17720.752200693129</v>
      </c>
      <c r="AX14">
        <v>-735.21291931631902</v>
      </c>
      <c r="AY14" s="15">
        <v>8891.5920692290929</v>
      </c>
      <c r="AZ14">
        <v>181.19023084009683</v>
      </c>
      <c r="BA14" s="15">
        <v>5209.4004336631788</v>
      </c>
      <c r="BB14">
        <v>-290.24838120365337</v>
      </c>
      <c r="BC14" s="15">
        <v>2729.3744138228221</v>
      </c>
      <c r="BD14">
        <v>-18.463185954374989</v>
      </c>
      <c r="BE14" s="15">
        <v>1535.0602148466271</v>
      </c>
      <c r="BF14">
        <v>91.219218709957971</v>
      </c>
    </row>
    <row r="15" spans="1:58" x14ac:dyDescent="0.25">
      <c r="A15" s="1">
        <v>2254</v>
      </c>
      <c r="B15">
        <v>14</v>
      </c>
      <c r="C15" s="15">
        <v>178.18392857142854</v>
      </c>
      <c r="D15">
        <v>-6.9632175500444617</v>
      </c>
      <c r="E15" s="15">
        <v>647.88031746031743</v>
      </c>
      <c r="F15">
        <v>-114.30646223818424</v>
      </c>
      <c r="G15" s="15">
        <v>294.90238095238095</v>
      </c>
      <c r="H15">
        <v>78.330089021650011</v>
      </c>
      <c r="I15" s="15">
        <v>1572.6878737846207</v>
      </c>
      <c r="J15">
        <v>-124.3969887900046</v>
      </c>
      <c r="K15" s="15">
        <v>734.13640254746747</v>
      </c>
      <c r="L15">
        <v>-60.401877278579867</v>
      </c>
      <c r="M15" s="15">
        <v>234.63801485019121</v>
      </c>
      <c r="N15">
        <v>3.3388596455892001</v>
      </c>
      <c r="O15" s="15">
        <v>177.35840144272967</v>
      </c>
      <c r="P15">
        <v>3.0435168223074216</v>
      </c>
      <c r="Q15" s="15">
        <v>5783.0688764172337</v>
      </c>
      <c r="R15">
        <v>-700.8876585576553</v>
      </c>
      <c r="S15" s="15">
        <v>2633.4858489229027</v>
      </c>
      <c r="T15">
        <v>431.74591953768004</v>
      </c>
      <c r="U15" s="15">
        <v>14023.739350346874</v>
      </c>
      <c r="V15">
        <v>-1882.7805286145294</v>
      </c>
      <c r="W15" s="15">
        <v>6491.6543651708262</v>
      </c>
      <c r="X15">
        <v>-754.1829870761826</v>
      </c>
      <c r="Y15" s="15">
        <v>2098.4642774879298</v>
      </c>
      <c r="Z15">
        <v>-146.8386912699255</v>
      </c>
      <c r="AA15" s="15">
        <v>1585.3472951747776</v>
      </c>
      <c r="AB15">
        <v>-50.016434958399898</v>
      </c>
      <c r="AC15" s="15">
        <v>9660.6009669942068</v>
      </c>
      <c r="AD15">
        <v>2077.9268900088928</v>
      </c>
      <c r="AE15" s="15">
        <v>50836.360275977539</v>
      </c>
      <c r="AF15">
        <v>-6646.4896884380742</v>
      </c>
      <c r="AG15" s="15">
        <v>23665.901325381827</v>
      </c>
      <c r="AH15">
        <v>-2283.8697765357174</v>
      </c>
      <c r="AI15" s="15">
        <v>7688.5590383743502</v>
      </c>
      <c r="AJ15">
        <v>12.03309937133711</v>
      </c>
      <c r="AK15" s="15">
        <v>5821.9546577721485</v>
      </c>
      <c r="AL15">
        <v>56.753626995410123</v>
      </c>
      <c r="AM15" s="15">
        <v>23079.773440052544</v>
      </c>
      <c r="AN15">
        <v>4014.3267346623907</v>
      </c>
      <c r="AO15" s="15">
        <v>10903.752423711996</v>
      </c>
      <c r="AP15">
        <v>665.08993085033171</v>
      </c>
      <c r="AQ15" s="15">
        <v>3534.0052098778069</v>
      </c>
      <c r="AR15">
        <v>480.28905998926484</v>
      </c>
      <c r="AS15" s="15">
        <v>2682.2169501345434</v>
      </c>
      <c r="AT15">
        <v>281.35048062498475</v>
      </c>
      <c r="AU15" s="15">
        <v>58738.074271083155</v>
      </c>
      <c r="AV15">
        <v>-5925.2546308709552</v>
      </c>
      <c r="AW15" s="15">
        <v>18392.236473107954</v>
      </c>
      <c r="AX15">
        <v>-721.37467513376362</v>
      </c>
      <c r="AY15" s="15">
        <v>13789.677585124895</v>
      </c>
      <c r="AZ15">
        <v>-253.97119602106261</v>
      </c>
      <c r="BA15" s="15">
        <v>8408.9853588707192</v>
      </c>
      <c r="BB15">
        <v>-363.30315737139779</v>
      </c>
      <c r="BC15" s="15">
        <v>6476.3068746664339</v>
      </c>
      <c r="BD15">
        <v>-216.04112851394609</v>
      </c>
      <c r="BE15" s="15">
        <v>2140.1475668520193</v>
      </c>
      <c r="BF15">
        <v>65.57913428198674</v>
      </c>
    </row>
    <row r="16" spans="1:58" x14ac:dyDescent="0.25">
      <c r="A16" s="1">
        <v>2251</v>
      </c>
      <c r="B16">
        <v>15</v>
      </c>
      <c r="C16" s="15">
        <v>169.18714285714285</v>
      </c>
      <c r="D16">
        <v>-5.9375650923365377</v>
      </c>
      <c r="E16" s="15">
        <v>658.42780952380951</v>
      </c>
      <c r="F16">
        <v>-117.82726461237193</v>
      </c>
      <c r="G16" s="15">
        <v>287.49027777777775</v>
      </c>
      <c r="H16">
        <v>85.968759747267512</v>
      </c>
      <c r="I16" s="15">
        <v>1524.6893087036558</v>
      </c>
      <c r="J16">
        <v>-119.61928774290466</v>
      </c>
      <c r="K16" s="15">
        <v>653.04780350073759</v>
      </c>
      <c r="L16">
        <v>-48.505344152154677</v>
      </c>
      <c r="M16" s="15">
        <v>226.05080442074407</v>
      </c>
      <c r="N16">
        <v>3.1831728205692196</v>
      </c>
      <c r="O16" s="15">
        <v>179.90461549853126</v>
      </c>
      <c r="P16">
        <v>6.0799939030402026</v>
      </c>
      <c r="Q16" s="15">
        <v>5583.1062884353742</v>
      </c>
      <c r="R16">
        <v>-658.56223045190336</v>
      </c>
      <c r="S16" s="15">
        <v>2439.3228849206348</v>
      </c>
      <c r="T16">
        <v>424.85836775688466</v>
      </c>
      <c r="U16" s="15">
        <v>12847.304548478211</v>
      </c>
      <c r="V16">
        <v>-1684.3570871716142</v>
      </c>
      <c r="W16" s="15">
        <v>5503.4198181483089</v>
      </c>
      <c r="X16">
        <v>-618.97505637784684</v>
      </c>
      <c r="Y16" s="15">
        <v>1912.0716225449614</v>
      </c>
      <c r="Z16">
        <v>-139.93822530177644</v>
      </c>
      <c r="AA16" s="15">
        <v>1521.414660074845</v>
      </c>
      <c r="AB16">
        <v>-63.476618711072362</v>
      </c>
      <c r="AC16" s="15">
        <v>9530.1190076089715</v>
      </c>
      <c r="AD16">
        <v>2378.7398740255671</v>
      </c>
      <c r="AE16" s="15">
        <v>50012.323734265854</v>
      </c>
      <c r="AF16">
        <v>-6698.6566518093523</v>
      </c>
      <c r="AG16" s="15">
        <v>21461.044412909465</v>
      </c>
      <c r="AH16">
        <v>-2051.9898128514583</v>
      </c>
      <c r="AI16" s="15">
        <v>7487.2460631133163</v>
      </c>
      <c r="AJ16">
        <v>5.4173355233293403</v>
      </c>
      <c r="AK16" s="15">
        <v>5963.0537817760169</v>
      </c>
      <c r="AL16">
        <v>178.98308317828844</v>
      </c>
      <c r="AM16" s="15">
        <v>21943.802793960753</v>
      </c>
      <c r="AN16">
        <v>4441.1980998437975</v>
      </c>
      <c r="AO16" s="15">
        <v>9455.9599635759714</v>
      </c>
      <c r="AP16">
        <v>887.94589905671262</v>
      </c>
      <c r="AQ16" s="15">
        <v>3355.4716061400045</v>
      </c>
      <c r="AR16">
        <v>568.84846126604634</v>
      </c>
      <c r="AS16" s="15">
        <v>2687.4043833831579</v>
      </c>
      <c r="AT16">
        <v>467.81400628851924</v>
      </c>
      <c r="AU16" s="15">
        <v>50228.739623093592</v>
      </c>
      <c r="AV16">
        <v>-4898.8767347179546</v>
      </c>
      <c r="AW16" s="15">
        <v>17310.331587767007</v>
      </c>
      <c r="AX16">
        <v>-689.71815956863634</v>
      </c>
      <c r="AY16" s="15">
        <v>13806.785513919434</v>
      </c>
      <c r="AZ16">
        <v>94.885745567257203</v>
      </c>
      <c r="BA16" s="15">
        <v>7487.2890383735567</v>
      </c>
      <c r="BB16">
        <v>-253.41046593174912</v>
      </c>
      <c r="BC16" s="15">
        <v>6058.6157543218396</v>
      </c>
      <c r="BD16">
        <v>-17.939138454614881</v>
      </c>
      <c r="BE16" s="15">
        <v>2131.0357505572824</v>
      </c>
      <c r="BF16">
        <v>132.19202363712378</v>
      </c>
    </row>
    <row r="17" spans="1:58" x14ac:dyDescent="0.25">
      <c r="A17" s="1">
        <v>2577</v>
      </c>
      <c r="B17">
        <v>16</v>
      </c>
      <c r="C17" s="15">
        <v>170.21785714285716</v>
      </c>
      <c r="D17">
        <v>-7.1104074088675322</v>
      </c>
      <c r="E17" s="15">
        <v>627.79808641975308</v>
      </c>
      <c r="F17">
        <v>-106.99308900055226</v>
      </c>
      <c r="G17" s="15">
        <v>286.18392857142862</v>
      </c>
      <c r="H17">
        <v>87.104615012114195</v>
      </c>
      <c r="I17" s="15">
        <v>1460.3911271867855</v>
      </c>
      <c r="J17">
        <v>-113.65187127152345</v>
      </c>
      <c r="K17" s="15">
        <v>722.17287116176851</v>
      </c>
      <c r="L17">
        <v>-67.12914801882232</v>
      </c>
      <c r="M17" s="15">
        <v>213.07919145700558</v>
      </c>
      <c r="N17">
        <v>3.4385968365361674</v>
      </c>
      <c r="O17" s="15">
        <v>220.6878949394293</v>
      </c>
      <c r="P17">
        <v>3.4148323031543697</v>
      </c>
      <c r="Q17" s="15">
        <v>5352.7067826436123</v>
      </c>
      <c r="R17">
        <v>-642.48767374155307</v>
      </c>
      <c r="S17" s="15">
        <v>2429.4299266581629</v>
      </c>
      <c r="T17">
        <v>462.61542320655258</v>
      </c>
      <c r="U17" s="15">
        <v>12426.093365999677</v>
      </c>
      <c r="V17">
        <v>-1673.8839334074851</v>
      </c>
      <c r="W17" s="15">
        <v>6098.6590292355013</v>
      </c>
      <c r="X17">
        <v>-598.96908874904852</v>
      </c>
      <c r="Y17" s="15">
        <v>1816.9002963647677</v>
      </c>
      <c r="Z17">
        <v>-103.56236359676768</v>
      </c>
      <c r="AA17" s="15">
        <v>1890.6851379047018</v>
      </c>
      <c r="AB17">
        <v>-39.136281512957837</v>
      </c>
      <c r="AC17" s="15">
        <v>9200.55572531914</v>
      </c>
      <c r="AD17">
        <v>2445.6291896564221</v>
      </c>
      <c r="AE17" s="15">
        <v>45813.836686281124</v>
      </c>
      <c r="AF17">
        <v>-5741.0741153748677</v>
      </c>
      <c r="AG17" s="15">
        <v>22765.090986728377</v>
      </c>
      <c r="AH17">
        <v>-2571.6508020251194</v>
      </c>
      <c r="AI17" s="15">
        <v>6820.720902300287</v>
      </c>
      <c r="AJ17">
        <v>89.857057449040255</v>
      </c>
      <c r="AK17" s="15">
        <v>7117.5465903538261</v>
      </c>
      <c r="AL17">
        <v>79.350551583836335</v>
      </c>
      <c r="AM17" s="15">
        <v>20908.571932392391</v>
      </c>
      <c r="AN17">
        <v>4256.6346412372377</v>
      </c>
      <c r="AO17" s="15">
        <v>10450.886656318438</v>
      </c>
      <c r="AP17">
        <v>517.38762594895138</v>
      </c>
      <c r="AQ17" s="15">
        <v>3205.5304501130163</v>
      </c>
      <c r="AR17">
        <v>561.09694701530805</v>
      </c>
      <c r="AS17" s="15">
        <v>3338.8077346119626</v>
      </c>
      <c r="AT17">
        <v>389.22606267375551</v>
      </c>
      <c r="AU17" s="15">
        <v>52303.013447280173</v>
      </c>
      <c r="AV17">
        <v>-5881.1931482692335</v>
      </c>
      <c r="AW17" s="15">
        <v>15619.312403394249</v>
      </c>
      <c r="AX17">
        <v>-617.70888409224665</v>
      </c>
      <c r="AY17" s="15">
        <v>15797.157617049397</v>
      </c>
      <c r="AZ17">
        <v>-131.26981678065764</v>
      </c>
      <c r="BA17" s="15">
        <v>7713.623089282466</v>
      </c>
      <c r="BB17">
        <v>-581.30808017888955</v>
      </c>
      <c r="BC17" s="15">
        <v>8270.3488638436393</v>
      </c>
      <c r="BD17">
        <v>-395.9201846359723</v>
      </c>
      <c r="BE17" s="15">
        <v>2467.3273262238913</v>
      </c>
      <c r="BF17">
        <v>46.455708334385356</v>
      </c>
    </row>
    <row r="18" spans="1:58" x14ac:dyDescent="0.25">
      <c r="A18" s="1">
        <v>2263</v>
      </c>
      <c r="B18">
        <v>17</v>
      </c>
      <c r="C18" s="15">
        <v>169.9053571428571</v>
      </c>
      <c r="D18">
        <v>-4.8877321407833758</v>
      </c>
      <c r="E18" s="15">
        <v>656.31249999999989</v>
      </c>
      <c r="F18">
        <v>-114.83497468297982</v>
      </c>
      <c r="G18" s="15">
        <v>331.60535714285714</v>
      </c>
      <c r="H18">
        <v>87.560764378831024</v>
      </c>
      <c r="I18" s="15">
        <v>1427.154940724593</v>
      </c>
      <c r="J18">
        <v>-124.01466315865912</v>
      </c>
      <c r="K18" s="15">
        <v>736.00747815378418</v>
      </c>
      <c r="L18">
        <v>-66.566191688051504</v>
      </c>
      <c r="M18" s="15">
        <v>242.04933674663451</v>
      </c>
      <c r="N18">
        <v>-1.5208639849342547</v>
      </c>
      <c r="O18" s="15">
        <v>249.86992947919308</v>
      </c>
      <c r="P18">
        <v>5.8636457092761933</v>
      </c>
      <c r="Q18" s="15">
        <v>5616.7387149234692</v>
      </c>
      <c r="R18">
        <v>-663.47351236975771</v>
      </c>
      <c r="S18" s="15">
        <v>2860.5272991071424</v>
      </c>
      <c r="T18">
        <v>462.51078409852727</v>
      </c>
      <c r="U18" s="15">
        <v>11859.855756743314</v>
      </c>
      <c r="V18">
        <v>-1656.3023763833767</v>
      </c>
      <c r="W18" s="15">
        <v>6003.9835848056437</v>
      </c>
      <c r="X18">
        <v>-710.8726289667203</v>
      </c>
      <c r="Y18" s="15">
        <v>2046.8758011617253</v>
      </c>
      <c r="Z18">
        <v>-136.83221619282335</v>
      </c>
      <c r="AA18" s="15">
        <v>2057.4791443661657</v>
      </c>
      <c r="AB18">
        <v>-61.501729071031392</v>
      </c>
      <c r="AC18" s="15">
        <v>10964.358689413264</v>
      </c>
      <c r="AD18">
        <v>2329.5487530150504</v>
      </c>
      <c r="AE18" s="15">
        <v>46549.104465174125</v>
      </c>
      <c r="AF18">
        <v>-6641.4906341683172</v>
      </c>
      <c r="AG18" s="15">
        <v>23800.172563329481</v>
      </c>
      <c r="AH18">
        <v>-2799.1246479716765</v>
      </c>
      <c r="AI18" s="15">
        <v>7973.6231206992034</v>
      </c>
      <c r="AJ18">
        <v>-146.91542717675864</v>
      </c>
      <c r="AK18" s="15">
        <v>8161.2215257517337</v>
      </c>
      <c r="AL18">
        <v>113.39255658937188</v>
      </c>
      <c r="AM18" s="15">
        <v>23464.106512481976</v>
      </c>
      <c r="AN18">
        <v>3898.3893440145512</v>
      </c>
      <c r="AO18" s="15">
        <v>12184.564975438741</v>
      </c>
      <c r="AP18">
        <v>797.9499346299699</v>
      </c>
      <c r="AQ18" s="15">
        <v>4065.4152484632282</v>
      </c>
      <c r="AR18">
        <v>492.75422337015249</v>
      </c>
      <c r="AS18" s="15">
        <v>4184.3918562984954</v>
      </c>
      <c r="AT18">
        <v>563.00594743763054</v>
      </c>
      <c r="AU18" s="15">
        <v>54576.837473425658</v>
      </c>
      <c r="AV18">
        <v>-6644.6446785754279</v>
      </c>
      <c r="AW18" s="15">
        <v>17420.957628905511</v>
      </c>
      <c r="AX18">
        <v>-1237.9274131936254</v>
      </c>
      <c r="AY18" s="15">
        <v>18414.863002582151</v>
      </c>
      <c r="AZ18">
        <v>-136.39270764024857</v>
      </c>
      <c r="BA18" s="15">
        <v>9236.6197146885206</v>
      </c>
      <c r="BB18">
        <v>-898.88456714714516</v>
      </c>
      <c r="BC18" s="15">
        <v>10652.335107683379</v>
      </c>
      <c r="BD18">
        <v>-376.7242705527284</v>
      </c>
      <c r="BE18" s="15">
        <v>3166.5103510713107</v>
      </c>
      <c r="BF18">
        <v>6.0995162237143923</v>
      </c>
    </row>
    <row r="19" spans="1:58" x14ac:dyDescent="0.25">
      <c r="A19" s="1">
        <v>2562</v>
      </c>
      <c r="B19">
        <v>18</v>
      </c>
      <c r="C19" s="15">
        <v>173.88571428571424</v>
      </c>
      <c r="D19">
        <v>-4.1291040874001821</v>
      </c>
      <c r="E19" s="15">
        <v>649.87142857142851</v>
      </c>
      <c r="F19">
        <v>-114.599828773098</v>
      </c>
      <c r="G19" s="15">
        <v>316.32857142857142</v>
      </c>
      <c r="H19">
        <v>88.69374793896003</v>
      </c>
      <c r="I19" s="15">
        <v>1447.2406582607505</v>
      </c>
      <c r="J19">
        <v>-113.0081303228539</v>
      </c>
      <c r="K19" s="15">
        <v>707.94770548038105</v>
      </c>
      <c r="L19">
        <v>-51.832822391191435</v>
      </c>
      <c r="M19" s="15">
        <v>241.68927043349561</v>
      </c>
      <c r="N19">
        <v>2.795390034273058</v>
      </c>
      <c r="O19" s="15">
        <v>234.2783492092324</v>
      </c>
      <c r="P19">
        <v>7.01930385105147</v>
      </c>
      <c r="Q19" s="15">
        <v>5679.4616326530604</v>
      </c>
      <c r="R19">
        <v>-650.99168474280464</v>
      </c>
      <c r="S19" s="15">
        <v>2729.4867346938781</v>
      </c>
      <c r="T19">
        <v>478.98303710045974</v>
      </c>
      <c r="U19" s="15">
        <v>12410.782235664949</v>
      </c>
      <c r="V19">
        <v>-1683.1688622543932</v>
      </c>
      <c r="W19" s="15">
        <v>5895.0024026621095</v>
      </c>
      <c r="X19">
        <v>-650.33946207961981</v>
      </c>
      <c r="Y19" s="15">
        <v>2054.8186853729303</v>
      </c>
      <c r="Z19">
        <v>-161.31623838865238</v>
      </c>
      <c r="AA19" s="15">
        <v>1975.9489037796175</v>
      </c>
      <c r="AB19">
        <v>-53.705788532688473</v>
      </c>
      <c r="AC19" s="15">
        <v>10356.48469387755</v>
      </c>
      <c r="AD19">
        <v>2377.3829502854965</v>
      </c>
      <c r="AE19" s="15">
        <v>46688.05920027614</v>
      </c>
      <c r="AF19">
        <v>-6465.9532220568963</v>
      </c>
      <c r="AG19" s="15">
        <v>22605.960134952609</v>
      </c>
      <c r="AH19">
        <v>-2275.1785443681506</v>
      </c>
      <c r="AI19" s="15">
        <v>7871.9665312324059</v>
      </c>
      <c r="AJ19">
        <v>-39.684491425816766</v>
      </c>
      <c r="AK19" s="15">
        <v>7558.5579134032159</v>
      </c>
      <c r="AL19">
        <v>138.07767029505086</v>
      </c>
      <c r="AM19" s="15">
        <v>22816.113185746155</v>
      </c>
      <c r="AN19">
        <v>4103.6543869816587</v>
      </c>
      <c r="AO19" s="15">
        <v>11175.008547145811</v>
      </c>
      <c r="AP19">
        <v>899.91581097565438</v>
      </c>
      <c r="AQ19" s="15">
        <v>3896.4878073370978</v>
      </c>
      <c r="AR19">
        <v>600.8837173131484</v>
      </c>
      <c r="AS19" s="15">
        <v>3724.9770886564866</v>
      </c>
      <c r="AT19">
        <v>534.37728733383983</v>
      </c>
      <c r="AU19" s="15">
        <v>52912.484593463494</v>
      </c>
      <c r="AV19">
        <v>-5021.709212961302</v>
      </c>
      <c r="AW19" s="15">
        <v>17693.142302556807</v>
      </c>
      <c r="AX19">
        <v>-756.57523394403995</v>
      </c>
      <c r="AY19" s="15">
        <v>17295.091959421356</v>
      </c>
      <c r="AZ19">
        <v>128.04798748458359</v>
      </c>
      <c r="BA19" s="15">
        <v>8816.8877626865287</v>
      </c>
      <c r="BB19">
        <v>-340.77481408267721</v>
      </c>
      <c r="BC19" s="15">
        <v>8781.3689400901949</v>
      </c>
      <c r="BD19">
        <v>-69.111441513207424</v>
      </c>
      <c r="BE19" s="15">
        <v>2911.2097724301184</v>
      </c>
      <c r="BF19">
        <v>111.72636650963003</v>
      </c>
    </row>
    <row r="20" spans="1:58" x14ac:dyDescent="0.25">
      <c r="A20" s="1">
        <v>2792</v>
      </c>
      <c r="B20">
        <v>19</v>
      </c>
      <c r="C20" s="15">
        <v>178.51428571428571</v>
      </c>
      <c r="D20">
        <v>-0.84879668664226449</v>
      </c>
      <c r="E20" s="15">
        <v>630.17321428571438</v>
      </c>
      <c r="F20">
        <v>-108.51837163025552</v>
      </c>
      <c r="G20" s="15">
        <v>304.48571428571432</v>
      </c>
      <c r="H20">
        <v>99.146532212527447</v>
      </c>
      <c r="I20" s="15">
        <v>1512.7580623026652</v>
      </c>
      <c r="J20">
        <v>-110.20788464397019</v>
      </c>
      <c r="K20" s="15">
        <v>766.29131128590848</v>
      </c>
      <c r="L20">
        <v>-47.235366003906549</v>
      </c>
      <c r="M20" s="15">
        <v>242.51171382733565</v>
      </c>
      <c r="N20">
        <v>7.8125164352053593</v>
      </c>
      <c r="O20" s="15">
        <v>246.12187511481679</v>
      </c>
      <c r="P20">
        <v>10.520470600864282</v>
      </c>
      <c r="Q20" s="15">
        <v>5949.4811173469379</v>
      </c>
      <c r="R20">
        <v>-660.50850633782773</v>
      </c>
      <c r="S20" s="15">
        <v>2637.6510204081633</v>
      </c>
      <c r="T20">
        <v>487.26896292249961</v>
      </c>
      <c r="U20" s="15">
        <v>13398.846982225581</v>
      </c>
      <c r="V20">
        <v>-1439.730245824856</v>
      </c>
      <c r="W20" s="15">
        <v>6552.9427700246415</v>
      </c>
      <c r="X20">
        <v>-682.50855517434502</v>
      </c>
      <c r="Y20" s="15">
        <v>2093.3972617123927</v>
      </c>
      <c r="Z20">
        <v>-137.99186521440552</v>
      </c>
      <c r="AA20" s="15">
        <v>2112.6007294715291</v>
      </c>
      <c r="AB20">
        <v>-43.884440575587888</v>
      </c>
      <c r="AC20" s="15">
        <v>9734.0563265306155</v>
      </c>
      <c r="AD20">
        <v>2758.5307429992299</v>
      </c>
      <c r="AE20" s="15">
        <v>47499.11489440906</v>
      </c>
      <c r="AF20">
        <v>-6168.7117197969483</v>
      </c>
      <c r="AG20" s="15">
        <v>23931.472120668885</v>
      </c>
      <c r="AH20">
        <v>-1974.5109098067364</v>
      </c>
      <c r="AI20" s="15">
        <v>7732.0981308558439</v>
      </c>
      <c r="AJ20">
        <v>205.47963615896811</v>
      </c>
      <c r="AK20" s="15">
        <v>7778.569056844005</v>
      </c>
      <c r="AL20">
        <v>301.00657360151956</v>
      </c>
      <c r="AM20" s="15">
        <v>22979.783135723974</v>
      </c>
      <c r="AN20">
        <v>4967.0880836686511</v>
      </c>
      <c r="AO20" s="15">
        <v>12070.528826216065</v>
      </c>
      <c r="AP20">
        <v>1748.4677885660476</v>
      </c>
      <c r="AQ20" s="15">
        <v>3954.9845702699358</v>
      </c>
      <c r="AR20">
        <v>870.91525908859558</v>
      </c>
      <c r="AS20" s="15">
        <v>3957.3070794316254</v>
      </c>
      <c r="AT20">
        <v>820.63870694139496</v>
      </c>
      <c r="AU20" s="15">
        <v>58936.92542599982</v>
      </c>
      <c r="AV20">
        <v>-5036.3617049219074</v>
      </c>
      <c r="AW20" s="15">
        <v>18489.48962093487</v>
      </c>
      <c r="AX20">
        <v>-460.79104706233841</v>
      </c>
      <c r="AY20" s="15">
        <v>18800.444996712169</v>
      </c>
      <c r="AZ20">
        <v>274.94316350324283</v>
      </c>
      <c r="BA20" s="15">
        <v>9671.5023156965763</v>
      </c>
      <c r="BB20">
        <v>-94.129348050837891</v>
      </c>
      <c r="BC20" s="15">
        <v>10240.045280613227</v>
      </c>
      <c r="BD20">
        <v>228.10148116594658</v>
      </c>
      <c r="BE20" s="15">
        <v>3156.1768828546592</v>
      </c>
      <c r="BF20">
        <v>234.90479542354308</v>
      </c>
    </row>
    <row r="21" spans="1:58" x14ac:dyDescent="0.25">
      <c r="A21" s="24">
        <v>2720</v>
      </c>
      <c r="B21">
        <v>20</v>
      </c>
      <c r="C21" s="15">
        <v>178.58571428571429</v>
      </c>
      <c r="D21">
        <v>-3.5417555171985127</v>
      </c>
      <c r="E21" s="15">
        <v>633.67142857142858</v>
      </c>
      <c r="F21">
        <v>-105.19222179840446</v>
      </c>
      <c r="G21" s="15">
        <v>283.13392857142856</v>
      </c>
      <c r="H21">
        <v>91.657719846516699</v>
      </c>
      <c r="I21" s="15">
        <v>1387.8862637870891</v>
      </c>
      <c r="J21">
        <v>-105.88189287073544</v>
      </c>
      <c r="K21" s="15">
        <v>674.27081576029889</v>
      </c>
      <c r="L21">
        <v>-55.378965037437823</v>
      </c>
      <c r="M21" s="15">
        <v>223.48762801264027</v>
      </c>
      <c r="N21">
        <v>2.3215040990656037</v>
      </c>
      <c r="O21" s="15">
        <v>210.45269309423551</v>
      </c>
      <c r="P21">
        <v>5.631199403252209</v>
      </c>
      <c r="Q21" s="15">
        <v>5617.1075510204082</v>
      </c>
      <c r="R21">
        <v>-694.96304999793483</v>
      </c>
      <c r="S21" s="15">
        <v>2499.086887755102</v>
      </c>
      <c r="T21">
        <v>462.40841490141423</v>
      </c>
      <c r="U21" s="15">
        <v>12363.071494946398</v>
      </c>
      <c r="V21">
        <v>-1422.5038156186308</v>
      </c>
      <c r="W21" s="15">
        <v>5998.5609112143757</v>
      </c>
      <c r="X21">
        <v>-628.63189299292685</v>
      </c>
      <c r="Y21" s="15">
        <v>1962.2723159934787</v>
      </c>
      <c r="Z21">
        <v>-143.15773531599348</v>
      </c>
      <c r="AA21" s="15">
        <v>1856.2957089729528</v>
      </c>
      <c r="AB21">
        <v>-51.450521350670222</v>
      </c>
      <c r="AC21" s="15">
        <v>9138.3813775510207</v>
      </c>
      <c r="AD21">
        <v>2715.5429902793849</v>
      </c>
      <c r="AE21" s="15">
        <v>44051.594264898944</v>
      </c>
      <c r="AF21">
        <v>-5608.6798945913333</v>
      </c>
      <c r="AG21" s="15">
        <v>21376.540665713481</v>
      </c>
      <c r="AH21">
        <v>-2258.761637056572</v>
      </c>
      <c r="AI21" s="15">
        <v>7234.3451827857825</v>
      </c>
      <c r="AJ21">
        <v>16.53591591175395</v>
      </c>
      <c r="AK21" s="15">
        <v>6784.9472707159248</v>
      </c>
      <c r="AL21">
        <v>153.35293002068192</v>
      </c>
      <c r="AM21" s="15">
        <v>19635.480430953088</v>
      </c>
      <c r="AN21">
        <v>4007.5586639986132</v>
      </c>
      <c r="AO21" s="15">
        <v>9541.1862054599369</v>
      </c>
      <c r="AP21">
        <v>821.67121655372966</v>
      </c>
      <c r="AQ21" s="15">
        <v>3313.4636888460245</v>
      </c>
      <c r="AR21">
        <v>630.86765660978028</v>
      </c>
      <c r="AS21" s="15">
        <v>3075.2335582470128</v>
      </c>
      <c r="AT21">
        <v>526.21734614727916</v>
      </c>
      <c r="AU21" s="15">
        <v>47349.073787636597</v>
      </c>
      <c r="AV21">
        <v>-5056.8165829116169</v>
      </c>
      <c r="AW21" s="15">
        <v>15616.046194177228</v>
      </c>
      <c r="AX21">
        <v>-867.41633697727275</v>
      </c>
      <c r="AY21" s="15">
        <v>14719.580540185359</v>
      </c>
      <c r="AZ21">
        <v>-39.722732952662341</v>
      </c>
      <c r="BA21" s="15">
        <v>7585.4216837837439</v>
      </c>
      <c r="BB21">
        <v>-499.99463787536956</v>
      </c>
      <c r="BC21" s="15">
        <v>7215.9233132217178</v>
      </c>
      <c r="BD21">
        <v>-235.53086832465434</v>
      </c>
      <c r="BE21" s="15">
        <v>2446.2281711295477</v>
      </c>
      <c r="BF21">
        <v>78.461528925456165</v>
      </c>
    </row>
    <row r="22" spans="1:58" x14ac:dyDescent="0.25">
      <c r="A22" s="1"/>
    </row>
    <row r="23" spans="1:58" x14ac:dyDescent="0.25">
      <c r="A23" s="1"/>
    </row>
    <row r="24" spans="1:58" ht="15.75" thickBot="1" x14ac:dyDescent="0.3">
      <c r="A24" s="1"/>
      <c r="B24" s="92" t="s">
        <v>671</v>
      </c>
      <c r="C24" s="93"/>
      <c r="D24" s="93"/>
      <c r="E24" s="93"/>
      <c r="F24" s="93"/>
      <c r="G24" s="31"/>
      <c r="H24" s="31"/>
    </row>
    <row r="25" spans="1:58" ht="37.5" thickBot="1" x14ac:dyDescent="0.3">
      <c r="A25" s="1"/>
      <c r="B25" s="32" t="s">
        <v>672</v>
      </c>
      <c r="C25" s="33" t="s">
        <v>673</v>
      </c>
      <c r="D25" s="34" t="s">
        <v>674</v>
      </c>
      <c r="E25" s="34" t="s">
        <v>675</v>
      </c>
      <c r="F25" s="35" t="s">
        <v>676</v>
      </c>
      <c r="G25" s="31"/>
      <c r="H25" s="31"/>
    </row>
    <row r="26" spans="1:58" x14ac:dyDescent="0.25">
      <c r="A26" s="1"/>
      <c r="B26" s="36">
        <v>1</v>
      </c>
      <c r="C26" s="37" t="s">
        <v>677</v>
      </c>
      <c r="D26" s="38">
        <v>0.78811318873070868</v>
      </c>
      <c r="E26" s="38">
        <v>0.77634169921574803</v>
      </c>
      <c r="F26" s="39">
        <v>140.88724043694231</v>
      </c>
      <c r="G26" s="31"/>
      <c r="H26" s="31"/>
    </row>
    <row r="27" spans="1:58" x14ac:dyDescent="0.25">
      <c r="A27" s="1"/>
      <c r="B27" s="40">
        <v>2</v>
      </c>
      <c r="C27" s="41" t="s">
        <v>678</v>
      </c>
      <c r="D27" s="42">
        <v>0.83977005244015279</v>
      </c>
      <c r="E27" s="42">
        <v>0.82091947037428836</v>
      </c>
      <c r="F27" s="43">
        <v>126.06755707424119</v>
      </c>
      <c r="G27" s="31"/>
      <c r="H27" s="31"/>
    </row>
    <row r="28" spans="1:58" ht="15.75" thickBot="1" x14ac:dyDescent="0.3">
      <c r="B28" s="44">
        <v>3</v>
      </c>
      <c r="C28" s="45" t="s">
        <v>679</v>
      </c>
      <c r="D28" s="46">
        <v>0.88046676554954506</v>
      </c>
      <c r="E28" s="46">
        <v>0.85805428409008477</v>
      </c>
      <c r="F28" s="47">
        <v>112.23809759259395</v>
      </c>
      <c r="G28" s="31"/>
      <c r="H28" s="31"/>
    </row>
    <row r="29" spans="1:58" x14ac:dyDescent="0.25">
      <c r="A29" s="25"/>
      <c r="B29" s="31"/>
      <c r="C29" s="31"/>
      <c r="D29" s="31"/>
      <c r="E29" s="31"/>
      <c r="F29" s="31"/>
      <c r="G29" s="31"/>
      <c r="H29" s="31"/>
    </row>
    <row r="30" spans="1:58" ht="15.75" thickBot="1" x14ac:dyDescent="0.3">
      <c r="A30" s="26"/>
      <c r="B30" s="94" t="s">
        <v>680</v>
      </c>
      <c r="C30" s="95"/>
      <c r="D30" s="95"/>
      <c r="E30" s="95"/>
      <c r="F30" s="95"/>
      <c r="G30" s="95"/>
      <c r="H30" s="95"/>
    </row>
    <row r="31" spans="1:58" ht="25.5" thickBot="1" x14ac:dyDescent="0.3">
      <c r="A31" s="11"/>
      <c r="B31" s="96" t="s">
        <v>672</v>
      </c>
      <c r="C31" s="97"/>
      <c r="D31" s="33" t="s">
        <v>681</v>
      </c>
      <c r="E31" s="34" t="s">
        <v>682</v>
      </c>
      <c r="F31" s="34" t="s">
        <v>683</v>
      </c>
      <c r="G31" s="34" t="s">
        <v>684</v>
      </c>
      <c r="H31" s="35" t="s">
        <v>685</v>
      </c>
    </row>
    <row r="32" spans="1:58" ht="24" x14ac:dyDescent="0.25">
      <c r="A32" s="27"/>
      <c r="B32" s="98">
        <v>1</v>
      </c>
      <c r="C32" s="49" t="s">
        <v>686</v>
      </c>
      <c r="D32" s="50">
        <v>1328925.0886771369</v>
      </c>
      <c r="E32" s="51">
        <v>1</v>
      </c>
      <c r="F32" s="38">
        <v>1328925.0886771369</v>
      </c>
      <c r="G32" s="38">
        <v>66.951016498725949</v>
      </c>
      <c r="H32" s="52" t="s">
        <v>687</v>
      </c>
    </row>
    <row r="33" spans="1:8" x14ac:dyDescent="0.25">
      <c r="A33" s="27"/>
      <c r="B33" s="90"/>
      <c r="C33" s="53" t="s">
        <v>688</v>
      </c>
      <c r="D33" s="54">
        <v>357285.86132286227</v>
      </c>
      <c r="E33" s="55">
        <v>18</v>
      </c>
      <c r="F33" s="42">
        <v>19849.214517936794</v>
      </c>
      <c r="G33" s="56"/>
      <c r="H33" s="57"/>
    </row>
    <row r="34" spans="1:8" x14ac:dyDescent="0.25">
      <c r="A34" s="27"/>
      <c r="B34" s="99"/>
      <c r="C34" s="58" t="s">
        <v>689</v>
      </c>
      <c r="D34" s="59">
        <v>1686210.9499999993</v>
      </c>
      <c r="E34" s="60">
        <v>19</v>
      </c>
      <c r="F34" s="61"/>
      <c r="G34" s="61"/>
      <c r="H34" s="62"/>
    </row>
    <row r="35" spans="1:8" ht="24" x14ac:dyDescent="0.25">
      <c r="A35" s="28"/>
      <c r="B35" s="100">
        <v>2</v>
      </c>
      <c r="C35" s="63" t="s">
        <v>686</v>
      </c>
      <c r="D35" s="64">
        <v>1416029.4579066592</v>
      </c>
      <c r="E35" s="65">
        <v>2</v>
      </c>
      <c r="F35" s="66">
        <v>708014.72895332961</v>
      </c>
      <c r="G35" s="66">
        <v>44.548759794576981</v>
      </c>
      <c r="H35" s="67" t="s">
        <v>690</v>
      </c>
    </row>
    <row r="36" spans="1:8" x14ac:dyDescent="0.25">
      <c r="A36" s="28"/>
      <c r="B36" s="90"/>
      <c r="C36" s="53" t="s">
        <v>688</v>
      </c>
      <c r="D36" s="54">
        <v>270181.49209334003</v>
      </c>
      <c r="E36" s="55">
        <v>17</v>
      </c>
      <c r="F36" s="42">
        <v>15893.02894666706</v>
      </c>
      <c r="G36" s="56"/>
      <c r="H36" s="57"/>
    </row>
    <row r="37" spans="1:8" x14ac:dyDescent="0.25">
      <c r="A37" s="28"/>
      <c r="B37" s="99"/>
      <c r="C37" s="58" t="s">
        <v>689</v>
      </c>
      <c r="D37" s="59">
        <v>1686210.9499999993</v>
      </c>
      <c r="E37" s="60">
        <v>19</v>
      </c>
      <c r="F37" s="61"/>
      <c r="G37" s="61"/>
      <c r="H37" s="62"/>
    </row>
    <row r="38" spans="1:8" ht="24.75" thickBot="1" x14ac:dyDescent="0.3">
      <c r="A38" s="28"/>
      <c r="B38" s="89">
        <v>3</v>
      </c>
      <c r="C38" s="63" t="s">
        <v>686</v>
      </c>
      <c r="D38" s="64">
        <v>1484652.7011807249</v>
      </c>
      <c r="E38" s="65">
        <v>3</v>
      </c>
      <c r="F38" s="66">
        <v>494884.23372690828</v>
      </c>
      <c r="G38" s="66">
        <v>39.284662304891754</v>
      </c>
      <c r="H38" s="67" t="s">
        <v>691</v>
      </c>
    </row>
    <row r="39" spans="1:8" x14ac:dyDescent="0.25">
      <c r="A39" s="29"/>
      <c r="B39" s="90"/>
      <c r="C39" s="53" t="s">
        <v>688</v>
      </c>
      <c r="D39" s="54">
        <v>201558.24881927427</v>
      </c>
      <c r="E39" s="55">
        <v>16</v>
      </c>
      <c r="F39" s="42">
        <v>12597.390551204642</v>
      </c>
      <c r="G39" s="56"/>
      <c r="H39" s="57"/>
    </row>
    <row r="40" spans="1:8" ht="15.75" thickBot="1" x14ac:dyDescent="0.3">
      <c r="A40" s="29"/>
      <c r="B40" s="91"/>
      <c r="C40" s="68" t="s">
        <v>689</v>
      </c>
      <c r="D40" s="69">
        <v>1686210.9499999993</v>
      </c>
      <c r="E40" s="70">
        <v>19</v>
      </c>
      <c r="F40" s="71"/>
      <c r="G40" s="71"/>
      <c r="H40" s="72"/>
    </row>
    <row r="41" spans="1:8" x14ac:dyDescent="0.25">
      <c r="A41" s="30"/>
      <c r="B41" s="31"/>
      <c r="C41" s="31"/>
      <c r="D41" s="31"/>
      <c r="E41" s="31"/>
      <c r="F41" s="31"/>
      <c r="G41" s="31"/>
      <c r="H41" s="31"/>
    </row>
    <row r="42" spans="1:8" ht="15.75" thickBot="1" x14ac:dyDescent="0.3">
      <c r="A42" s="30"/>
      <c r="B42" s="94" t="s">
        <v>692</v>
      </c>
      <c r="C42" s="95"/>
      <c r="D42" s="95"/>
      <c r="E42" s="95"/>
      <c r="F42" s="95"/>
      <c r="G42" s="95"/>
      <c r="H42" s="95"/>
    </row>
    <row r="43" spans="1:8" ht="49.5" thickBot="1" x14ac:dyDescent="0.3">
      <c r="A43" s="30"/>
      <c r="B43" s="96" t="s">
        <v>672</v>
      </c>
      <c r="C43" s="101"/>
      <c r="D43" s="103" t="s">
        <v>693</v>
      </c>
      <c r="E43" s="104"/>
      <c r="F43" s="73" t="s">
        <v>694</v>
      </c>
      <c r="G43" s="105" t="s">
        <v>695</v>
      </c>
      <c r="H43" s="107" t="s">
        <v>685</v>
      </c>
    </row>
    <row r="44" spans="1:8" ht="15.75" thickBot="1" x14ac:dyDescent="0.3">
      <c r="A44" s="30"/>
      <c r="B44" s="91"/>
      <c r="C44" s="102"/>
      <c r="D44" s="76" t="s">
        <v>696</v>
      </c>
      <c r="E44" s="77" t="s">
        <v>697</v>
      </c>
      <c r="F44" s="77" t="s">
        <v>698</v>
      </c>
      <c r="G44" s="106"/>
      <c r="H44" s="108"/>
    </row>
    <row r="45" spans="1:8" ht="24" x14ac:dyDescent="0.25">
      <c r="A45" s="30"/>
      <c r="B45" s="98">
        <v>1</v>
      </c>
      <c r="C45" s="49" t="s">
        <v>699</v>
      </c>
      <c r="D45" s="50">
        <v>48.09187982264757</v>
      </c>
      <c r="E45" s="38">
        <v>282.89584307495943</v>
      </c>
      <c r="F45" s="78"/>
      <c r="G45" s="38">
        <v>0.1699985383309594</v>
      </c>
      <c r="H45" s="39">
        <v>0.86690737609875534</v>
      </c>
    </row>
    <row r="46" spans="1:8" x14ac:dyDescent="0.25">
      <c r="A46" s="28"/>
      <c r="B46" s="99"/>
      <c r="C46" s="58" t="s">
        <v>700</v>
      </c>
      <c r="D46" s="59">
        <v>1.0058346354489907</v>
      </c>
      <c r="E46" s="79">
        <v>0.12292720259985727</v>
      </c>
      <c r="F46" s="79">
        <v>0.88775739294624223</v>
      </c>
      <c r="G46" s="79">
        <v>8.1823600812189845</v>
      </c>
      <c r="H46" s="80">
        <v>1.7751863639424835E-7</v>
      </c>
    </row>
    <row r="47" spans="1:8" ht="24" x14ac:dyDescent="0.25">
      <c r="A47" s="28"/>
      <c r="B47" s="100">
        <v>2</v>
      </c>
      <c r="C47" s="63" t="s">
        <v>699</v>
      </c>
      <c r="D47" s="64">
        <v>1748.7900777413777</v>
      </c>
      <c r="E47" s="66">
        <v>769.29877128286353</v>
      </c>
      <c r="F47" s="81"/>
      <c r="G47" s="66">
        <v>2.2732261418085185</v>
      </c>
      <c r="H47" s="82">
        <v>3.6271282454527737E-2</v>
      </c>
    </row>
    <row r="48" spans="1:8" x14ac:dyDescent="0.25">
      <c r="A48" s="28"/>
      <c r="B48" s="90"/>
      <c r="C48" s="53" t="s">
        <v>700</v>
      </c>
      <c r="D48" s="54">
        <v>0.84906405909572913</v>
      </c>
      <c r="E48" s="42">
        <v>0.12877727749306525</v>
      </c>
      <c r="F48" s="42">
        <v>0.7493904753147711</v>
      </c>
      <c r="G48" s="42">
        <v>6.5932754257943671</v>
      </c>
      <c r="H48" s="43">
        <v>4.5613384972767071E-6</v>
      </c>
    </row>
    <row r="49" spans="1:8" x14ac:dyDescent="0.25">
      <c r="A49" s="28"/>
      <c r="B49" s="99"/>
      <c r="C49" s="58" t="s">
        <v>701</v>
      </c>
      <c r="D49" s="59">
        <v>1.9728217876951073</v>
      </c>
      <c r="E49" s="79">
        <v>0.84269656319176911</v>
      </c>
      <c r="F49" s="79">
        <v>0.26608695496825552</v>
      </c>
      <c r="G49" s="79">
        <v>2.3410820381453958</v>
      </c>
      <c r="H49" s="80">
        <v>3.1672190909154352E-2</v>
      </c>
    </row>
    <row r="50" spans="1:8" ht="24.75" thickBot="1" x14ac:dyDescent="0.3">
      <c r="A50" s="28"/>
      <c r="B50" s="89">
        <v>3</v>
      </c>
      <c r="C50" s="63" t="s">
        <v>699</v>
      </c>
      <c r="D50" s="64">
        <v>493.48265412138699</v>
      </c>
      <c r="E50" s="66">
        <v>870.84588021904051</v>
      </c>
      <c r="F50" s="81"/>
      <c r="G50" s="66">
        <v>0.56667048134540543</v>
      </c>
      <c r="H50" s="82">
        <v>0.57880139604221281</v>
      </c>
    </row>
    <row r="51" spans="1:8" x14ac:dyDescent="0.25">
      <c r="A51" s="29"/>
      <c r="B51" s="90"/>
      <c r="C51" s="53" t="s">
        <v>700</v>
      </c>
      <c r="D51" s="54">
        <v>0.77025046041402312</v>
      </c>
      <c r="E51" s="42">
        <v>0.11952000865597145</v>
      </c>
      <c r="F51" s="42">
        <v>0.67982898634978794</v>
      </c>
      <c r="G51" s="42">
        <v>6.4445314979111652</v>
      </c>
      <c r="H51" s="43">
        <v>8.1031944646231715E-6</v>
      </c>
    </row>
    <row r="52" spans="1:8" x14ac:dyDescent="0.25">
      <c r="A52" s="29"/>
      <c r="B52" s="90"/>
      <c r="C52" s="53" t="s">
        <v>701</v>
      </c>
      <c r="D52" s="54">
        <v>3.6374137602183558</v>
      </c>
      <c r="E52" s="42">
        <v>1.035151011053449</v>
      </c>
      <c r="F52" s="42">
        <v>0.49060100484135327</v>
      </c>
      <c r="G52" s="42">
        <v>3.5138967371694347</v>
      </c>
      <c r="H52" s="43">
        <v>2.8778258468570871E-3</v>
      </c>
    </row>
    <row r="53" spans="1:8" ht="15.75" thickBot="1" x14ac:dyDescent="0.3">
      <c r="A53" s="29"/>
      <c r="B53" s="91"/>
      <c r="C53" s="68" t="s">
        <v>702</v>
      </c>
      <c r="D53" s="69">
        <v>14.726317888456348</v>
      </c>
      <c r="E53" s="46">
        <v>6.3095567093819511</v>
      </c>
      <c r="F53" s="46">
        <v>0.28231124649866346</v>
      </c>
      <c r="G53" s="46">
        <v>2.3339702877318076</v>
      </c>
      <c r="H53" s="47">
        <v>3.2963718705599859E-2</v>
      </c>
    </row>
    <row r="54" spans="1:8" x14ac:dyDescent="0.25">
      <c r="A54" s="30"/>
      <c r="B54" s="31"/>
      <c r="C54" s="31"/>
      <c r="D54" s="31"/>
      <c r="E54" s="31"/>
      <c r="F54" s="31"/>
      <c r="G54" s="31"/>
      <c r="H54" s="31"/>
    </row>
    <row r="55" spans="1:8" x14ac:dyDescent="0.25">
      <c r="A55" s="30"/>
      <c r="B55" s="12"/>
    </row>
    <row r="56" spans="1:8" x14ac:dyDescent="0.25">
      <c r="A56" s="30"/>
      <c r="B56" s="13"/>
    </row>
    <row r="57" spans="1:8" x14ac:dyDescent="0.25">
      <c r="A57" s="30"/>
      <c r="B57" s="12"/>
    </row>
    <row r="58" spans="1:8" x14ac:dyDescent="0.25">
      <c r="A58" s="30"/>
      <c r="B58" s="12"/>
    </row>
    <row r="59" spans="1:8" x14ac:dyDescent="0.25">
      <c r="A59" s="30"/>
      <c r="B59" s="13"/>
    </row>
    <row r="60" spans="1:8" x14ac:dyDescent="0.25">
      <c r="A60" s="30"/>
      <c r="B60" s="12"/>
    </row>
    <row r="61" spans="1:8" x14ac:dyDescent="0.25">
      <c r="A61" s="30"/>
      <c r="B61" s="12"/>
    </row>
    <row r="62" spans="1:8" x14ac:dyDescent="0.25">
      <c r="A62" s="30"/>
      <c r="B62" s="12"/>
    </row>
    <row r="63" spans="1:8" x14ac:dyDescent="0.25">
      <c r="A63" s="28"/>
      <c r="B63" s="10"/>
    </row>
    <row r="64" spans="1:8" x14ac:dyDescent="0.25">
      <c r="A64" s="25"/>
      <c r="B64" s="9"/>
    </row>
  </sheetData>
  <mergeCells count="14">
    <mergeCell ref="B38:B40"/>
    <mergeCell ref="B24:F24"/>
    <mergeCell ref="B30:H30"/>
    <mergeCell ref="B31:C31"/>
    <mergeCell ref="B32:B34"/>
    <mergeCell ref="B35:B37"/>
    <mergeCell ref="B47:B49"/>
    <mergeCell ref="B50:B53"/>
    <mergeCell ref="B42:H42"/>
    <mergeCell ref="B43:C44"/>
    <mergeCell ref="D43:E43"/>
    <mergeCell ref="G43:G44"/>
    <mergeCell ref="H43:H44"/>
    <mergeCell ref="B45:B4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WEATHER INDICES</vt:lpstr>
      <vt:lpstr>TIME TREND</vt:lpstr>
      <vt:lpstr>VALIDATION</vt:lpstr>
      <vt:lpstr>SPSS</vt:lpstr>
    </vt:vector>
  </TitlesOfParts>
  <Company>----------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----------</dc:creator>
  <cp:lastModifiedBy>Core i 5</cp:lastModifiedBy>
  <dcterms:created xsi:type="dcterms:W3CDTF">2013-01-27T21:00:55Z</dcterms:created>
  <dcterms:modified xsi:type="dcterms:W3CDTF">2016-03-19T22:36:39Z</dcterms:modified>
</cp:coreProperties>
</file>